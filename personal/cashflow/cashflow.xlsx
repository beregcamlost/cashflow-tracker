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EVIEW_SUMMARY" sheetId="2" r:id="rId6"/>
    <sheet state="visible" name="PREVIEW_NAC" sheetId="3" r:id="rId7"/>
    <sheet state="visible" name="PREVIEW_INTL" sheetId="4" r:id="rId8"/>
    <sheet state="visible" name="CONFIG" sheetId="5" r:id="rId9"/>
    <sheet state="visible" name="CUOTAS" sheetId="6" r:id="rId10"/>
    <sheet state="visible" name="MOV_CC_NACIONAL" sheetId="7" r:id="rId11"/>
    <sheet state="visible" name="MOV_CC_INTL" sheetId="8" r:id="rId12"/>
    <sheet state="visible" name="RESUMEN" sheetId="9" r:id="rId13"/>
    <sheet state="visible" name="PROYECCION" sheetId="10" r:id="rId14"/>
    <sheet state="visible" name="BURN_CURVE" sheetId="11" r:id="rId15"/>
    <sheet state="visible" name="CATEGORIAS" sheetId="12" r:id="rId16"/>
    <sheet state="visible" name="MOV_NAC_AUTO" sheetId="13" r:id="rId17"/>
    <sheet state="visible" name="MOV_INTL_AUTO" sheetId="14" r:id="rId18"/>
    <sheet state="visible" name="RESUMEN_CATEGORIAS" sheetId="15" r:id="rId19"/>
    <sheet state="visible" name="CHART_DATA" sheetId="16" r:id="rId20"/>
  </sheets>
  <definedNames/>
  <calcPr/>
</workbook>
</file>

<file path=xl/sharedStrings.xml><?xml version="1.0" encoding="utf-8"?>
<sst xmlns="http://schemas.openxmlformats.org/spreadsheetml/2006/main" count="2311" uniqueCount="179">
  <si>
    <t>FINANZAS — DASHBOARD</t>
  </si>
  <si>
    <t>Last Sync</t>
  </si>
  <si>
    <t>Inputs</t>
  </si>
  <si>
    <t>Metrics</t>
  </si>
  <si>
    <t>NAC File</t>
  </si>
  <si>
    <t>MovimientosNoFacturadosNacionales_26-02-2026.xls | date=20260226</t>
  </si>
  <si>
    <t>Salario (CLP)</t>
  </si>
  <si>
    <t>Compras CC Nacional</t>
  </si>
  <si>
    <t>INTL File</t>
  </si>
  <si>
    <t>MovimientosNoFacturadosInternacionales_26-02-2026.xls | date=20260226</t>
  </si>
  <si>
    <t>Housing (CLP)</t>
  </si>
  <si>
    <t>Compras CC Intl (CLP)</t>
  </si>
  <si>
    <t>Status</t>
  </si>
  <si>
    <t>SYNC OK | NAC:IMPORTED INTL:IMPORTED</t>
  </si>
  <si>
    <t>Familia (CLP)</t>
  </si>
  <si>
    <t>Pagos CC Nacional</t>
  </si>
  <si>
    <t>NAC Hash</t>
  </si>
  <si>
    <t>1sVcdDjViWqprvwBy9u94CKQg166DXw5c|27601ba7fecf626a2eff5b0f4b2f57c1</t>
  </si>
  <si>
    <t>USD→CLP</t>
  </si>
  <si>
    <t>Pagos CC Intl (CLP)</t>
  </si>
  <si>
    <t>INTL Hash</t>
  </si>
  <si>
    <t>1Yuqq62vCosR0f9SFrcVpxI1fyVKM9D4i|7b5be5a3c8a826fd1bea52fa86e44635</t>
  </si>
  <si>
    <t>Claude plan (CLP)</t>
  </si>
  <si>
    <t>Costos fijos</t>
  </si>
  <si>
    <t>Margen disponible</t>
  </si>
  <si>
    <t>FSI (margen/ingreso)</t>
  </si>
  <si>
    <t>Stability Status</t>
  </si>
  <si>
    <t>Auto-Savings Recommendation</t>
  </si>
  <si>
    <t>Recommended savings (CLP)</t>
  </si>
  <si>
    <t>Buffer left after savings</t>
  </si>
  <si>
    <t>Claude Upgrade Indicator</t>
  </si>
  <si>
    <t>Max 5x safe?</t>
  </si>
  <si>
    <t>Max 20x safe?</t>
  </si>
  <si>
    <t>Psychological Burn Threshold</t>
  </si>
  <si>
    <t>Threshold (CLP)</t>
  </si>
  <si>
    <t>Day you cross threshold</t>
  </si>
  <si>
    <t>Actions</t>
  </si>
  <si>
    <t>Rule</t>
  </si>
  <si>
    <t>Pay housing + family first. Auto-save B15 on day 1. Then spend normally.</t>
  </si>
  <si>
    <t>PREVIEW IMPORT SUMMARY</t>
  </si>
  <si>
    <t>Generated at</t>
  </si>
  <si>
    <t>NAC file</t>
  </si>
  <si>
    <t>MovimientosNoFacturadosNacionales_26-02-2026.xls</t>
  </si>
  <si>
    <t>NAC parsed date</t>
  </si>
  <si>
    <t>NAC checksum (MD5)</t>
  </si>
  <si>
    <t>NAC rows (ex header)</t>
  </si>
  <si>
    <t>NAC total (preview)</t>
  </si>
  <si>
    <t>NAC total (current live)</t>
  </si>
  <si>
    <t>NAC delta (preview - live)</t>
  </si>
  <si>
    <t>INTL file</t>
  </si>
  <si>
    <t>MovimientosNoFacturadosInternacionales_26-02-2026.xls</t>
  </si>
  <si>
    <t>INTL parsed date</t>
  </si>
  <si>
    <t>INTL checksum (MD5)</t>
  </si>
  <si>
    <t>INTL rows (ex header)</t>
  </si>
  <si>
    <t>INTL total (preview)</t>
  </si>
  <si>
    <t>INTL total (current live)</t>
  </si>
  <si>
    <t>INTL delta (preview - live)</t>
  </si>
  <si>
    <t>Next step</t>
  </si>
  <si>
    <t>Use Finanzas menu or buttons: Preview / Confirm / Cancel.</t>
  </si>
  <si>
    <t>Fecha</t>
  </si>
  <si>
    <t>Descripcion</t>
  </si>
  <si>
    <t>Monto_CLP</t>
  </si>
  <si>
    <t>25-02-2026</t>
  </si>
  <si>
    <t>UBER RIDES UBER RIDES    LAS CO</t>
  </si>
  <si>
    <t>CHILE DOGS LTDA          CON CO</t>
  </si>
  <si>
    <t>24-02-2026</t>
  </si>
  <si>
    <t>PAYU   *FLIXBUS          SANTIA</t>
  </si>
  <si>
    <t>PAYU   *UBER TRIP        SANTIA</t>
  </si>
  <si>
    <t>23-02-2026</t>
  </si>
  <si>
    <t>MERCADOPAGO*MERCADO     COMPRAS</t>
  </si>
  <si>
    <t>PAYU   *FLIXBUS         COMPRAS</t>
  </si>
  <si>
    <t>21-02-2026</t>
  </si>
  <si>
    <t>LOCAL EU 15 NORTE       COMPRAS</t>
  </si>
  <si>
    <t>MORA LOUTIT SWEET S     COMPRAS</t>
  </si>
  <si>
    <t>MERCADOPAGO*MERCADO  03 CTAS-INT: 0</t>
  </si>
  <si>
    <t>MERPAGO*OPTICASLUXO HUE CC 01-06</t>
  </si>
  <si>
    <t>14-02-2026</t>
  </si>
  <si>
    <t>DP     *IKEA COM    SAN CF 01-03</t>
  </si>
  <si>
    <t>21-01-2026</t>
  </si>
  <si>
    <t>MP     *MERCADO LIB SAN CC 02-03</t>
  </si>
  <si>
    <t>MP     *MERCADO LIB SAN CC 03-06</t>
  </si>
  <si>
    <t>MERCADOPAGO*STREETD LAS CF 02-06</t>
  </si>
  <si>
    <t>21-12-2025</t>
  </si>
  <si>
    <t>MERPAGO*MERCADOLIBR LAS CC 03-03</t>
  </si>
  <si>
    <t>28-11-2025</t>
  </si>
  <si>
    <t>CIC HOGAR TIENDA CO CON CC 04-06</t>
  </si>
  <si>
    <t>28-08-2025</t>
  </si>
  <si>
    <t>MERCADOPAGO*MONSTER LAS CF 06-06</t>
  </si>
  <si>
    <t>Monto_USD</t>
  </si>
  <si>
    <t>22-02-2026</t>
  </si>
  <si>
    <t>EMBY PREMIERE           COMPRAS INT.VI</t>
  </si>
  <si>
    <t>20-02-2026</t>
  </si>
  <si>
    <t>CLAUDE.AI SUBSCRIPT     COMPRAS INT.VI</t>
  </si>
  <si>
    <t>19-02-2026</t>
  </si>
  <si>
    <t>APPLE.COM/BILL          COMPRAS INT.VI</t>
  </si>
  <si>
    <t>Parametro</t>
  </si>
  <si>
    <t>Valor</t>
  </si>
  <si>
    <t>NOTE</t>
  </si>
  <si>
    <t>SALARIO</t>
  </si>
  <si>
    <t>In Google Sheets, set HOUSING to IMPORTRANGE from your other sheet (Gordo!O1) using the sanitize formula.</t>
  </si>
  <si>
    <t>HOUSING</t>
  </si>
  <si>
    <t>FAMILIA</t>
  </si>
  <si>
    <t>USD_CLP</t>
  </si>
  <si>
    <t>CLAUDE_PLAN</t>
  </si>
  <si>
    <t>Fuente</t>
  </si>
  <si>
    <t>Monto</t>
  </si>
  <si>
    <t>Moneda</t>
  </si>
  <si>
    <t>Es_cuotas</t>
  </si>
  <si>
    <t>Cuota_actual</t>
  </si>
  <si>
    <t>Cuotas_totales</t>
  </si>
  <si>
    <t>Cuotas_restantes</t>
  </si>
  <si>
    <t>Monto_restante_estimado</t>
  </si>
  <si>
    <t>RESUMEN</t>
  </si>
  <si>
    <t>NAC</t>
  </si>
  <si>
    <t>Total restante (est.)</t>
  </si>
  <si>
    <t>Cuotas activas (count)</t>
  </si>
  <si>
    <t>Nota:</t>
  </si>
  <si>
    <t>Estas fórmulas usan REGEX* (funciones de Google Sheets). Al abrir en Google Sheets funcionará.</t>
  </si>
  <si>
    <t>Vista (solo cuotas)</t>
  </si>
  <si>
    <t>Concepto</t>
  </si>
  <si>
    <t>Total</t>
  </si>
  <si>
    <t>Compras Nacional (solo &gt;0)</t>
  </si>
  <si>
    <t>Compras Internacional CLP (solo &gt;0)</t>
  </si>
  <si>
    <t>Pagos/Abonos Nacional (abs &lt;0)</t>
  </si>
  <si>
    <t>Pagos/Abonos Intl CLP (abs &lt;0)</t>
  </si>
  <si>
    <t>Net Nacional (compras - pagos)</t>
  </si>
  <si>
    <t>Net Intl CLP (compras - pagos)</t>
  </si>
  <si>
    <t>Ingreso</t>
  </si>
  <si>
    <t>Costos Fijos</t>
  </si>
  <si>
    <t>Compras Nacional</t>
  </si>
  <si>
    <t>Compras Internacional</t>
  </si>
  <si>
    <t>Claude Plan</t>
  </si>
  <si>
    <t>Margen Disponible</t>
  </si>
  <si>
    <t>Total a gastar (fijos+compras+Claude)</t>
  </si>
  <si>
    <t>Ahorro sugerido (si hay margen)</t>
  </si>
  <si>
    <t>Dia</t>
  </si>
  <si>
    <t>Liquidez Estimada</t>
  </si>
  <si>
    <t>Tipo</t>
  </si>
  <si>
    <t>Keyword (contains)</t>
  </si>
  <si>
    <t>Categoria</t>
  </si>
  <si>
    <t>uber</t>
  </si>
  <si>
    <t>Food &amp; Transport</t>
  </si>
  <si>
    <t>payu   *uber</t>
  </si>
  <si>
    <t>kfc</t>
  </si>
  <si>
    <t>cinemark</t>
  </si>
  <si>
    <t>pethouse</t>
  </si>
  <si>
    <t>Pets &amp; Health</t>
  </si>
  <si>
    <t>superzoo</t>
  </si>
  <si>
    <t>servicios medicos</t>
  </si>
  <si>
    <t>farm</t>
  </si>
  <si>
    <t>Pharmacy</t>
  </si>
  <si>
    <t>cruz verde</t>
  </si>
  <si>
    <t>mercado</t>
  </si>
  <si>
    <t>Shopping</t>
  </si>
  <si>
    <t>mercadopago</t>
  </si>
  <si>
    <t>ikea</t>
  </si>
  <si>
    <t>spotify</t>
  </si>
  <si>
    <t>Subscriptions</t>
  </si>
  <si>
    <t>INTL</t>
  </si>
  <si>
    <t>openai</t>
  </si>
  <si>
    <t>AI Tools</t>
  </si>
  <si>
    <t>anthropic</t>
  </si>
  <si>
    <t>claude</t>
  </si>
  <si>
    <t>appbox</t>
  </si>
  <si>
    <t>Digital Services</t>
  </si>
  <si>
    <t>apple</t>
  </si>
  <si>
    <t>playstation</t>
  </si>
  <si>
    <t>battle</t>
  </si>
  <si>
    <t>Gaming</t>
  </si>
  <si>
    <t>Monto_CLP_est</t>
  </si>
  <si>
    <t>Resumen por categoría (Nacional)</t>
  </si>
  <si>
    <t>Resumen por categoría (Internacional, CLP est.)</t>
  </si>
  <si>
    <t>Total_CLP</t>
  </si>
  <si>
    <t>% del nacional</t>
  </si>
  <si>
    <t>% del intl</t>
  </si>
  <si>
    <t>Other</t>
  </si>
  <si>
    <t>Nacional_CLP</t>
  </si>
  <si>
    <t>Internacional_CLP_est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</si>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</sst>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1">
    <font>
      <sz val="11.0"/>
      <color theme="1"/>
      <name val="Calibri"/>
      <scheme val="minor"/>
    </font>
    <font>
      <b/>
      <sz val="18.0"/>
      <color rgb="FFFFFFFF"/>
      <name val="Calibri"/>
      <scheme val="minor"/>
    </font>
    <font/>
    <font>
      <sz val="11.0"/>
      <color theme="1"/>
      <name val="Calibri"/>
    </font>
    <font>
      <b/>
      <color rgb="FF1F1F1F"/>
      <name val="Calibri"/>
      <scheme val="minor"/>
    </font>
    <font>
      <b/>
      <sz val="12.0"/>
      <color rgb="FFFFFFFF"/>
      <name val="Calibri"/>
      <scheme val="minor"/>
    </font>
    <font>
      <b/>
      <sz val="14.0"/>
      <color rgb="FFFFFFFF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B3D91"/>
        <bgColor rgb="FF0B3D91"/>
      </patternFill>
    </fill>
    <fill>
      <patternFill patternType="solid">
        <fgColor rgb="FFFBFBFB"/>
        <bgColor rgb="FFFBFBFB"/>
      </patternFill>
    </fill>
    <fill>
      <patternFill patternType="solid">
        <fgColor rgb="FFEEF7EE"/>
        <bgColor rgb="FFEEF7EE"/>
      </patternFill>
    </fill>
    <fill>
      <patternFill patternType="solid">
        <fgColor rgb="FFF7F7F7"/>
        <bgColor rgb="FFF7F7F7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DFF0D8"/>
        <bgColor rgb="FFDFF0D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4" fontId="4" numFmtId="0" xfId="0" applyAlignment="1" applyBorder="1" applyFill="1" applyFont="1">
      <alignment horizontal="left" vertical="center"/>
    </xf>
    <xf borderId="5" fillId="5" fontId="3" numFmtId="14" xfId="0" applyAlignment="1" applyBorder="1" applyFill="1" applyFont="1" applyNumberFormat="1">
      <alignment horizontal="left" readingOrder="0" vertical="center"/>
    </xf>
    <xf borderId="1" fillId="6" fontId="5" numFmtId="0" xfId="0" applyAlignment="1" applyBorder="1" applyFill="1" applyFont="1">
      <alignment horizontal="left" vertical="center"/>
    </xf>
    <xf borderId="5" fillId="7" fontId="3" numFmtId="0" xfId="0" applyAlignment="1" applyBorder="1" applyFill="1" applyFont="1">
      <alignment horizontal="left" readingOrder="0" vertical="center"/>
    </xf>
    <xf borderId="5" fillId="8" fontId="4" numFmtId="0" xfId="0" applyAlignment="1" applyBorder="1" applyFill="1" applyFont="1">
      <alignment horizontal="left" vertical="center"/>
    </xf>
    <xf borderId="5" fillId="5" fontId="3" numFmtId="3" xfId="0" applyAlignment="1" applyBorder="1" applyFont="1" applyNumberFormat="1">
      <alignment horizontal="left" vertical="center"/>
    </xf>
    <xf borderId="5" fillId="5" fontId="3" numFmtId="0" xfId="0" applyAlignment="1" applyBorder="1" applyFont="1">
      <alignment horizontal="left" readingOrder="0" vertical="center"/>
    </xf>
    <xf borderId="5" fillId="7" fontId="3" numFmtId="3" xfId="0" applyAlignment="1" applyBorder="1" applyFont="1" applyNumberFormat="1">
      <alignment horizontal="left" vertical="center"/>
    </xf>
    <xf borderId="5" fillId="5" fontId="3" numFmtId="10" xfId="0" applyAlignment="1" applyBorder="1" applyFont="1" applyNumberFormat="1">
      <alignment horizontal="left" vertical="center"/>
    </xf>
    <xf borderId="5" fillId="9" fontId="4" numFmtId="0" xfId="0" applyAlignment="1" applyBorder="1" applyFill="1" applyFont="1">
      <alignment horizontal="left" vertical="center"/>
    </xf>
    <xf borderId="5" fillId="7" fontId="3" numFmtId="0" xfId="0" applyAlignment="1" applyBorder="1" applyFont="1">
      <alignment horizontal="left" vertical="center"/>
    </xf>
    <xf borderId="5" fillId="10" fontId="4" numFmtId="0" xfId="0" applyAlignment="1" applyBorder="1" applyFill="1" applyFont="1">
      <alignment horizontal="left" vertical="center"/>
    </xf>
    <xf borderId="5" fillId="5" fontId="3" numFmtId="0" xfId="0" applyAlignment="1" applyBorder="1" applyFont="1">
      <alignment horizontal="left" vertical="center"/>
    </xf>
    <xf borderId="1" fillId="11" fontId="6" numFmtId="0" xfId="0" applyAlignment="1" applyBorder="1" applyFill="1" applyFont="1">
      <alignment horizontal="center" vertical="center"/>
    </xf>
    <xf borderId="0" fillId="0" fontId="7" numFmtId="0" xfId="0" applyFont="1"/>
    <xf borderId="0" fillId="0" fontId="8" numFmtId="0" xfId="0" applyFont="1"/>
    <xf borderId="0" fillId="0" fontId="3" numFmtId="3" xfId="0" applyFont="1" applyNumberFormat="1"/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4" fillId="6" fontId="10" numFmtId="0" xfId="0" applyAlignment="1" applyBorder="1" applyFont="1">
      <alignment horizontal="center" vertical="center"/>
    </xf>
    <xf borderId="4" fillId="12" fontId="8" numFmtId="0" xfId="0" applyAlignment="1" applyBorder="1" applyFill="1" applyFont="1">
      <alignment horizontal="left" vertical="center"/>
    </xf>
    <xf borderId="4" fillId="12" fontId="3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4" fillId="11" fontId="3" numFmtId="0" xfId="0" applyBorder="1" applyFont="1"/>
    <xf borderId="4" fillId="11" fontId="3" numFmtId="4" xfId="0" applyBorder="1" applyFont="1" applyNumberFormat="1"/>
    <xf borderId="0" fillId="0" fontId="3" numFmtId="4" xfId="0" applyFont="1" applyNumberFormat="1"/>
    <xf borderId="0" fillId="0" fontId="9" numFmtId="164" xfId="0" applyFont="1" applyNumberFormat="1"/>
    <xf borderId="4" fillId="11" fontId="3" numFmtId="164" xfId="0" applyBorder="1" applyFont="1" applyNumberFormat="1"/>
    <xf borderId="4" fillId="6" fontId="10" numFmtId="0" xfId="0" applyAlignment="1" applyBorder="1" applyFont="1">
      <alignment horizontal="center" readingOrder="0" vertical="center"/>
    </xf>
    <xf borderId="4" fillId="11" fontId="3" numFmtId="0" xfId="0" applyAlignment="1" applyBorder="1" applyFont="1">
      <alignment readingOrder="0"/>
    </xf>
    <xf borderId="4" fillId="11" fontId="3" numFmtId="0" xfId="0" applyAlignment="1" applyBorder="1" applyFont="1">
      <alignment horizontal="left" readingOrder="0" vertical="center"/>
    </xf>
    <xf borderId="4" fillId="11" fontId="3" numFmtId="4" xfId="0" applyAlignment="1" applyBorder="1" applyFont="1" applyNumberFormat="1">
      <alignment readingOrder="0"/>
    </xf>
    <xf borderId="0" fillId="0" fontId="3" numFmtId="0" xfId="0" applyAlignment="1" applyFont="1">
      <alignment horizontal="left" readingOrder="0" vertical="center"/>
    </xf>
    <xf borderId="0" fillId="0" fontId="3" numFmtId="4" xfId="0" applyAlignment="1" applyFont="1" applyNumberFormat="1">
      <alignment readingOrder="0"/>
    </xf>
    <xf borderId="4" fillId="11" fontId="3" numFmtId="164" xfId="0" applyAlignment="1" applyBorder="1" applyFont="1" applyNumberFormat="1">
      <alignment readingOrder="0"/>
    </xf>
    <xf borderId="0" fillId="0" fontId="9" numFmtId="4" xfId="0" applyFont="1" applyNumberFormat="1"/>
    <xf borderId="1" fillId="6" fontId="10" numFmtId="0" xfId="0" applyAlignment="1" applyBorder="1" applyFont="1">
      <alignment horizontal="center" vertical="center"/>
    </xf>
    <xf borderId="0" fillId="0" fontId="3" numFmtId="10" xfId="0" applyFont="1" applyNumberFormat="1"/>
  </cellXfs>
  <cellStyles count="1">
    <cellStyle xfId="0" name="Normal" builtinId="0"/>
  </cellStyles>
  <dxfs count="9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1F1F1F"/>
      </font>
      <fill>
        <patternFill patternType="solid">
          <fgColor rgb="FFFFC000"/>
          <bgColor rgb="FFFFC000"/>
        </patternFill>
      </fill>
      <border/>
    </dxf>
    <dxf>
      <font>
        <b/>
        <color rgb="FFFFFFFF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21</xdr:row>
      <xdr:rowOff>95250</xdr:rowOff>
    </xdr:from>
    <xdr:ext cx="2047875" cy="657225"/>
    <xdr:sp>
      <xdr:nvSpPr>
        <xdr:cNvPr id="3" name="Shape 3"/>
        <xdr:cNvSpPr txBox="1"/>
      </xdr:nvSpPr>
      <xdr:spPr>
        <a:xfrm>
          <a:off x="4408525" y="3956250"/>
          <a:ext cx="2268600" cy="708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3400" u="sng">
              <a:highlight>
                <a:srgbClr val="FFFF00"/>
              </a:highlight>
            </a:rPr>
            <a:t>PREVIEW</a:t>
          </a:r>
          <a:endParaRPr sz="4300" u="sng">
            <a:highlight>
              <a:srgbClr val="FFFF00"/>
            </a:highlight>
          </a:endParaRPr>
        </a:p>
      </xdr:txBody>
    </xdr:sp>
    <xdr:clientData fLocksWithSheet="0"/>
  </xdr:oneCellAnchor>
  <xdr:oneCellAnchor>
    <xdr:from>
      <xdr:col>3</xdr:col>
      <xdr:colOff>238125</xdr:colOff>
      <xdr:row>21</xdr:row>
      <xdr:rowOff>95250</xdr:rowOff>
    </xdr:from>
    <xdr:ext cx="2047875" cy="657225"/>
    <xdr:sp>
      <xdr:nvSpPr>
        <xdr:cNvPr id="4" name="Shape 4"/>
        <xdr:cNvSpPr txBox="1"/>
      </xdr:nvSpPr>
      <xdr:spPr>
        <a:xfrm>
          <a:off x="3457475" y="3170175"/>
          <a:ext cx="1753500" cy="569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500" u="sng">
              <a:highlight>
                <a:srgbClr val="00FF00"/>
              </a:highlight>
            </a:rPr>
            <a:t>CONFIRM</a:t>
          </a:r>
          <a:endParaRPr sz="2500" u="sng">
            <a:highlight>
              <a:srgbClr val="00FF00"/>
            </a:highlight>
          </a:endParaRPr>
        </a:p>
      </xdr:txBody>
    </xdr:sp>
    <xdr:clientData fLocksWithSheet="0"/>
  </xdr:oneCellAnchor>
  <xdr:oneCellAnchor>
    <xdr:from>
      <xdr:col>5</xdr:col>
      <xdr:colOff>314325</xdr:colOff>
      <xdr:row>21</xdr:row>
      <xdr:rowOff>123825</xdr:rowOff>
    </xdr:from>
    <xdr:ext cx="1685925" cy="600075"/>
    <xdr:sp>
      <xdr:nvSpPr>
        <xdr:cNvPr id="5" name="Shape 5"/>
        <xdr:cNvSpPr txBox="1"/>
      </xdr:nvSpPr>
      <xdr:spPr>
        <a:xfrm>
          <a:off x="5260525" y="3705150"/>
          <a:ext cx="1664400" cy="585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600" u="sng">
              <a:highlight>
                <a:srgbClr val="FF0000"/>
              </a:highlight>
            </a:rPr>
            <a:t>CANCEL</a:t>
          </a:r>
          <a:endParaRPr sz="2600" u="sng">
            <a:highlight>
              <a:srgbClr val="FF0000"/>
            </a:highlight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3.0"/>
    <col customWidth="1" min="4" max="4" width="26.0"/>
    <col customWidth="1" min="5" max="5" width="18.0"/>
    <col customWidth="1" min="6" max="6" width="3.0"/>
    <col customWidth="1" min="7" max="7" width="16.0"/>
    <col customWidth="1" min="8" max="8" width="73.57"/>
    <col customWidth="1" min="9" max="26" width="8.71"/>
  </cols>
  <sheetData>
    <row r="1" ht="27.75" customHeight="1">
      <c r="A1" s="1" t="s">
        <v>0</v>
      </c>
      <c r="B1" s="2"/>
      <c r="C1" s="2"/>
      <c r="D1" s="2"/>
      <c r="E1" s="3"/>
      <c r="F1" s="4"/>
      <c r="G1" s="4"/>
      <c r="H1" s="4"/>
    </row>
    <row r="2">
      <c r="A2" s="4"/>
      <c r="B2" s="4"/>
      <c r="C2" s="4"/>
      <c r="D2" s="4"/>
      <c r="E2" s="4"/>
      <c r="F2" s="4"/>
      <c r="G2" s="5" t="s">
        <v>1</v>
      </c>
      <c r="H2" s="6">
        <v>46079.21943518519</v>
      </c>
    </row>
    <row r="3">
      <c r="A3" s="7" t="s">
        <v>2</v>
      </c>
      <c r="B3" s="3"/>
      <c r="C3" s="4"/>
      <c r="D3" s="7" t="s">
        <v>3</v>
      </c>
      <c r="E3" s="3"/>
      <c r="F3" s="4"/>
      <c r="G3" s="5" t="s">
        <v>4</v>
      </c>
      <c r="H3" s="8" t="s">
        <v>5</v>
      </c>
    </row>
    <row r="4">
      <c r="A4" s="9" t="s">
        <v>6</v>
      </c>
      <c r="B4" s="10">
        <f>CONFIG!B2</f>
        <v>3000000</v>
      </c>
      <c r="C4" s="4"/>
      <c r="D4" s="9" t="s">
        <v>7</v>
      </c>
      <c r="E4" s="10">
        <f>RESUMEN!B2</f>
        <v>420514</v>
      </c>
      <c r="F4" s="4"/>
      <c r="G4" s="5" t="s">
        <v>8</v>
      </c>
      <c r="H4" s="11" t="s">
        <v>9</v>
      </c>
    </row>
    <row r="5">
      <c r="A5" s="9" t="s">
        <v>10</v>
      </c>
      <c r="B5" s="12">
        <f>CONFIG!B3</f>
        <v>1000000</v>
      </c>
      <c r="C5" s="4"/>
      <c r="D5" s="9" t="s">
        <v>11</v>
      </c>
      <c r="E5" s="12">
        <f>RESUMEN!B3</f>
        <v>114218.5</v>
      </c>
      <c r="F5" s="4"/>
      <c r="G5" s="5" t="s">
        <v>12</v>
      </c>
      <c r="H5" s="8" t="s">
        <v>13</v>
      </c>
    </row>
    <row r="6">
      <c r="A6" s="9" t="s">
        <v>14</v>
      </c>
      <c r="B6" s="10">
        <f>CONFIG!B4</f>
        <v>300000</v>
      </c>
      <c r="C6" s="4"/>
      <c r="D6" s="9" t="s">
        <v>15</v>
      </c>
      <c r="E6" s="10">
        <f>RESUMEN!B4</f>
        <v>0</v>
      </c>
      <c r="F6" s="4"/>
      <c r="G6" s="5" t="s">
        <v>16</v>
      </c>
      <c r="H6" s="11" t="s">
        <v>17</v>
      </c>
    </row>
    <row r="7">
      <c r="A7" s="9" t="s">
        <v>18</v>
      </c>
      <c r="B7" s="12">
        <f>CONFIG!B5</f>
        <v>950</v>
      </c>
      <c r="C7" s="4"/>
      <c r="D7" s="9" t="s">
        <v>19</v>
      </c>
      <c r="E7" s="12">
        <f>RESUMEN!B5</f>
        <v>0</v>
      </c>
      <c r="F7" s="4"/>
      <c r="G7" s="5" t="s">
        <v>20</v>
      </c>
      <c r="H7" s="8" t="s">
        <v>21</v>
      </c>
    </row>
    <row r="8">
      <c r="A8" s="9" t="s">
        <v>22</v>
      </c>
      <c r="B8" s="10">
        <f>CONFIG!B6</f>
        <v>0</v>
      </c>
      <c r="C8" s="4"/>
      <c r="D8" s="9" t="s">
        <v>23</v>
      </c>
      <c r="E8" s="13">
        <f>PROYECCION!B3</f>
        <v>1300000</v>
      </c>
      <c r="F8" s="4"/>
      <c r="G8" s="4"/>
      <c r="H8" s="4"/>
    </row>
    <row r="9">
      <c r="A9" s="4"/>
      <c r="B9" s="4"/>
      <c r="C9" s="4"/>
      <c r="D9" s="14" t="s">
        <v>24</v>
      </c>
      <c r="E9" s="15">
        <f>PROYECCION!B7</f>
        <v>1165267.5</v>
      </c>
      <c r="F9" s="4"/>
      <c r="G9" s="4"/>
      <c r="H9" s="4"/>
    </row>
    <row r="10">
      <c r="A10" s="4"/>
      <c r="B10" s="4"/>
      <c r="C10" s="4"/>
      <c r="D10" s="16" t="s">
        <v>25</v>
      </c>
      <c r="E10" s="17">
        <f>IFERROR(PROYECCION!B7/PROYECCION!B2,0)</f>
        <v>0.3884225</v>
      </c>
      <c r="F10" s="4"/>
      <c r="G10" s="4"/>
      <c r="H10" s="4"/>
    </row>
    <row r="11">
      <c r="A11" s="7" t="s">
        <v>26</v>
      </c>
      <c r="B11" s="2"/>
      <c r="C11" s="2"/>
      <c r="D11" s="2"/>
      <c r="E11" s="3"/>
      <c r="F11" s="4"/>
      <c r="G11" s="4"/>
      <c r="H11" s="4"/>
    </row>
    <row r="12" ht="25.5" customHeight="1">
      <c r="A12" s="9" t="s">
        <v>12</v>
      </c>
      <c r="B12" s="18" t="str">
        <f>IF(E10&lt;0.15,"🔴 RED",IF(E10&lt;0.2,"🟡 YELLOW","🟢 GREEN"))</f>
        <v>🟢 GREEN</v>
      </c>
      <c r="C12" s="2"/>
      <c r="D12" s="2"/>
      <c r="E12" s="3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19" t="s">
        <v>27</v>
      </c>
      <c r="F14" s="4"/>
      <c r="G14" s="4"/>
      <c r="H14" s="4"/>
    </row>
    <row r="15">
      <c r="A15" s="20" t="s">
        <v>28</v>
      </c>
      <c r="B15" s="21">
        <f>MAX(0,MIN(500000,PROYECCION!B7-300000))</f>
        <v>500000</v>
      </c>
      <c r="F15" s="4"/>
      <c r="G15" s="4"/>
      <c r="H15" s="4"/>
    </row>
    <row r="16">
      <c r="A16" s="20" t="s">
        <v>29</v>
      </c>
      <c r="B16" s="21">
        <f>PROYECCION!B7-B15</f>
        <v>665267.5</v>
      </c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19" t="s">
        <v>30</v>
      </c>
      <c r="F18" s="4"/>
      <c r="G18" s="4"/>
      <c r="H18" s="4"/>
    </row>
    <row r="19">
      <c r="A19" s="20" t="s">
        <v>31</v>
      </c>
      <c r="B19" s="22" t="str">
        <f>IF(PROYECCION!B7-100000&gt;=300000,"YES","NO")</f>
        <v>YES</v>
      </c>
      <c r="F19" s="4"/>
      <c r="G19" s="4"/>
      <c r="H19" s="4"/>
    </row>
    <row r="20">
      <c r="A20" s="20" t="s">
        <v>32</v>
      </c>
      <c r="B20" s="22" t="str">
        <f>IF(PROYECCION!B7-200000&gt;=300000,"YES","NO")</f>
        <v>YES</v>
      </c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19" t="s">
        <v>33</v>
      </c>
      <c r="F22" s="4"/>
      <c r="G22" s="4"/>
      <c r="H22" s="4"/>
    </row>
    <row r="23" ht="15.75" customHeight="1">
      <c r="A23" s="20" t="s">
        <v>34</v>
      </c>
      <c r="B23" s="21">
        <f>MAX(600000,PROYECCION!B2*0.25)</f>
        <v>750000</v>
      </c>
      <c r="F23" s="4"/>
      <c r="G23" s="4"/>
      <c r="H23" s="4"/>
    </row>
    <row r="24" ht="15.75" customHeight="1">
      <c r="A24" s="20" t="s">
        <v>35</v>
      </c>
      <c r="B24" s="22">
        <f>IFERROR(ROUNDUP(B23/(PROYECCION!B7/30),0),"")</f>
        <v>20</v>
      </c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19" t="s">
        <v>36</v>
      </c>
      <c r="F26" s="4"/>
      <c r="G26" s="4"/>
      <c r="H26" s="4"/>
    </row>
    <row r="27" ht="15.75" customHeight="1">
      <c r="A27" s="20" t="s">
        <v>37</v>
      </c>
      <c r="B27" s="22" t="s">
        <v>38</v>
      </c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E1"/>
    <mergeCell ref="A3:B3"/>
    <mergeCell ref="D3:E3"/>
    <mergeCell ref="A11:E11"/>
    <mergeCell ref="B12:E12"/>
    <mergeCell ref="A14:E14"/>
    <mergeCell ref="B15:E15"/>
    <mergeCell ref="A26:E26"/>
    <mergeCell ref="B27:E27"/>
    <mergeCell ref="B16:E16"/>
    <mergeCell ref="A18:E18"/>
    <mergeCell ref="B19:E19"/>
    <mergeCell ref="B20:E20"/>
    <mergeCell ref="A22:E22"/>
    <mergeCell ref="B23:E23"/>
    <mergeCell ref="B24:E24"/>
  </mergeCells>
  <conditionalFormatting sqref="B12">
    <cfRule type="expression" dxfId="0" priority="1" stopIfTrue="1">
      <formula>$E$10&lt;0.15</formula>
    </cfRule>
  </conditionalFormatting>
  <conditionalFormatting sqref="B12">
    <cfRule type="expression" dxfId="1" priority="2" stopIfTrue="1">
      <formula>AND($E$10&gt;=0.15,$E$10&lt;0.2)</formula>
    </cfRule>
  </conditionalFormatting>
  <conditionalFormatting sqref="B12">
    <cfRule type="expression" dxfId="2" priority="3" stopIfTrue="1">
      <formula>$E$10&gt;=0.2</formula>
    </cfRule>
  </conditionalFormatting>
  <conditionalFormatting sqref="B12:E12">
    <cfRule type="expression" dxfId="3" priority="4">
      <formula>$B$12="RED"</formula>
    </cfRule>
  </conditionalFormatting>
  <conditionalFormatting sqref="B12:E12">
    <cfRule type="expression" dxfId="4" priority="5">
      <formula>$B$12="YELLOW"</formula>
    </cfRule>
  </conditionalFormatting>
  <conditionalFormatting sqref="B12:E12">
    <cfRule type="expression" dxfId="5" priority="6">
      <formula>$B$12="GREEN"</formula>
    </cfRule>
  </conditionalFormatting>
  <conditionalFormatting sqref="B12:E12">
    <cfRule type="expression" dxfId="3" priority="7">
      <formula>ISNUMBER(SEARCH("RED",$B$12))</formula>
    </cfRule>
  </conditionalFormatting>
  <conditionalFormatting sqref="B12:E12">
    <cfRule type="expression" dxfId="4" priority="8">
      <formula>ISNUMBER(SEARCH("YELLOW",$B$12))</formula>
    </cfRule>
  </conditionalFormatting>
  <conditionalFormatting sqref="B12:E12">
    <cfRule type="expression" dxfId="5" priority="9">
      <formula>ISNUMBER(SEARCH("GREEN",$B$12))</formula>
    </cfRule>
  </conditionalFormatting>
  <conditionalFormatting sqref="E10">
    <cfRule type="expression" dxfId="6" priority="10">
      <formula>$E$10&lt;0.15</formula>
    </cfRule>
  </conditionalFormatting>
  <conditionalFormatting sqref="E10">
    <cfRule type="expression" dxfId="7" priority="11">
      <formula>AND($E$10&gt;=0.15,$E$10&lt;0.2)</formula>
    </cfRule>
  </conditionalFormatting>
  <conditionalFormatting sqref="E10">
    <cfRule type="expression" dxfId="8" priority="12">
      <formula>$E$10&gt;=0.2</formula>
    </cfRule>
  </conditionalFormatting>
  <conditionalFormatting sqref="E10">
    <cfRule type="expression" dxfId="6" priority="13">
      <formula>E10&lt;0.15</formula>
    </cfRule>
  </conditionalFormatting>
  <conditionalFormatting sqref="E10">
    <cfRule type="expression" dxfId="7" priority="14">
      <formula>AND(E10&gt;=0.15,E10&lt;0.2)</formula>
    </cfRule>
  </conditionalFormatting>
  <conditionalFormatting sqref="E10">
    <cfRule type="expression" dxfId="8" priority="15">
      <formula>E10&gt;=0.2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68.43"/>
  </cols>
  <sheetData>
    <row r="1">
      <c r="A1" s="23" t="s">
        <v>39</v>
      </c>
    </row>
    <row r="2">
      <c r="A2" s="23" t="s">
        <v>40</v>
      </c>
      <c r="B2" s="24">
        <v>46079.21915601852</v>
      </c>
    </row>
    <row r="4">
      <c r="A4" s="23" t="s">
        <v>41</v>
      </c>
      <c r="B4" s="23" t="s">
        <v>42</v>
      </c>
    </row>
    <row r="5">
      <c r="A5" s="23" t="s">
        <v>43</v>
      </c>
      <c r="B5" s="25">
        <v>2.0260226E7</v>
      </c>
    </row>
    <row r="6">
      <c r="A6" s="23" t="s">
        <v>44</v>
      </c>
      <c r="B6" s="23" t="s">
        <v>17</v>
      </c>
    </row>
    <row r="7">
      <c r="A7" s="23" t="s">
        <v>45</v>
      </c>
      <c r="B7" s="25">
        <v>20.0</v>
      </c>
    </row>
    <row r="8">
      <c r="A8" s="23" t="s">
        <v>46</v>
      </c>
      <c r="B8" s="25">
        <v>420514.0</v>
      </c>
    </row>
    <row r="9">
      <c r="A9" s="23" t="s">
        <v>47</v>
      </c>
      <c r="B9" s="25">
        <v>-269753.0</v>
      </c>
    </row>
    <row r="10">
      <c r="A10" s="23" t="s">
        <v>48</v>
      </c>
      <c r="B10" s="25">
        <v>690267.0</v>
      </c>
    </row>
    <row r="12">
      <c r="A12" s="23" t="s">
        <v>49</v>
      </c>
      <c r="B12" s="23" t="s">
        <v>50</v>
      </c>
    </row>
    <row r="13">
      <c r="A13" s="23" t="s">
        <v>51</v>
      </c>
      <c r="B13" s="25">
        <v>2.0260226E7</v>
      </c>
    </row>
    <row r="14">
      <c r="A14" s="23" t="s">
        <v>52</v>
      </c>
      <c r="B14" s="23" t="s">
        <v>21</v>
      </c>
    </row>
    <row r="15">
      <c r="A15" s="23" t="s">
        <v>53</v>
      </c>
      <c r="B15" s="25">
        <v>3.0</v>
      </c>
    </row>
    <row r="16">
      <c r="A16" s="23" t="s">
        <v>54</v>
      </c>
      <c r="B16" s="25">
        <v>120.23</v>
      </c>
    </row>
    <row r="17">
      <c r="A17" s="23" t="s">
        <v>55</v>
      </c>
      <c r="B17" s="25">
        <v>-36.690000000000005</v>
      </c>
    </row>
    <row r="18">
      <c r="A18" s="23" t="s">
        <v>56</v>
      </c>
      <c r="B18" s="25">
        <v>156.92000000000002</v>
      </c>
    </row>
    <row r="20">
      <c r="A20" s="23" t="s">
        <v>57</v>
      </c>
      <c r="B20" s="23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59</v>
      </c>
      <c r="B1" s="23" t="s">
        <v>60</v>
      </c>
      <c r="C1" s="23" t="s">
        <v>61</v>
      </c>
    </row>
    <row r="2">
      <c r="A2" s="23" t="s">
        <v>62</v>
      </c>
      <c r="B2" s="23" t="s">
        <v>63</v>
      </c>
      <c r="C2" s="25">
        <v>12931.0</v>
      </c>
    </row>
    <row r="3">
      <c r="A3" s="23" t="s">
        <v>62</v>
      </c>
      <c r="B3" s="23" t="s">
        <v>64</v>
      </c>
      <c r="C3" s="25">
        <v>46990.0</v>
      </c>
    </row>
    <row r="4">
      <c r="A4" s="23" t="s">
        <v>65</v>
      </c>
      <c r="B4" s="23" t="s">
        <v>66</v>
      </c>
      <c r="C4" s="25">
        <v>6499.0</v>
      </c>
    </row>
    <row r="5">
      <c r="A5" s="23" t="s">
        <v>65</v>
      </c>
      <c r="B5" s="23" t="s">
        <v>67</v>
      </c>
      <c r="C5" s="25">
        <v>12600.0</v>
      </c>
    </row>
    <row r="6">
      <c r="A6" s="23" t="s">
        <v>65</v>
      </c>
      <c r="B6" s="23" t="s">
        <v>66</v>
      </c>
      <c r="C6" s="25">
        <v>4999.0</v>
      </c>
    </row>
    <row r="7">
      <c r="A7" s="23" t="s">
        <v>65</v>
      </c>
      <c r="B7" s="23" t="s">
        <v>67</v>
      </c>
      <c r="C7" s="25">
        <v>6078.0</v>
      </c>
    </row>
    <row r="8">
      <c r="A8" s="23" t="s">
        <v>68</v>
      </c>
      <c r="B8" s="23" t="s">
        <v>69</v>
      </c>
      <c r="C8" s="25">
        <v>11980.0</v>
      </c>
    </row>
    <row r="9">
      <c r="A9" s="23" t="s">
        <v>68</v>
      </c>
      <c r="B9" s="23" t="s">
        <v>70</v>
      </c>
      <c r="C9" s="25">
        <v>7699.0</v>
      </c>
    </row>
    <row r="10">
      <c r="A10" s="23" t="s">
        <v>71</v>
      </c>
      <c r="B10" s="23" t="s">
        <v>72</v>
      </c>
      <c r="C10" s="25">
        <v>19990.0</v>
      </c>
    </row>
    <row r="11">
      <c r="A11" s="23" t="s">
        <v>71</v>
      </c>
      <c r="B11" s="23" t="s">
        <v>73</v>
      </c>
      <c r="C11" s="25">
        <v>11550.0</v>
      </c>
    </row>
    <row r="12">
      <c r="A12" s="23" t="s">
        <v>68</v>
      </c>
      <c r="B12" s="23" t="s">
        <v>74</v>
      </c>
      <c r="C12" s="25">
        <v>86791.0</v>
      </c>
    </row>
    <row r="13">
      <c r="A13" s="23" t="s">
        <v>71</v>
      </c>
      <c r="B13" s="23" t="s">
        <v>75</v>
      </c>
      <c r="C13" s="25">
        <v>41030.0</v>
      </c>
    </row>
    <row r="14">
      <c r="A14" s="23" t="s">
        <v>71</v>
      </c>
      <c r="B14" s="23" t="s">
        <v>75</v>
      </c>
      <c r="C14" s="25">
        <v>18331.0</v>
      </c>
    </row>
    <row r="15">
      <c r="A15" s="23" t="s">
        <v>76</v>
      </c>
      <c r="B15" s="23" t="s">
        <v>77</v>
      </c>
      <c r="C15" s="25">
        <v>33240.0</v>
      </c>
    </row>
    <row r="16">
      <c r="A16" s="23" t="s">
        <v>78</v>
      </c>
      <c r="B16" s="23" t="s">
        <v>79</v>
      </c>
      <c r="C16" s="25">
        <v>15295.0</v>
      </c>
    </row>
    <row r="17">
      <c r="A17" s="26">
        <v>46235.0</v>
      </c>
      <c r="B17" s="23" t="s">
        <v>80</v>
      </c>
      <c r="C17" s="25">
        <v>20813.0</v>
      </c>
    </row>
    <row r="18">
      <c r="A18" s="26">
        <v>46204.0</v>
      </c>
      <c r="B18" s="23" t="s">
        <v>81</v>
      </c>
      <c r="C18" s="25">
        <v>10997.0</v>
      </c>
    </row>
    <row r="19">
      <c r="A19" s="23" t="s">
        <v>82</v>
      </c>
      <c r="B19" s="23" t="s">
        <v>83</v>
      </c>
      <c r="C19" s="25">
        <v>17538.0</v>
      </c>
    </row>
    <row r="20">
      <c r="A20" s="23" t="s">
        <v>84</v>
      </c>
      <c r="B20" s="23" t="s">
        <v>85</v>
      </c>
      <c r="C20" s="25">
        <v>20496.0</v>
      </c>
    </row>
    <row r="21">
      <c r="A21" s="23" t="s">
        <v>86</v>
      </c>
      <c r="B21" s="23" t="s">
        <v>87</v>
      </c>
      <c r="C21" s="25">
        <v>14667.0</v>
      </c>
    </row>
    <row r="22">
      <c r="A22" s="23"/>
      <c r="B22" s="23"/>
      <c r="C22" s="25"/>
    </row>
    <row r="23">
      <c r="A23" s="23"/>
      <c r="B23" s="23"/>
      <c r="C23" s="25"/>
    </row>
    <row r="24">
      <c r="A24" s="26"/>
      <c r="B24" s="23"/>
      <c r="C24" s="25"/>
    </row>
    <row r="25">
      <c r="A25" s="26"/>
      <c r="B25" s="23"/>
      <c r="C25" s="25"/>
    </row>
    <row r="26">
      <c r="A26" s="23"/>
      <c r="B26" s="23"/>
      <c r="C26" s="25"/>
    </row>
    <row r="27">
      <c r="A27" s="23"/>
      <c r="B27" s="23"/>
      <c r="C27" s="25"/>
    </row>
    <row r="28">
      <c r="A28" s="23"/>
      <c r="B28" s="23"/>
      <c r="C28" s="25"/>
    </row>
    <row r="29">
      <c r="A29" s="23"/>
      <c r="B29" s="23"/>
      <c r="C29" s="25"/>
    </row>
    <row r="30">
      <c r="A30" s="23"/>
      <c r="B30" s="23"/>
      <c r="C30" s="25"/>
    </row>
    <row r="31">
      <c r="A31" s="23"/>
      <c r="B31" s="23"/>
      <c r="C31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59</v>
      </c>
      <c r="B1" s="23" t="s">
        <v>60</v>
      </c>
      <c r="C1" s="23" t="s">
        <v>88</v>
      </c>
    </row>
    <row r="2">
      <c r="A2" s="23" t="s">
        <v>89</v>
      </c>
      <c r="B2" s="23" t="s">
        <v>90</v>
      </c>
      <c r="C2" s="25">
        <v>4.99</v>
      </c>
    </row>
    <row r="3">
      <c r="A3" s="23" t="s">
        <v>91</v>
      </c>
      <c r="B3" s="23" t="s">
        <v>92</v>
      </c>
      <c r="C3" s="25">
        <v>102.76</v>
      </c>
    </row>
    <row r="4">
      <c r="A4" s="23" t="s">
        <v>93</v>
      </c>
      <c r="B4" s="23" t="s">
        <v>94</v>
      </c>
      <c r="C4" s="25">
        <v>12.48</v>
      </c>
    </row>
    <row r="5">
      <c r="A5" s="26"/>
      <c r="B5" s="23"/>
      <c r="C5" s="25"/>
    </row>
    <row r="6">
      <c r="A6" s="26"/>
      <c r="B6" s="23"/>
      <c r="C6" s="25"/>
    </row>
    <row r="7">
      <c r="A7" s="26"/>
      <c r="B7" s="23"/>
      <c r="C7" s="25"/>
    </row>
    <row r="8">
      <c r="A8" s="26"/>
      <c r="B8" s="23"/>
      <c r="C8" s="25"/>
    </row>
    <row r="9">
      <c r="A9" s="26"/>
      <c r="B9" s="23"/>
      <c r="C9" s="25"/>
    </row>
    <row r="10">
      <c r="A10" s="23"/>
      <c r="B10" s="23"/>
      <c r="C10" s="25"/>
    </row>
    <row r="11">
      <c r="A11" s="23"/>
      <c r="B11" s="23"/>
      <c r="C11" s="25"/>
    </row>
    <row r="12">
      <c r="A12" s="23"/>
      <c r="B12" s="23"/>
      <c r="C12" s="25"/>
    </row>
    <row r="13">
      <c r="A13" s="23"/>
      <c r="B13" s="23"/>
      <c r="C13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.0"/>
    <col customWidth="1" min="4" max="4" width="60.0"/>
    <col customWidth="1" min="5" max="26" width="8.71"/>
  </cols>
  <sheetData>
    <row r="1">
      <c r="A1" s="27" t="s">
        <v>95</v>
      </c>
      <c r="B1" s="27" t="s">
        <v>96</v>
      </c>
      <c r="C1" s="27"/>
      <c r="D1" s="27" t="s">
        <v>97</v>
      </c>
    </row>
    <row r="2">
      <c r="A2" s="28" t="s">
        <v>98</v>
      </c>
      <c r="B2" s="29">
        <v>3000000.0</v>
      </c>
      <c r="D2" s="22" t="s">
        <v>99</v>
      </c>
    </row>
    <row r="3">
      <c r="A3" s="30" t="s">
        <v>100</v>
      </c>
      <c r="B3" s="31">
        <v>1000000.0</v>
      </c>
    </row>
    <row r="4">
      <c r="A4" s="28" t="s">
        <v>101</v>
      </c>
      <c r="B4" s="29">
        <v>300000.0</v>
      </c>
    </row>
    <row r="5">
      <c r="A5" s="30" t="s">
        <v>102</v>
      </c>
      <c r="B5" s="31">
        <v>950.0</v>
      </c>
    </row>
    <row r="6">
      <c r="A6" s="28" t="s">
        <v>103</v>
      </c>
      <c r="B6" s="29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56.0"/>
    <col customWidth="1" min="4" max="4" width="14.0"/>
    <col customWidth="1" min="5" max="6" width="10.0"/>
    <col customWidth="1" min="7" max="7" width="14.0"/>
    <col customWidth="1" min="8" max="9" width="16.0"/>
    <col customWidth="1" min="10" max="10" width="22.0"/>
    <col customWidth="1" min="11" max="12" width="8.71"/>
    <col customWidth="1" min="13" max="13" width="82.86"/>
  </cols>
  <sheetData>
    <row r="1">
      <c r="A1" s="27" t="s">
        <v>104</v>
      </c>
      <c r="B1" s="27" t="s">
        <v>59</v>
      </c>
      <c r="C1" s="27" t="s">
        <v>60</v>
      </c>
      <c r="D1" s="27" t="s">
        <v>105</v>
      </c>
      <c r="E1" s="27" t="s">
        <v>106</v>
      </c>
      <c r="F1" s="27" t="s">
        <v>107</v>
      </c>
      <c r="G1" s="27" t="s">
        <v>108</v>
      </c>
      <c r="H1" s="27" t="s">
        <v>109</v>
      </c>
      <c r="I1" s="27" t="s">
        <v>110</v>
      </c>
      <c r="J1" s="27" t="s">
        <v>111</v>
      </c>
      <c r="L1" s="19" t="s">
        <v>112</v>
      </c>
    </row>
    <row r="2">
      <c r="A2" s="32" t="s">
        <v>113</v>
      </c>
      <c r="B2" s="32" t="str">
        <f>IF(MOV_CC_NACIONAL!A2="","",MOV_CC_NACIONAL!A2)</f>
        <v>25-02-2026</v>
      </c>
      <c r="C2" s="32" t="str">
        <f>IF(MOV_CC_NACIONAL!B2="","",MOV_CC_NACIONAL!B2)</f>
        <v>UBER RIDES UBER RIDES    LAS CO</v>
      </c>
      <c r="D2" s="33">
        <f>IF(MOV_CC_NACIONAL!C2="","",MOV_CC_NACIONAL!C2)</f>
        <v>12931</v>
      </c>
      <c r="E2" s="32" t="str">
        <f t="shared" ref="E2:E2001" si="1">IF(B2="","", "CLP")</f>
        <v>CLP</v>
      </c>
      <c r="F2" s="32" t="b">
        <f>IFERROR(__xludf.DUMMYFUNCTION("IF(C2="""","""", OR(REGEXMATCH(LOWER(C2),""cuota""), REGEXMATCH(C2,""\d+\s*/\s*\d+"")))"),FALSE)</f>
        <v>0</v>
      </c>
      <c r="G2" s="32" t="str">
        <f>IFERROR(__xludf.DUMMYFUNCTION("IFERROR(VALUE(REGEXEXTRACT(C2,""(\d+)\s*/\s*\d+"")),"""")"),"")</f>
        <v/>
      </c>
      <c r="H2" s="32" t="str">
        <f>IFERROR(__xludf.DUMMYFUNCTION("IFERROR(VALUE(REGEXEXTRACT(C2,""\d+\s*/\s*(\d+)"")),"""")"),"")</f>
        <v/>
      </c>
      <c r="I2" s="32" t="str">
        <f t="shared" ref="I2:I2001" si="2">IF(OR(G2="",H2=""),"",H2-G2)</f>
        <v/>
      </c>
      <c r="J2" s="33" t="str">
        <f t="shared" ref="J2:J2001" si="3">IF(OR(D2="",I2=""),"",D2*I2)</f>
        <v/>
      </c>
      <c r="L2" s="20" t="s">
        <v>114</v>
      </c>
      <c r="M2" s="22">
        <f>SUMIF(F:F,TRUE,J:J)</f>
        <v>0</v>
      </c>
    </row>
    <row r="3">
      <c r="A3" s="22" t="s">
        <v>113</v>
      </c>
      <c r="B3" s="22" t="str">
        <f>IF(MOV_CC_NACIONAL!A3="","",MOV_CC_NACIONAL!A3)</f>
        <v>25-02-2026</v>
      </c>
      <c r="C3" s="22" t="str">
        <f>IF(MOV_CC_NACIONAL!B3="","",MOV_CC_NACIONAL!B3)</f>
        <v>CHILE DOGS LTDA          CON CO</v>
      </c>
      <c r="D3" s="34">
        <f>IF(MOV_CC_NACIONAL!C3="","",MOV_CC_NACIONAL!C3)</f>
        <v>46990</v>
      </c>
      <c r="E3" s="22" t="str">
        <f t="shared" si="1"/>
        <v>CLP</v>
      </c>
      <c r="F3" s="22" t="b">
        <f>IFERROR(__xludf.DUMMYFUNCTION("IF(C3="""","""", OR(REGEXMATCH(LOWER(C3),""cuota""), REGEXMATCH(C3,""\d+\s*/\s*\d+"")))"),FALSE)</f>
        <v>0</v>
      </c>
      <c r="G3" s="22" t="str">
        <f>IFERROR(__xludf.DUMMYFUNCTION("IFERROR(VALUE(REGEXEXTRACT(C3,""(\d+)\s*/\s*\d+"")),"""")"),"")</f>
        <v/>
      </c>
      <c r="H3" s="22" t="str">
        <f>IFERROR(__xludf.DUMMYFUNCTION("IFERROR(VALUE(REGEXEXTRACT(C3,""\d+\s*/\s*(\d+)"")),"""")"),"")</f>
        <v/>
      </c>
      <c r="I3" s="22" t="str">
        <f t="shared" si="2"/>
        <v/>
      </c>
      <c r="J3" s="34" t="str">
        <f t="shared" si="3"/>
        <v/>
      </c>
      <c r="L3" s="20" t="s">
        <v>115</v>
      </c>
      <c r="M3" s="22">
        <f>COUNTIF(F:F,TRUE)</f>
        <v>0</v>
      </c>
    </row>
    <row r="4">
      <c r="A4" s="32" t="s">
        <v>113</v>
      </c>
      <c r="B4" s="32" t="str">
        <f>IF(MOV_CC_NACIONAL!A4="","",MOV_CC_NACIONAL!A4)</f>
        <v>24-02-2026</v>
      </c>
      <c r="C4" s="32" t="str">
        <f>IF(MOV_CC_NACIONAL!B4="","",MOV_CC_NACIONAL!B4)</f>
        <v>PAYU   *FLIXBUS          SANTIA</v>
      </c>
      <c r="D4" s="33">
        <f>IF(MOV_CC_NACIONAL!C4="","",MOV_CC_NACIONAL!C4)</f>
        <v>6499</v>
      </c>
      <c r="E4" s="32" t="str">
        <f t="shared" si="1"/>
        <v>CLP</v>
      </c>
      <c r="F4" s="32" t="b">
        <f>IFERROR(__xludf.DUMMYFUNCTION("IF(C4="""","""", OR(REGEXMATCH(LOWER(C4),""cuota""), REGEXMATCH(C4,""\d+\s*/\s*\d+"")))"),FALSE)</f>
        <v>0</v>
      </c>
      <c r="G4" s="32" t="str">
        <f>IFERROR(__xludf.DUMMYFUNCTION("IFERROR(VALUE(REGEXEXTRACT(C4,""(\d+)\s*/\s*\d+"")),"""")"),"")</f>
        <v/>
      </c>
      <c r="H4" s="32" t="str">
        <f>IFERROR(__xludf.DUMMYFUNCTION("IFERROR(VALUE(REGEXEXTRACT(C4,""\d+\s*/\s*(\d+)"")),"""")"),"")</f>
        <v/>
      </c>
      <c r="I4" s="32" t="str">
        <f t="shared" si="2"/>
        <v/>
      </c>
      <c r="J4" s="33" t="str">
        <f t="shared" si="3"/>
        <v/>
      </c>
    </row>
    <row r="5">
      <c r="A5" s="22" t="s">
        <v>113</v>
      </c>
      <c r="B5" s="22" t="str">
        <f>IF(MOV_CC_NACIONAL!A5="","",MOV_CC_NACIONAL!A5)</f>
        <v>24-02-2026</v>
      </c>
      <c r="C5" s="22" t="str">
        <f>IF(MOV_CC_NACIONAL!B5="","",MOV_CC_NACIONAL!B5)</f>
        <v>PAYU   *UBER TRIP        SANTIA</v>
      </c>
      <c r="D5" s="34">
        <f>IF(MOV_CC_NACIONAL!C5="","",MOV_CC_NACIONAL!C5)</f>
        <v>12600</v>
      </c>
      <c r="E5" s="22" t="str">
        <f t="shared" si="1"/>
        <v>CLP</v>
      </c>
      <c r="F5" s="22" t="b">
        <f>IFERROR(__xludf.DUMMYFUNCTION("IF(C5="""","""", OR(REGEXMATCH(LOWER(C5),""cuota""), REGEXMATCH(C5,""\d+\s*/\s*\d+"")))"),FALSE)</f>
        <v>0</v>
      </c>
      <c r="G5" s="22" t="str">
        <f>IFERROR(__xludf.DUMMYFUNCTION("IFERROR(VALUE(REGEXEXTRACT(C5,""(\d+)\s*/\s*\d+"")),"""")"),"")</f>
        <v/>
      </c>
      <c r="H5" s="22" t="str">
        <f>IFERROR(__xludf.DUMMYFUNCTION("IFERROR(VALUE(REGEXEXTRACT(C5,""\d+\s*/\s*(\d+)"")),"""")"),"")</f>
        <v/>
      </c>
      <c r="I5" s="22" t="str">
        <f t="shared" si="2"/>
        <v/>
      </c>
      <c r="J5" s="34" t="str">
        <f t="shared" si="3"/>
        <v/>
      </c>
      <c r="L5" s="20" t="s">
        <v>116</v>
      </c>
      <c r="M5" s="22" t="s">
        <v>117</v>
      </c>
    </row>
    <row r="6">
      <c r="A6" s="32" t="s">
        <v>113</v>
      </c>
      <c r="B6" s="32" t="str">
        <f>IF(MOV_CC_NACIONAL!A6="","",MOV_CC_NACIONAL!A6)</f>
        <v>24-02-2026</v>
      </c>
      <c r="C6" s="32" t="str">
        <f>IF(MOV_CC_NACIONAL!B6="","",MOV_CC_NACIONAL!B6)</f>
        <v>PAYU   *FLIXBUS          SANTIA</v>
      </c>
      <c r="D6" s="33">
        <f>IF(MOV_CC_NACIONAL!C6="","",MOV_CC_NACIONAL!C6)</f>
        <v>4999</v>
      </c>
      <c r="E6" s="32" t="str">
        <f t="shared" si="1"/>
        <v>CLP</v>
      </c>
      <c r="F6" s="32" t="b">
        <f>IFERROR(__xludf.DUMMYFUNCTION("IF(C6="""","""", OR(REGEXMATCH(LOWER(C6),""cuota""), REGEXMATCH(C6,""\d+\s*/\s*\d+"")))"),FALSE)</f>
        <v>0</v>
      </c>
      <c r="G6" s="32" t="str">
        <f>IFERROR(__xludf.DUMMYFUNCTION("IFERROR(VALUE(REGEXEXTRACT(C6,""(\d+)\s*/\s*\d+"")),"""")"),"")</f>
        <v/>
      </c>
      <c r="H6" s="32" t="str">
        <f>IFERROR(__xludf.DUMMYFUNCTION("IFERROR(VALUE(REGEXEXTRACT(C6,""\d+\s*/\s*(\d+)"")),"""")"),"")</f>
        <v/>
      </c>
      <c r="I6" s="32" t="str">
        <f t="shared" si="2"/>
        <v/>
      </c>
      <c r="J6" s="33" t="str">
        <f t="shared" si="3"/>
        <v/>
      </c>
    </row>
    <row r="7">
      <c r="A7" s="22" t="s">
        <v>113</v>
      </c>
      <c r="B7" s="22" t="str">
        <f>IF(MOV_CC_NACIONAL!A7="","",MOV_CC_NACIONAL!A7)</f>
        <v>24-02-2026</v>
      </c>
      <c r="C7" s="22" t="str">
        <f>IF(MOV_CC_NACIONAL!B7="","",MOV_CC_NACIONAL!B7)</f>
        <v>PAYU   *UBER TRIP        SANTIA</v>
      </c>
      <c r="D7" s="34">
        <f>IF(MOV_CC_NACIONAL!C7="","",MOV_CC_NACIONAL!C7)</f>
        <v>6078</v>
      </c>
      <c r="E7" s="22" t="str">
        <f t="shared" si="1"/>
        <v>CLP</v>
      </c>
      <c r="F7" s="22" t="b">
        <f>IFERROR(__xludf.DUMMYFUNCTION("IF(C7="""","""", OR(REGEXMATCH(LOWER(C7),""cuota""), REGEXMATCH(C7,""\d+\s*/\s*\d+"")))"),FALSE)</f>
        <v>0</v>
      </c>
      <c r="G7" s="22" t="str">
        <f>IFERROR(__xludf.DUMMYFUNCTION("IFERROR(VALUE(REGEXEXTRACT(C7,""(\d+)\s*/\s*\d+"")),"""")"),"")</f>
        <v/>
      </c>
      <c r="H7" s="22" t="str">
        <f>IFERROR(__xludf.DUMMYFUNCTION("IFERROR(VALUE(REGEXEXTRACT(C7,""\d+\s*/\s*(\d+)"")),"""")"),"")</f>
        <v/>
      </c>
      <c r="I7" s="22" t="str">
        <f t="shared" si="2"/>
        <v/>
      </c>
      <c r="J7" s="34" t="str">
        <f t="shared" si="3"/>
        <v/>
      </c>
      <c r="L7" s="19" t="s">
        <v>118</v>
      </c>
    </row>
    <row r="8">
      <c r="A8" s="32" t="s">
        <v>113</v>
      </c>
      <c r="B8" s="32" t="str">
        <f>IF(MOV_CC_NACIONAL!A8="","",MOV_CC_NACIONAL!A8)</f>
        <v>23-02-2026</v>
      </c>
      <c r="C8" s="32" t="str">
        <f>IF(MOV_CC_NACIONAL!B8="","",MOV_CC_NACIONAL!B8)</f>
        <v>MERCADOPAGO*MERCADO     COMPRAS</v>
      </c>
      <c r="D8" s="33">
        <f>IF(MOV_CC_NACIONAL!C8="","",MOV_CC_NACIONAL!C8)</f>
        <v>11980</v>
      </c>
      <c r="E8" s="32" t="str">
        <f t="shared" si="1"/>
        <v>CLP</v>
      </c>
      <c r="F8" s="32" t="b">
        <f>IFERROR(__xludf.DUMMYFUNCTION("IF(C8="""","""", OR(REGEXMATCH(LOWER(C8),""cuota""), REGEXMATCH(C8,""\d+\s*/\s*\d+"")))"),FALSE)</f>
        <v>0</v>
      </c>
      <c r="G8" s="32" t="str">
        <f>IFERROR(__xludf.DUMMYFUNCTION("IFERROR(VALUE(REGEXEXTRACT(C8,""(\d+)\s*/\s*\d+"")),"""")"),"")</f>
        <v/>
      </c>
      <c r="H8" s="32" t="str">
        <f>IFERROR(__xludf.DUMMYFUNCTION("IFERROR(VALUE(REGEXEXTRACT(C8,""\d+\s*/\s*(\d+)"")),"""")"),"")</f>
        <v/>
      </c>
      <c r="I8" s="32" t="str">
        <f t="shared" si="2"/>
        <v/>
      </c>
      <c r="J8" s="33" t="str">
        <f t="shared" si="3"/>
        <v/>
      </c>
      <c r="L8" s="22" t="str">
        <f>IFERROR(__xludf.DUMMYFUNCTION("QUERY(A1:J,""select A,B,C,D,E,G,H,I,J where F = TRUE"",1)"),"#NAME?")</f>
        <v>#NAME?</v>
      </c>
    </row>
    <row r="9">
      <c r="A9" s="22" t="s">
        <v>113</v>
      </c>
      <c r="B9" s="22" t="str">
        <f>IF(MOV_CC_NACIONAL!A9="","",MOV_CC_NACIONAL!A9)</f>
        <v>23-02-2026</v>
      </c>
      <c r="C9" s="22" t="str">
        <f>IF(MOV_CC_NACIONAL!B9="","",MOV_CC_NACIONAL!B9)</f>
        <v>PAYU   *FLIXBUS         COMPRAS</v>
      </c>
      <c r="D9" s="34">
        <f>IF(MOV_CC_NACIONAL!C9="","",MOV_CC_NACIONAL!C9)</f>
        <v>7699</v>
      </c>
      <c r="E9" s="22" t="str">
        <f t="shared" si="1"/>
        <v>CLP</v>
      </c>
      <c r="F9" s="22" t="b">
        <f>IFERROR(__xludf.DUMMYFUNCTION("IF(C9="""","""", OR(REGEXMATCH(LOWER(C9),""cuota""), REGEXMATCH(C9,""\d+\s*/\s*\d+"")))"),FALSE)</f>
        <v>0</v>
      </c>
      <c r="G9" s="22" t="str">
        <f>IFERROR(__xludf.DUMMYFUNCTION("IFERROR(VALUE(REGEXEXTRACT(C9,""(\d+)\s*/\s*\d+"")),"""")"),"")</f>
        <v/>
      </c>
      <c r="H9" s="22" t="str">
        <f>IFERROR(__xludf.DUMMYFUNCTION("IFERROR(VALUE(REGEXEXTRACT(C9,""\d+\s*/\s*(\d+)"")),"""")"),"")</f>
        <v/>
      </c>
      <c r="I9" s="22" t="str">
        <f t="shared" si="2"/>
        <v/>
      </c>
      <c r="J9" s="34" t="str">
        <f t="shared" si="3"/>
        <v/>
      </c>
    </row>
    <row r="10">
      <c r="A10" s="32" t="s">
        <v>113</v>
      </c>
      <c r="B10" s="32" t="str">
        <f>IF(MOV_CC_NACIONAL!A10="","",MOV_CC_NACIONAL!A10)</f>
        <v>21-02-2026</v>
      </c>
      <c r="C10" s="32" t="str">
        <f>IF(MOV_CC_NACIONAL!B10="","",MOV_CC_NACIONAL!B10)</f>
        <v>LOCAL EU 15 NORTE       COMPRAS</v>
      </c>
      <c r="D10" s="33">
        <f>IF(MOV_CC_NACIONAL!C10="","",MOV_CC_NACIONAL!C10)</f>
        <v>19990</v>
      </c>
      <c r="E10" s="32" t="str">
        <f t="shared" si="1"/>
        <v>CLP</v>
      </c>
      <c r="F10" s="32" t="b">
        <f>IFERROR(__xludf.DUMMYFUNCTION("IF(C10="""","""", OR(REGEXMATCH(LOWER(C10),""cuota""), REGEXMATCH(C10,""\d+\s*/\s*\d+"")))"),FALSE)</f>
        <v>0</v>
      </c>
      <c r="G10" s="32" t="str">
        <f>IFERROR(__xludf.DUMMYFUNCTION("IFERROR(VALUE(REGEXEXTRACT(C10,""(\d+)\s*/\s*\d+"")),"""")"),"")</f>
        <v/>
      </c>
      <c r="H10" s="32" t="str">
        <f>IFERROR(__xludf.DUMMYFUNCTION("IFERROR(VALUE(REGEXEXTRACT(C10,""\d+\s*/\s*(\d+)"")),"""")"),"")</f>
        <v/>
      </c>
      <c r="I10" s="32" t="str">
        <f t="shared" si="2"/>
        <v/>
      </c>
      <c r="J10" s="33" t="str">
        <f t="shared" si="3"/>
        <v/>
      </c>
    </row>
    <row r="11">
      <c r="A11" s="22" t="s">
        <v>113</v>
      </c>
      <c r="B11" s="22" t="str">
        <f>IF(MOV_CC_NACIONAL!A11="","",MOV_CC_NACIONAL!A11)</f>
        <v>21-02-2026</v>
      </c>
      <c r="C11" s="22" t="str">
        <f>IF(MOV_CC_NACIONAL!B11="","",MOV_CC_NACIONAL!B11)</f>
        <v>MORA LOUTIT SWEET S     COMPRAS</v>
      </c>
      <c r="D11" s="34">
        <f>IF(MOV_CC_NACIONAL!C11="","",MOV_CC_NACIONAL!C11)</f>
        <v>11550</v>
      </c>
      <c r="E11" s="22" t="str">
        <f t="shared" si="1"/>
        <v>CLP</v>
      </c>
      <c r="F11" s="22" t="b">
        <f>IFERROR(__xludf.DUMMYFUNCTION("IF(C11="""","""", OR(REGEXMATCH(LOWER(C11),""cuota""), REGEXMATCH(C11,""\d+\s*/\s*\d+"")))"),FALSE)</f>
        <v>0</v>
      </c>
      <c r="G11" s="22" t="str">
        <f>IFERROR(__xludf.DUMMYFUNCTION("IFERROR(VALUE(REGEXEXTRACT(C11,""(\d+)\s*/\s*\d+"")),"""")"),"")</f>
        <v/>
      </c>
      <c r="H11" s="22" t="str">
        <f>IFERROR(__xludf.DUMMYFUNCTION("IFERROR(VALUE(REGEXEXTRACT(C11,""\d+\s*/\s*(\d+)"")),"""")"),"")</f>
        <v/>
      </c>
      <c r="I11" s="22" t="str">
        <f t="shared" si="2"/>
        <v/>
      </c>
      <c r="J11" s="34" t="str">
        <f t="shared" si="3"/>
        <v/>
      </c>
    </row>
    <row r="12">
      <c r="A12" s="32" t="s">
        <v>113</v>
      </c>
      <c r="B12" s="32" t="str">
        <f>IF(MOV_CC_NACIONAL!A12="","",MOV_CC_NACIONAL!A12)</f>
        <v>23-02-2026</v>
      </c>
      <c r="C12" s="32" t="str">
        <f>IF(MOV_CC_NACIONAL!B12="","",MOV_CC_NACIONAL!B12)</f>
        <v>MERCADOPAGO*MERCADO  03 CTAS-INT: 0</v>
      </c>
      <c r="D12" s="33">
        <f>IF(MOV_CC_NACIONAL!C12="","",MOV_CC_NACIONAL!C12)</f>
        <v>86791</v>
      </c>
      <c r="E12" s="32" t="str">
        <f t="shared" si="1"/>
        <v>CLP</v>
      </c>
      <c r="F12" s="32" t="b">
        <f>IFERROR(__xludf.DUMMYFUNCTION("IF(C12="""","""", OR(REGEXMATCH(LOWER(C12),""cuota""), REGEXMATCH(C12,""\d+\s*/\s*\d+"")))"),FALSE)</f>
        <v>0</v>
      </c>
      <c r="G12" s="32" t="str">
        <f>IFERROR(__xludf.DUMMYFUNCTION("IFERROR(VALUE(REGEXEXTRACT(C12,""(\d+)\s*/\s*\d+"")),"""")"),"")</f>
        <v/>
      </c>
      <c r="H12" s="32" t="str">
        <f>IFERROR(__xludf.DUMMYFUNCTION("IFERROR(VALUE(REGEXEXTRACT(C12,""\d+\s*/\s*(\d+)"")),"""")"),"")</f>
        <v/>
      </c>
      <c r="I12" s="32" t="str">
        <f t="shared" si="2"/>
        <v/>
      </c>
      <c r="J12" s="33" t="str">
        <f t="shared" si="3"/>
        <v/>
      </c>
    </row>
    <row r="13">
      <c r="A13" s="22" t="s">
        <v>113</v>
      </c>
      <c r="B13" s="22" t="str">
        <f>IF(MOV_CC_NACIONAL!A13="","",MOV_CC_NACIONAL!A13)</f>
        <v>21-02-2026</v>
      </c>
      <c r="C13" s="22" t="str">
        <f>IF(MOV_CC_NACIONAL!B13="","",MOV_CC_NACIONAL!B13)</f>
        <v>MERPAGO*OPTICASLUXO HUE CC 01-06</v>
      </c>
      <c r="D13" s="34">
        <f>IF(MOV_CC_NACIONAL!C13="","",MOV_CC_NACIONAL!C13)</f>
        <v>41030</v>
      </c>
      <c r="E13" s="22" t="str">
        <f t="shared" si="1"/>
        <v>CLP</v>
      </c>
      <c r="F13" s="22" t="b">
        <f>IFERROR(__xludf.DUMMYFUNCTION("IF(C13="""","""", OR(REGEXMATCH(LOWER(C13),""cuota""), REGEXMATCH(C13,""\d+\s*/\s*\d+"")))"),FALSE)</f>
        <v>0</v>
      </c>
      <c r="G13" s="22" t="str">
        <f>IFERROR(__xludf.DUMMYFUNCTION("IFERROR(VALUE(REGEXEXTRACT(C13,""(\d+)\s*/\s*\d+"")),"""")"),"")</f>
        <v/>
      </c>
      <c r="H13" s="22" t="str">
        <f>IFERROR(__xludf.DUMMYFUNCTION("IFERROR(VALUE(REGEXEXTRACT(C13,""\d+\s*/\s*(\d+)"")),"""")"),"")</f>
        <v/>
      </c>
      <c r="I13" s="22" t="str">
        <f t="shared" si="2"/>
        <v/>
      </c>
      <c r="J13" s="34" t="str">
        <f t="shared" si="3"/>
        <v/>
      </c>
    </row>
    <row r="14">
      <c r="A14" s="32" t="s">
        <v>113</v>
      </c>
      <c r="B14" s="32" t="str">
        <f>IF(MOV_CC_NACIONAL!A14="","",MOV_CC_NACIONAL!A14)</f>
        <v>21-02-2026</v>
      </c>
      <c r="C14" s="32" t="str">
        <f>IF(MOV_CC_NACIONAL!B14="","",MOV_CC_NACIONAL!B14)</f>
        <v>MERPAGO*OPTICASLUXO HUE CC 01-06</v>
      </c>
      <c r="D14" s="33">
        <f>IF(MOV_CC_NACIONAL!C14="","",MOV_CC_NACIONAL!C14)</f>
        <v>18331</v>
      </c>
      <c r="E14" s="32" t="str">
        <f t="shared" si="1"/>
        <v>CLP</v>
      </c>
      <c r="F14" s="32" t="b">
        <f>IFERROR(__xludf.DUMMYFUNCTION("IF(C14="""","""", OR(REGEXMATCH(LOWER(C14),""cuota""), REGEXMATCH(C14,""\d+\s*/\s*\d+"")))"),FALSE)</f>
        <v>0</v>
      </c>
      <c r="G14" s="32" t="str">
        <f>IFERROR(__xludf.DUMMYFUNCTION("IFERROR(VALUE(REGEXEXTRACT(C14,""(\d+)\s*/\s*\d+"")),"""")"),"")</f>
        <v/>
      </c>
      <c r="H14" s="32" t="str">
        <f>IFERROR(__xludf.DUMMYFUNCTION("IFERROR(VALUE(REGEXEXTRACT(C14,""\d+\s*/\s*(\d+)"")),"""")"),"")</f>
        <v/>
      </c>
      <c r="I14" s="32" t="str">
        <f t="shared" si="2"/>
        <v/>
      </c>
      <c r="J14" s="33" t="str">
        <f t="shared" si="3"/>
        <v/>
      </c>
    </row>
    <row r="15">
      <c r="A15" s="22" t="s">
        <v>113</v>
      </c>
      <c r="B15" s="22" t="str">
        <f>IF(MOV_CC_NACIONAL!A15="","",MOV_CC_NACIONAL!A15)</f>
        <v>14-02-2026</v>
      </c>
      <c r="C15" s="22" t="str">
        <f>IF(MOV_CC_NACIONAL!B15="","",MOV_CC_NACIONAL!B15)</f>
        <v>DP     *IKEA COM    SAN CF 01-03</v>
      </c>
      <c r="D15" s="34">
        <f>IF(MOV_CC_NACIONAL!C15="","",MOV_CC_NACIONAL!C15)</f>
        <v>33240</v>
      </c>
      <c r="E15" s="22" t="str">
        <f t="shared" si="1"/>
        <v>CLP</v>
      </c>
      <c r="F15" s="22" t="b">
        <f>IFERROR(__xludf.DUMMYFUNCTION("IF(C15="""","""", OR(REGEXMATCH(LOWER(C15),""cuota""), REGEXMATCH(C15,""\d+\s*/\s*\d+"")))"),FALSE)</f>
        <v>0</v>
      </c>
      <c r="G15" s="22" t="str">
        <f>IFERROR(__xludf.DUMMYFUNCTION("IFERROR(VALUE(REGEXEXTRACT(C15,""(\d+)\s*/\s*\d+"")),"""")"),"")</f>
        <v/>
      </c>
      <c r="H15" s="22" t="str">
        <f>IFERROR(__xludf.DUMMYFUNCTION("IFERROR(VALUE(REGEXEXTRACT(C15,""\d+\s*/\s*(\d+)"")),"""")"),"")</f>
        <v/>
      </c>
      <c r="I15" s="22" t="str">
        <f t="shared" si="2"/>
        <v/>
      </c>
      <c r="J15" s="34" t="str">
        <f t="shared" si="3"/>
        <v/>
      </c>
    </row>
    <row r="16">
      <c r="A16" s="32" t="s">
        <v>113</v>
      </c>
      <c r="B16" s="32" t="str">
        <f>IF(MOV_CC_NACIONAL!A16="","",MOV_CC_NACIONAL!A16)</f>
        <v>21-01-2026</v>
      </c>
      <c r="C16" s="32" t="str">
        <f>IF(MOV_CC_NACIONAL!B16="","",MOV_CC_NACIONAL!B16)</f>
        <v>MP     *MERCADO LIB SAN CC 02-03</v>
      </c>
      <c r="D16" s="33">
        <f>IF(MOV_CC_NACIONAL!C16="","",MOV_CC_NACIONAL!C16)</f>
        <v>15295</v>
      </c>
      <c r="E16" s="32" t="str">
        <f t="shared" si="1"/>
        <v>CLP</v>
      </c>
      <c r="F16" s="32" t="b">
        <f>IFERROR(__xludf.DUMMYFUNCTION("IF(C16="""","""", OR(REGEXMATCH(LOWER(C16),""cuota""), REGEXMATCH(C16,""\d+\s*/\s*\d+"")))"),FALSE)</f>
        <v>0</v>
      </c>
      <c r="G16" s="32" t="str">
        <f>IFERROR(__xludf.DUMMYFUNCTION("IFERROR(VALUE(REGEXEXTRACT(C16,""(\d+)\s*/\s*\d+"")),"""")"),"")</f>
        <v/>
      </c>
      <c r="H16" s="32" t="str">
        <f>IFERROR(__xludf.DUMMYFUNCTION("IFERROR(VALUE(REGEXEXTRACT(C16,""\d+\s*/\s*(\d+)"")),"""")"),"")</f>
        <v/>
      </c>
      <c r="I16" s="32" t="str">
        <f t="shared" si="2"/>
        <v/>
      </c>
      <c r="J16" s="33" t="str">
        <f t="shared" si="3"/>
        <v/>
      </c>
    </row>
    <row r="17">
      <c r="A17" s="22" t="s">
        <v>113</v>
      </c>
      <c r="B17" s="35">
        <f>IF(MOV_CC_NACIONAL!A17="","",MOV_CC_NACIONAL!A17)</f>
        <v>46235</v>
      </c>
      <c r="C17" s="22" t="str">
        <f>IF(MOV_CC_NACIONAL!B17="","",MOV_CC_NACIONAL!B17)</f>
        <v>MP     *MERCADO LIB SAN CC 03-06</v>
      </c>
      <c r="D17" s="34">
        <f>IF(MOV_CC_NACIONAL!C17="","",MOV_CC_NACIONAL!C17)</f>
        <v>20813</v>
      </c>
      <c r="E17" s="22" t="str">
        <f t="shared" si="1"/>
        <v>CLP</v>
      </c>
      <c r="F17" s="22" t="b">
        <f>IFERROR(__xludf.DUMMYFUNCTION("IF(C17="""","""", OR(REGEXMATCH(LOWER(C17),""cuota""), REGEXMATCH(C17,""\d+\s*/\s*\d+"")))"),FALSE)</f>
        <v>0</v>
      </c>
      <c r="G17" s="22" t="str">
        <f>IFERROR(__xludf.DUMMYFUNCTION("IFERROR(VALUE(REGEXEXTRACT(C17,""(\d+)\s*/\s*\d+"")),"""")"),"")</f>
        <v/>
      </c>
      <c r="H17" s="22" t="str">
        <f>IFERROR(__xludf.DUMMYFUNCTION("IFERROR(VALUE(REGEXEXTRACT(C17,""\d+\s*/\s*(\d+)"")),"""")"),"")</f>
        <v/>
      </c>
      <c r="I17" s="22" t="str">
        <f t="shared" si="2"/>
        <v/>
      </c>
      <c r="J17" s="34" t="str">
        <f t="shared" si="3"/>
        <v/>
      </c>
    </row>
    <row r="18">
      <c r="A18" s="32" t="s">
        <v>113</v>
      </c>
      <c r="B18" s="36">
        <f>IF(MOV_CC_NACIONAL!A18="","",MOV_CC_NACIONAL!A18)</f>
        <v>46204</v>
      </c>
      <c r="C18" s="32" t="str">
        <f>IF(MOV_CC_NACIONAL!B18="","",MOV_CC_NACIONAL!B18)</f>
        <v>MERCADOPAGO*STREETD LAS CF 02-06</v>
      </c>
      <c r="D18" s="33">
        <f>IF(MOV_CC_NACIONAL!C18="","",MOV_CC_NACIONAL!C18)</f>
        <v>10997</v>
      </c>
      <c r="E18" s="32" t="str">
        <f t="shared" si="1"/>
        <v>CLP</v>
      </c>
      <c r="F18" s="32" t="b">
        <f>IFERROR(__xludf.DUMMYFUNCTION("IF(C18="""","""", OR(REGEXMATCH(LOWER(C18),""cuota""), REGEXMATCH(C18,""\d+\s*/\s*\d+"")))"),FALSE)</f>
        <v>0</v>
      </c>
      <c r="G18" s="32" t="str">
        <f>IFERROR(__xludf.DUMMYFUNCTION("IFERROR(VALUE(REGEXEXTRACT(C18,""(\d+)\s*/\s*\d+"")),"""")"),"")</f>
        <v/>
      </c>
      <c r="H18" s="32" t="str">
        <f>IFERROR(__xludf.DUMMYFUNCTION("IFERROR(VALUE(REGEXEXTRACT(C18,""\d+\s*/\s*(\d+)"")),"""")"),"")</f>
        <v/>
      </c>
      <c r="I18" s="32" t="str">
        <f t="shared" si="2"/>
        <v/>
      </c>
      <c r="J18" s="33" t="str">
        <f t="shared" si="3"/>
        <v/>
      </c>
    </row>
    <row r="19">
      <c r="A19" s="22" t="s">
        <v>113</v>
      </c>
      <c r="B19" s="22" t="str">
        <f>IF(MOV_CC_NACIONAL!A19="","",MOV_CC_NACIONAL!A19)</f>
        <v>21-12-2025</v>
      </c>
      <c r="C19" s="22" t="str">
        <f>IF(MOV_CC_NACIONAL!B19="","",MOV_CC_NACIONAL!B19)</f>
        <v>MERPAGO*MERCADOLIBR LAS CC 03-03</v>
      </c>
      <c r="D19" s="34">
        <f>IF(MOV_CC_NACIONAL!C19="","",MOV_CC_NACIONAL!C19)</f>
        <v>17538</v>
      </c>
      <c r="E19" s="22" t="str">
        <f t="shared" si="1"/>
        <v>CLP</v>
      </c>
      <c r="F19" s="22" t="b">
        <f>IFERROR(__xludf.DUMMYFUNCTION("IF(C19="""","""", OR(REGEXMATCH(LOWER(C19),""cuota""), REGEXMATCH(C19,""\d+\s*/\s*\d+"")))"),FALSE)</f>
        <v>0</v>
      </c>
      <c r="G19" s="22" t="str">
        <f>IFERROR(__xludf.DUMMYFUNCTION("IFERROR(VALUE(REGEXEXTRACT(C19,""(\d+)\s*/\s*\d+"")),"""")"),"")</f>
        <v/>
      </c>
      <c r="H19" s="22" t="str">
        <f>IFERROR(__xludf.DUMMYFUNCTION("IFERROR(VALUE(REGEXEXTRACT(C19,""\d+\s*/\s*(\d+)"")),"""")"),"")</f>
        <v/>
      </c>
      <c r="I19" s="22" t="str">
        <f t="shared" si="2"/>
        <v/>
      </c>
      <c r="J19" s="34" t="str">
        <f t="shared" si="3"/>
        <v/>
      </c>
    </row>
    <row r="20">
      <c r="A20" s="32" t="s">
        <v>113</v>
      </c>
      <c r="B20" s="32" t="str">
        <f>IF(MOV_CC_NACIONAL!A20="","",MOV_CC_NACIONAL!A20)</f>
        <v>28-11-2025</v>
      </c>
      <c r="C20" s="32" t="str">
        <f>IF(MOV_CC_NACIONAL!B20="","",MOV_CC_NACIONAL!B20)</f>
        <v>CIC HOGAR TIENDA CO CON CC 04-06</v>
      </c>
      <c r="D20" s="33">
        <f>IF(MOV_CC_NACIONAL!C20="","",MOV_CC_NACIONAL!C20)</f>
        <v>20496</v>
      </c>
      <c r="E20" s="32" t="str">
        <f t="shared" si="1"/>
        <v>CLP</v>
      </c>
      <c r="F20" s="32" t="b">
        <f>IFERROR(__xludf.DUMMYFUNCTION("IF(C20="""","""", OR(REGEXMATCH(LOWER(C20),""cuota""), REGEXMATCH(C20,""\d+\s*/\s*\d+"")))"),FALSE)</f>
        <v>0</v>
      </c>
      <c r="G20" s="32" t="str">
        <f>IFERROR(__xludf.DUMMYFUNCTION("IFERROR(VALUE(REGEXEXTRACT(C20,""(\d+)\s*/\s*\d+"")),"""")"),"")</f>
        <v/>
      </c>
      <c r="H20" s="32" t="str">
        <f>IFERROR(__xludf.DUMMYFUNCTION("IFERROR(VALUE(REGEXEXTRACT(C20,""\d+\s*/\s*(\d+)"")),"""")"),"")</f>
        <v/>
      </c>
      <c r="I20" s="32" t="str">
        <f t="shared" si="2"/>
        <v/>
      </c>
      <c r="J20" s="33" t="str">
        <f t="shared" si="3"/>
        <v/>
      </c>
    </row>
    <row r="21" ht="15.75" customHeight="1">
      <c r="A21" s="22" t="s">
        <v>113</v>
      </c>
      <c r="B21" s="22" t="str">
        <f>IF(MOV_CC_NACIONAL!A21="","",MOV_CC_NACIONAL!A21)</f>
        <v>28-08-2025</v>
      </c>
      <c r="C21" s="22" t="str">
        <f>IF(MOV_CC_NACIONAL!B21="","",MOV_CC_NACIONAL!B21)</f>
        <v>MERCADOPAGO*MONSTER LAS CF 06-06</v>
      </c>
      <c r="D21" s="34">
        <f>IF(MOV_CC_NACIONAL!C21="","",MOV_CC_NACIONAL!C21)</f>
        <v>14667</v>
      </c>
      <c r="E21" s="22" t="str">
        <f t="shared" si="1"/>
        <v>CLP</v>
      </c>
      <c r="F21" s="22" t="b">
        <f>IFERROR(__xludf.DUMMYFUNCTION("IF(C21="""","""", OR(REGEXMATCH(LOWER(C21),""cuota""), REGEXMATCH(C21,""\d+\s*/\s*\d+"")))"),FALSE)</f>
        <v>0</v>
      </c>
      <c r="G21" s="22" t="str">
        <f>IFERROR(__xludf.DUMMYFUNCTION("IFERROR(VALUE(REGEXEXTRACT(C21,""(\d+)\s*/\s*\d+"")),"""")"),"")</f>
        <v/>
      </c>
      <c r="H21" s="22" t="str">
        <f>IFERROR(__xludf.DUMMYFUNCTION("IFERROR(VALUE(REGEXEXTRACT(C21,""\d+\s*/\s*(\d+)"")),"""")"),"")</f>
        <v/>
      </c>
      <c r="I21" s="22" t="str">
        <f t="shared" si="2"/>
        <v/>
      </c>
      <c r="J21" s="34" t="str">
        <f t="shared" si="3"/>
        <v/>
      </c>
    </row>
    <row r="22" ht="15.75" customHeight="1">
      <c r="A22" s="32" t="s">
        <v>113</v>
      </c>
      <c r="B22" s="32" t="str">
        <f>IF(MOV_CC_NACIONAL!A22="","",MOV_CC_NACIONAL!A22)</f>
        <v/>
      </c>
      <c r="C22" s="32" t="str">
        <f>IF(MOV_CC_NACIONAL!B22="","",MOV_CC_NACIONAL!B22)</f>
        <v/>
      </c>
      <c r="D22" s="33" t="str">
        <f>IF(MOV_CC_NACIONAL!C22="","",MOV_CC_NACIONAL!C22)</f>
        <v/>
      </c>
      <c r="E22" s="32" t="str">
        <f t="shared" si="1"/>
        <v/>
      </c>
      <c r="F22" s="32" t="str">
        <f>IFERROR(__xludf.DUMMYFUNCTION("IF(C22="""","""", OR(REGEXMATCH(LOWER(C22),""cuota""), REGEXMATCH(C22,""\d+\s*/\s*\d+"")))"),"")</f>
        <v/>
      </c>
      <c r="G22" s="32" t="str">
        <f>IFERROR(__xludf.DUMMYFUNCTION("IFERROR(VALUE(REGEXEXTRACT(C22,""(\d+)\s*/\s*\d+"")),"""")"),"")</f>
        <v/>
      </c>
      <c r="H22" s="32" t="str">
        <f>IFERROR(__xludf.DUMMYFUNCTION("IFERROR(VALUE(REGEXEXTRACT(C22,""\d+\s*/\s*(\d+)"")),"""")"),"")</f>
        <v/>
      </c>
      <c r="I22" s="32" t="str">
        <f t="shared" si="2"/>
        <v/>
      </c>
      <c r="J22" s="33" t="str">
        <f t="shared" si="3"/>
        <v/>
      </c>
    </row>
    <row r="23" ht="15.75" customHeight="1">
      <c r="A23" s="22" t="s">
        <v>113</v>
      </c>
      <c r="B23" s="22" t="str">
        <f>IF(MOV_CC_NACIONAL!A23="","",MOV_CC_NACIONAL!A23)</f>
        <v/>
      </c>
      <c r="C23" s="22" t="str">
        <f>IF(MOV_CC_NACIONAL!B23="","",MOV_CC_NACIONAL!B23)</f>
        <v/>
      </c>
      <c r="D23" s="34" t="str">
        <f>IF(MOV_CC_NACIONAL!C23="","",MOV_CC_NACIONAL!C23)</f>
        <v/>
      </c>
      <c r="E23" s="22" t="str">
        <f t="shared" si="1"/>
        <v/>
      </c>
      <c r="F23" s="22" t="str">
        <f>IFERROR(__xludf.DUMMYFUNCTION("IF(C23="""","""", OR(REGEXMATCH(LOWER(C23),""cuota""), REGEXMATCH(C23,""\d+\s*/\s*\d+"")))"),"")</f>
        <v/>
      </c>
      <c r="G23" s="22" t="str">
        <f>IFERROR(__xludf.DUMMYFUNCTION("IFERROR(VALUE(REGEXEXTRACT(C23,""(\d+)\s*/\s*\d+"")),"""")"),"")</f>
        <v/>
      </c>
      <c r="H23" s="22" t="str">
        <f>IFERROR(__xludf.DUMMYFUNCTION("IFERROR(VALUE(REGEXEXTRACT(C23,""\d+\s*/\s*(\d+)"")),"""")"),"")</f>
        <v/>
      </c>
      <c r="I23" s="22" t="str">
        <f t="shared" si="2"/>
        <v/>
      </c>
      <c r="J23" s="34" t="str">
        <f t="shared" si="3"/>
        <v/>
      </c>
    </row>
    <row r="24" ht="15.75" customHeight="1">
      <c r="A24" s="32" t="s">
        <v>113</v>
      </c>
      <c r="B24" s="32" t="str">
        <f>IF(MOV_CC_NACIONAL!A24="","",MOV_CC_NACIONAL!A24)</f>
        <v/>
      </c>
      <c r="C24" s="32" t="str">
        <f>IF(MOV_CC_NACIONAL!B24="","",MOV_CC_NACIONAL!B24)</f>
        <v/>
      </c>
      <c r="D24" s="33" t="str">
        <f>IF(MOV_CC_NACIONAL!C24="","",MOV_CC_NACIONAL!C24)</f>
        <v/>
      </c>
      <c r="E24" s="32" t="str">
        <f t="shared" si="1"/>
        <v/>
      </c>
      <c r="F24" s="32" t="str">
        <f>IFERROR(__xludf.DUMMYFUNCTION("IF(C24="""","""", OR(REGEXMATCH(LOWER(C24),""cuota""), REGEXMATCH(C24,""\d+\s*/\s*\d+"")))"),"")</f>
        <v/>
      </c>
      <c r="G24" s="32" t="str">
        <f>IFERROR(__xludf.DUMMYFUNCTION("IFERROR(VALUE(REGEXEXTRACT(C24,""(\d+)\s*/\s*\d+"")),"""")"),"")</f>
        <v/>
      </c>
      <c r="H24" s="32" t="str">
        <f>IFERROR(__xludf.DUMMYFUNCTION("IFERROR(VALUE(REGEXEXTRACT(C24,""\d+\s*/\s*(\d+)"")),"""")"),"")</f>
        <v/>
      </c>
      <c r="I24" s="32" t="str">
        <f t="shared" si="2"/>
        <v/>
      </c>
      <c r="J24" s="33" t="str">
        <f t="shared" si="3"/>
        <v/>
      </c>
    </row>
    <row r="25" ht="15.75" customHeight="1">
      <c r="A25" s="22" t="s">
        <v>113</v>
      </c>
      <c r="B25" s="22" t="str">
        <f>IF(MOV_CC_NACIONAL!A25="","",MOV_CC_NACIONAL!A25)</f>
        <v/>
      </c>
      <c r="C25" s="22" t="str">
        <f>IF(MOV_CC_NACIONAL!B25="","",MOV_CC_NACIONAL!B25)</f>
        <v/>
      </c>
      <c r="D25" s="34" t="str">
        <f>IF(MOV_CC_NACIONAL!C25="","",MOV_CC_NACIONAL!C25)</f>
        <v/>
      </c>
      <c r="E25" s="22" t="str">
        <f t="shared" si="1"/>
        <v/>
      </c>
      <c r="F25" s="22" t="str">
        <f>IFERROR(__xludf.DUMMYFUNCTION("IF(C25="""","""", OR(REGEXMATCH(LOWER(C25),""cuota""), REGEXMATCH(C25,""\d+\s*/\s*\d+"")))"),"")</f>
        <v/>
      </c>
      <c r="G25" s="22" t="str">
        <f>IFERROR(__xludf.DUMMYFUNCTION("IFERROR(VALUE(REGEXEXTRACT(C25,""(\d+)\s*/\s*\d+"")),"""")"),"")</f>
        <v/>
      </c>
      <c r="H25" s="22" t="str">
        <f>IFERROR(__xludf.DUMMYFUNCTION("IFERROR(VALUE(REGEXEXTRACT(C25,""\d+\s*/\s*(\d+)"")),"""")"),"")</f>
        <v/>
      </c>
      <c r="I25" s="22" t="str">
        <f t="shared" si="2"/>
        <v/>
      </c>
      <c r="J25" s="34" t="str">
        <f t="shared" si="3"/>
        <v/>
      </c>
    </row>
    <row r="26" ht="15.75" customHeight="1">
      <c r="A26" s="32" t="s">
        <v>113</v>
      </c>
      <c r="B26" s="32" t="str">
        <f>IF(MOV_CC_NACIONAL!A26="","",MOV_CC_NACIONAL!A26)</f>
        <v/>
      </c>
      <c r="C26" s="32" t="str">
        <f>IF(MOV_CC_NACIONAL!B26="","",MOV_CC_NACIONAL!B26)</f>
        <v/>
      </c>
      <c r="D26" s="33" t="str">
        <f>IF(MOV_CC_NACIONAL!C26="","",MOV_CC_NACIONAL!C26)</f>
        <v/>
      </c>
      <c r="E26" s="32" t="str">
        <f t="shared" si="1"/>
        <v/>
      </c>
      <c r="F26" s="32" t="str">
        <f>IFERROR(__xludf.DUMMYFUNCTION("IF(C26="""","""", OR(REGEXMATCH(LOWER(C26),""cuota""), REGEXMATCH(C26,""\d+\s*/\s*\d+"")))"),"")</f>
        <v/>
      </c>
      <c r="G26" s="32" t="str">
        <f>IFERROR(__xludf.DUMMYFUNCTION("IFERROR(VALUE(REGEXEXTRACT(C26,""(\d+)\s*/\s*\d+"")),"""")"),"")</f>
        <v/>
      </c>
      <c r="H26" s="32" t="str">
        <f>IFERROR(__xludf.DUMMYFUNCTION("IFERROR(VALUE(REGEXEXTRACT(C26,""\d+\s*/\s*(\d+)"")),"""")"),"")</f>
        <v/>
      </c>
      <c r="I26" s="32" t="str">
        <f t="shared" si="2"/>
        <v/>
      </c>
      <c r="J26" s="33" t="str">
        <f t="shared" si="3"/>
        <v/>
      </c>
    </row>
    <row r="27" ht="15.75" customHeight="1">
      <c r="A27" s="22" t="s">
        <v>113</v>
      </c>
      <c r="B27" s="22" t="str">
        <f>IF(MOV_CC_NACIONAL!A27="","",MOV_CC_NACIONAL!A27)</f>
        <v/>
      </c>
      <c r="C27" s="22" t="str">
        <f>IF(MOV_CC_NACIONAL!B27="","",MOV_CC_NACIONAL!B27)</f>
        <v/>
      </c>
      <c r="D27" s="34" t="str">
        <f>IF(MOV_CC_NACIONAL!C27="","",MOV_CC_NACIONAL!C27)</f>
        <v/>
      </c>
      <c r="E27" s="22" t="str">
        <f t="shared" si="1"/>
        <v/>
      </c>
      <c r="F27" s="22" t="str">
        <f>IFERROR(__xludf.DUMMYFUNCTION("IF(C27="""","""", OR(REGEXMATCH(LOWER(C27),""cuota""), REGEXMATCH(C27,""\d+\s*/\s*\d+"")))"),"")</f>
        <v/>
      </c>
      <c r="G27" s="22" t="str">
        <f>IFERROR(__xludf.DUMMYFUNCTION("IFERROR(VALUE(REGEXEXTRACT(C27,""(\d+)\s*/\s*\d+"")),"""")"),"")</f>
        <v/>
      </c>
      <c r="H27" s="22" t="str">
        <f>IFERROR(__xludf.DUMMYFUNCTION("IFERROR(VALUE(REGEXEXTRACT(C27,""\d+\s*/\s*(\d+)"")),"""")"),"")</f>
        <v/>
      </c>
      <c r="I27" s="22" t="str">
        <f t="shared" si="2"/>
        <v/>
      </c>
      <c r="J27" s="34" t="str">
        <f t="shared" si="3"/>
        <v/>
      </c>
    </row>
    <row r="28" ht="15.75" customHeight="1">
      <c r="A28" s="32" t="s">
        <v>113</v>
      </c>
      <c r="B28" s="32" t="str">
        <f>IF(MOV_CC_NACIONAL!A28="","",MOV_CC_NACIONAL!A28)</f>
        <v/>
      </c>
      <c r="C28" s="32" t="str">
        <f>IF(MOV_CC_NACIONAL!B28="","",MOV_CC_NACIONAL!B28)</f>
        <v/>
      </c>
      <c r="D28" s="33" t="str">
        <f>IF(MOV_CC_NACIONAL!C28="","",MOV_CC_NACIONAL!C28)</f>
        <v/>
      </c>
      <c r="E28" s="32" t="str">
        <f t="shared" si="1"/>
        <v/>
      </c>
      <c r="F28" s="32" t="str">
        <f>IFERROR(__xludf.DUMMYFUNCTION("IF(C28="""","""", OR(REGEXMATCH(LOWER(C28),""cuota""), REGEXMATCH(C28,""\d+\s*/\s*\d+"")))"),"")</f>
        <v/>
      </c>
      <c r="G28" s="32" t="str">
        <f>IFERROR(__xludf.DUMMYFUNCTION("IFERROR(VALUE(REGEXEXTRACT(C28,""(\d+)\s*/\s*\d+"")),"""")"),"")</f>
        <v/>
      </c>
      <c r="H28" s="32" t="str">
        <f>IFERROR(__xludf.DUMMYFUNCTION("IFERROR(VALUE(REGEXEXTRACT(C28,""\d+\s*/\s*(\d+)"")),"""")"),"")</f>
        <v/>
      </c>
      <c r="I28" s="32" t="str">
        <f t="shared" si="2"/>
        <v/>
      </c>
      <c r="J28" s="33" t="str">
        <f t="shared" si="3"/>
        <v/>
      </c>
    </row>
    <row r="29" ht="15.75" customHeight="1">
      <c r="A29" s="22" t="s">
        <v>113</v>
      </c>
      <c r="B29" s="22" t="str">
        <f>IF(MOV_CC_NACIONAL!A29="","",MOV_CC_NACIONAL!A29)</f>
        <v/>
      </c>
      <c r="C29" s="22" t="str">
        <f>IF(MOV_CC_NACIONAL!B29="","",MOV_CC_NACIONAL!B29)</f>
        <v/>
      </c>
      <c r="D29" s="34" t="str">
        <f>IF(MOV_CC_NACIONAL!C29="","",MOV_CC_NACIONAL!C29)</f>
        <v/>
      </c>
      <c r="E29" s="22" t="str">
        <f t="shared" si="1"/>
        <v/>
      </c>
      <c r="F29" s="22" t="str">
        <f>IFERROR(__xludf.DUMMYFUNCTION("IF(C29="""","""", OR(REGEXMATCH(LOWER(C29),""cuota""), REGEXMATCH(C29,""\d+\s*/\s*\d+"")))"),"")</f>
        <v/>
      </c>
      <c r="G29" s="22" t="str">
        <f>IFERROR(__xludf.DUMMYFUNCTION("IFERROR(VALUE(REGEXEXTRACT(C29,""(\d+)\s*/\s*\d+"")),"""")"),"")</f>
        <v/>
      </c>
      <c r="H29" s="22" t="str">
        <f>IFERROR(__xludf.DUMMYFUNCTION("IFERROR(VALUE(REGEXEXTRACT(C29,""\d+\s*/\s*(\d+)"")),"""")"),"")</f>
        <v/>
      </c>
      <c r="I29" s="22" t="str">
        <f t="shared" si="2"/>
        <v/>
      </c>
      <c r="J29" s="34" t="str">
        <f t="shared" si="3"/>
        <v/>
      </c>
    </row>
    <row r="30" ht="15.75" customHeight="1">
      <c r="A30" s="32" t="s">
        <v>113</v>
      </c>
      <c r="B30" s="32" t="str">
        <f>IF(MOV_CC_NACIONAL!A30="","",MOV_CC_NACIONAL!A30)</f>
        <v/>
      </c>
      <c r="C30" s="32" t="str">
        <f>IF(MOV_CC_NACIONAL!B30="","",MOV_CC_NACIONAL!B30)</f>
        <v/>
      </c>
      <c r="D30" s="33" t="str">
        <f>IF(MOV_CC_NACIONAL!C30="","",MOV_CC_NACIONAL!C30)</f>
        <v/>
      </c>
      <c r="E30" s="32" t="str">
        <f t="shared" si="1"/>
        <v/>
      </c>
      <c r="F30" s="32" t="str">
        <f>IFERROR(__xludf.DUMMYFUNCTION("IF(C30="""","""", OR(REGEXMATCH(LOWER(C30),""cuota""), REGEXMATCH(C30,""\d+\s*/\s*\d+"")))"),"")</f>
        <v/>
      </c>
      <c r="G30" s="32" t="str">
        <f>IFERROR(__xludf.DUMMYFUNCTION("IFERROR(VALUE(REGEXEXTRACT(C30,""(\d+)\s*/\s*\d+"")),"""")"),"")</f>
        <v/>
      </c>
      <c r="H30" s="32" t="str">
        <f>IFERROR(__xludf.DUMMYFUNCTION("IFERROR(VALUE(REGEXEXTRACT(C30,""\d+\s*/\s*(\d+)"")),"""")"),"")</f>
        <v/>
      </c>
      <c r="I30" s="32" t="str">
        <f t="shared" si="2"/>
        <v/>
      </c>
      <c r="J30" s="33" t="str">
        <f t="shared" si="3"/>
        <v/>
      </c>
    </row>
    <row r="31" ht="15.75" customHeight="1">
      <c r="A31" s="22" t="s">
        <v>113</v>
      </c>
      <c r="B31" s="22" t="str">
        <f>IF(MOV_CC_NACIONAL!A31="","",MOV_CC_NACIONAL!A31)</f>
        <v/>
      </c>
      <c r="C31" s="22" t="str">
        <f>IF(MOV_CC_NACIONAL!B31="","",MOV_CC_NACIONAL!B31)</f>
        <v/>
      </c>
      <c r="D31" s="34" t="str">
        <f>IF(MOV_CC_NACIONAL!C31="","",MOV_CC_NACIONAL!C31)</f>
        <v/>
      </c>
      <c r="E31" s="22" t="str">
        <f t="shared" si="1"/>
        <v/>
      </c>
      <c r="F31" s="22" t="str">
        <f>IFERROR(__xludf.DUMMYFUNCTION("IF(C31="""","""", OR(REGEXMATCH(LOWER(C31),""cuota""), REGEXMATCH(C31,""\d+\s*/\s*\d+"")))"),"")</f>
        <v/>
      </c>
      <c r="G31" s="22" t="str">
        <f>IFERROR(__xludf.DUMMYFUNCTION("IFERROR(VALUE(REGEXEXTRACT(C31,""(\d+)\s*/\s*\d+"")),"""")"),"")</f>
        <v/>
      </c>
      <c r="H31" s="22" t="str">
        <f>IFERROR(__xludf.DUMMYFUNCTION("IFERROR(VALUE(REGEXEXTRACT(C31,""\d+\s*/\s*(\d+)"")),"""")"),"")</f>
        <v/>
      </c>
      <c r="I31" s="22" t="str">
        <f t="shared" si="2"/>
        <v/>
      </c>
      <c r="J31" s="34" t="str">
        <f t="shared" si="3"/>
        <v/>
      </c>
    </row>
    <row r="32" ht="15.75" customHeight="1">
      <c r="A32" s="32" t="s">
        <v>113</v>
      </c>
      <c r="B32" s="32" t="str">
        <f>IF(MOV_CC_NACIONAL!A32="","",MOV_CC_NACIONAL!A32)</f>
        <v/>
      </c>
      <c r="C32" s="32" t="str">
        <f>IF(MOV_CC_NACIONAL!B32="","",MOV_CC_NACIONAL!B32)</f>
        <v/>
      </c>
      <c r="D32" s="33" t="str">
        <f>IF(MOV_CC_NACIONAL!C32="","",MOV_CC_NACIONAL!C32)</f>
        <v/>
      </c>
      <c r="E32" s="32" t="str">
        <f t="shared" si="1"/>
        <v/>
      </c>
      <c r="F32" s="32" t="str">
        <f>IFERROR(__xludf.DUMMYFUNCTION("IF(C32="""","""", OR(REGEXMATCH(LOWER(C32),""cuota""), REGEXMATCH(C32,""\d+\s*/\s*\d+"")))"),"")</f>
        <v/>
      </c>
      <c r="G32" s="32" t="str">
        <f>IFERROR(__xludf.DUMMYFUNCTION("IFERROR(VALUE(REGEXEXTRACT(C32,""(\d+)\s*/\s*\d+"")),"""")"),"")</f>
        <v/>
      </c>
      <c r="H32" s="32" t="str">
        <f>IFERROR(__xludf.DUMMYFUNCTION("IFERROR(VALUE(REGEXEXTRACT(C32,""\d+\s*/\s*(\d+)"")),"""")"),"")</f>
        <v/>
      </c>
      <c r="I32" s="32" t="str">
        <f t="shared" si="2"/>
        <v/>
      </c>
      <c r="J32" s="33" t="str">
        <f t="shared" si="3"/>
        <v/>
      </c>
    </row>
    <row r="33" ht="15.75" customHeight="1">
      <c r="A33" s="22" t="s">
        <v>113</v>
      </c>
      <c r="B33" s="22" t="str">
        <f>IF(MOV_CC_NACIONAL!A33="","",MOV_CC_NACIONAL!A33)</f>
        <v/>
      </c>
      <c r="C33" s="22" t="str">
        <f>IF(MOV_CC_NACIONAL!B33="","",MOV_CC_NACIONAL!B33)</f>
        <v/>
      </c>
      <c r="D33" s="34" t="str">
        <f>IF(MOV_CC_NACIONAL!C33="","",MOV_CC_NACIONAL!C33)</f>
        <v/>
      </c>
      <c r="E33" s="22" t="str">
        <f t="shared" si="1"/>
        <v/>
      </c>
      <c r="F33" s="22" t="str">
        <f>IFERROR(__xludf.DUMMYFUNCTION("IF(C33="""","""", OR(REGEXMATCH(LOWER(C33),""cuota""), REGEXMATCH(C33,""\d+\s*/\s*\d+"")))"),"")</f>
        <v/>
      </c>
      <c r="G33" s="22" t="str">
        <f>IFERROR(__xludf.DUMMYFUNCTION("IFERROR(VALUE(REGEXEXTRACT(C33,""(\d+)\s*/\s*\d+"")),"""")"),"")</f>
        <v/>
      </c>
      <c r="H33" s="22" t="str">
        <f>IFERROR(__xludf.DUMMYFUNCTION("IFERROR(VALUE(REGEXEXTRACT(C33,""\d+\s*/\s*(\d+)"")),"""")"),"")</f>
        <v/>
      </c>
      <c r="I33" s="22" t="str">
        <f t="shared" si="2"/>
        <v/>
      </c>
      <c r="J33" s="34" t="str">
        <f t="shared" si="3"/>
        <v/>
      </c>
    </row>
    <row r="34" ht="15.75" customHeight="1">
      <c r="A34" s="32" t="s">
        <v>113</v>
      </c>
      <c r="B34" s="32" t="str">
        <f>IF(MOV_CC_NACIONAL!A34="","",MOV_CC_NACIONAL!A34)</f>
        <v/>
      </c>
      <c r="C34" s="32" t="str">
        <f>IF(MOV_CC_NACIONAL!B34="","",MOV_CC_NACIONAL!B34)</f>
        <v/>
      </c>
      <c r="D34" s="33" t="str">
        <f>IF(MOV_CC_NACIONAL!C34="","",MOV_CC_NACIONAL!C34)</f>
        <v/>
      </c>
      <c r="E34" s="32" t="str">
        <f t="shared" si="1"/>
        <v/>
      </c>
      <c r="F34" s="32" t="str">
        <f>IFERROR(__xludf.DUMMYFUNCTION("IF(C34="""","""", OR(REGEXMATCH(LOWER(C34),""cuota""), REGEXMATCH(C34,""\d+\s*/\s*\d+"")))"),"")</f>
        <v/>
      </c>
      <c r="G34" s="32" t="str">
        <f>IFERROR(__xludf.DUMMYFUNCTION("IFERROR(VALUE(REGEXEXTRACT(C34,""(\d+)\s*/\s*\d+"")),"""")"),"")</f>
        <v/>
      </c>
      <c r="H34" s="32" t="str">
        <f>IFERROR(__xludf.DUMMYFUNCTION("IFERROR(VALUE(REGEXEXTRACT(C34,""\d+\s*/\s*(\d+)"")),"""")"),"")</f>
        <v/>
      </c>
      <c r="I34" s="32" t="str">
        <f t="shared" si="2"/>
        <v/>
      </c>
      <c r="J34" s="33" t="str">
        <f t="shared" si="3"/>
        <v/>
      </c>
    </row>
    <row r="35" ht="15.75" customHeight="1">
      <c r="A35" s="22" t="s">
        <v>113</v>
      </c>
      <c r="B35" s="22" t="str">
        <f>IF(MOV_CC_NACIONAL!A35="","",MOV_CC_NACIONAL!A35)</f>
        <v/>
      </c>
      <c r="C35" s="22" t="str">
        <f>IF(MOV_CC_NACIONAL!B35="","",MOV_CC_NACIONAL!B35)</f>
        <v/>
      </c>
      <c r="D35" s="34" t="str">
        <f>IF(MOV_CC_NACIONAL!C35="","",MOV_CC_NACIONAL!C35)</f>
        <v/>
      </c>
      <c r="E35" s="22" t="str">
        <f t="shared" si="1"/>
        <v/>
      </c>
      <c r="F35" s="22" t="str">
        <f>IFERROR(__xludf.DUMMYFUNCTION("IF(C35="""","""", OR(REGEXMATCH(LOWER(C35),""cuota""), REGEXMATCH(C35,""\d+\s*/\s*\d+"")))"),"")</f>
        <v/>
      </c>
      <c r="G35" s="22" t="str">
        <f>IFERROR(__xludf.DUMMYFUNCTION("IFERROR(VALUE(REGEXEXTRACT(C35,""(\d+)\s*/\s*\d+"")),"""")"),"")</f>
        <v/>
      </c>
      <c r="H35" s="22" t="str">
        <f>IFERROR(__xludf.DUMMYFUNCTION("IFERROR(VALUE(REGEXEXTRACT(C35,""\d+\s*/\s*(\d+)"")),"""")"),"")</f>
        <v/>
      </c>
      <c r="I35" s="22" t="str">
        <f t="shared" si="2"/>
        <v/>
      </c>
      <c r="J35" s="34" t="str">
        <f t="shared" si="3"/>
        <v/>
      </c>
    </row>
    <row r="36" ht="15.75" customHeight="1">
      <c r="A36" s="32" t="s">
        <v>113</v>
      </c>
      <c r="B36" s="32" t="str">
        <f>IF(MOV_CC_NACIONAL!A36="","",MOV_CC_NACIONAL!A36)</f>
        <v/>
      </c>
      <c r="C36" s="32" t="str">
        <f>IF(MOV_CC_NACIONAL!B36="","",MOV_CC_NACIONAL!B36)</f>
        <v/>
      </c>
      <c r="D36" s="33" t="str">
        <f>IF(MOV_CC_NACIONAL!C36="","",MOV_CC_NACIONAL!C36)</f>
        <v/>
      </c>
      <c r="E36" s="32" t="str">
        <f t="shared" si="1"/>
        <v/>
      </c>
      <c r="F36" s="32" t="str">
        <f>IFERROR(__xludf.DUMMYFUNCTION("IF(C36="""","""", OR(REGEXMATCH(LOWER(C36),""cuota""), REGEXMATCH(C36,""\d+\s*/\s*\d+"")))"),"")</f>
        <v/>
      </c>
      <c r="G36" s="32" t="str">
        <f>IFERROR(__xludf.DUMMYFUNCTION("IFERROR(VALUE(REGEXEXTRACT(C36,""(\d+)\s*/\s*\d+"")),"""")"),"")</f>
        <v/>
      </c>
      <c r="H36" s="32" t="str">
        <f>IFERROR(__xludf.DUMMYFUNCTION("IFERROR(VALUE(REGEXEXTRACT(C36,""\d+\s*/\s*(\d+)"")),"""")"),"")</f>
        <v/>
      </c>
      <c r="I36" s="32" t="str">
        <f t="shared" si="2"/>
        <v/>
      </c>
      <c r="J36" s="33" t="str">
        <f t="shared" si="3"/>
        <v/>
      </c>
    </row>
    <row r="37" ht="15.75" customHeight="1">
      <c r="A37" s="22" t="s">
        <v>113</v>
      </c>
      <c r="B37" s="22" t="str">
        <f>IF(MOV_CC_NACIONAL!A37="","",MOV_CC_NACIONAL!A37)</f>
        <v/>
      </c>
      <c r="C37" s="22" t="str">
        <f>IF(MOV_CC_NACIONAL!B37="","",MOV_CC_NACIONAL!B37)</f>
        <v/>
      </c>
      <c r="D37" s="34" t="str">
        <f>IF(MOV_CC_NACIONAL!C37="","",MOV_CC_NACIONAL!C37)</f>
        <v/>
      </c>
      <c r="E37" s="22" t="str">
        <f t="shared" si="1"/>
        <v/>
      </c>
      <c r="F37" s="22" t="str">
        <f>IFERROR(__xludf.DUMMYFUNCTION("IF(C37="""","""", OR(REGEXMATCH(LOWER(C37),""cuota""), REGEXMATCH(C37,""\d+\s*/\s*\d+"")))"),"")</f>
        <v/>
      </c>
      <c r="G37" s="22" t="str">
        <f>IFERROR(__xludf.DUMMYFUNCTION("IFERROR(VALUE(REGEXEXTRACT(C37,""(\d+)\s*/\s*\d+"")),"""")"),"")</f>
        <v/>
      </c>
      <c r="H37" s="22" t="str">
        <f>IFERROR(__xludf.DUMMYFUNCTION("IFERROR(VALUE(REGEXEXTRACT(C37,""\d+\s*/\s*(\d+)"")),"""")"),"")</f>
        <v/>
      </c>
      <c r="I37" s="22" t="str">
        <f t="shared" si="2"/>
        <v/>
      </c>
      <c r="J37" s="34" t="str">
        <f t="shared" si="3"/>
        <v/>
      </c>
    </row>
    <row r="38" ht="15.75" customHeight="1">
      <c r="A38" s="32" t="s">
        <v>113</v>
      </c>
      <c r="B38" s="32" t="str">
        <f>IF(MOV_CC_NACIONAL!A38="","",MOV_CC_NACIONAL!A38)</f>
        <v/>
      </c>
      <c r="C38" s="32" t="str">
        <f>IF(MOV_CC_NACIONAL!B38="","",MOV_CC_NACIONAL!B38)</f>
        <v/>
      </c>
      <c r="D38" s="33" t="str">
        <f>IF(MOV_CC_NACIONAL!C38="","",MOV_CC_NACIONAL!C38)</f>
        <v/>
      </c>
      <c r="E38" s="32" t="str">
        <f t="shared" si="1"/>
        <v/>
      </c>
      <c r="F38" s="32" t="str">
        <f>IFERROR(__xludf.DUMMYFUNCTION("IF(C38="""","""", OR(REGEXMATCH(LOWER(C38),""cuota""), REGEXMATCH(C38,""\d+\s*/\s*\d+"")))"),"")</f>
        <v/>
      </c>
      <c r="G38" s="32" t="str">
        <f>IFERROR(__xludf.DUMMYFUNCTION("IFERROR(VALUE(REGEXEXTRACT(C38,""(\d+)\s*/\s*\d+"")),"""")"),"")</f>
        <v/>
      </c>
      <c r="H38" s="32" t="str">
        <f>IFERROR(__xludf.DUMMYFUNCTION("IFERROR(VALUE(REGEXEXTRACT(C38,""\d+\s*/\s*(\d+)"")),"""")"),"")</f>
        <v/>
      </c>
      <c r="I38" s="32" t="str">
        <f t="shared" si="2"/>
        <v/>
      </c>
      <c r="J38" s="33" t="str">
        <f t="shared" si="3"/>
        <v/>
      </c>
    </row>
    <row r="39" ht="15.75" customHeight="1">
      <c r="A39" s="22" t="s">
        <v>113</v>
      </c>
      <c r="B39" s="22" t="str">
        <f>IF(MOV_CC_NACIONAL!A39="","",MOV_CC_NACIONAL!A39)</f>
        <v/>
      </c>
      <c r="C39" s="22" t="str">
        <f>IF(MOV_CC_NACIONAL!B39="","",MOV_CC_NACIONAL!B39)</f>
        <v/>
      </c>
      <c r="D39" s="34" t="str">
        <f>IF(MOV_CC_NACIONAL!C39="","",MOV_CC_NACIONAL!C39)</f>
        <v/>
      </c>
      <c r="E39" s="22" t="str">
        <f t="shared" si="1"/>
        <v/>
      </c>
      <c r="F39" s="22" t="str">
        <f>IFERROR(__xludf.DUMMYFUNCTION("IF(C39="""","""", OR(REGEXMATCH(LOWER(C39),""cuota""), REGEXMATCH(C39,""\d+\s*/\s*\d+"")))"),"")</f>
        <v/>
      </c>
      <c r="G39" s="22" t="str">
        <f>IFERROR(__xludf.DUMMYFUNCTION("IFERROR(VALUE(REGEXEXTRACT(C39,""(\d+)\s*/\s*\d+"")),"""")"),"")</f>
        <v/>
      </c>
      <c r="H39" s="22" t="str">
        <f>IFERROR(__xludf.DUMMYFUNCTION("IFERROR(VALUE(REGEXEXTRACT(C39,""\d+\s*/\s*(\d+)"")),"""")"),"")</f>
        <v/>
      </c>
      <c r="I39" s="22" t="str">
        <f t="shared" si="2"/>
        <v/>
      </c>
      <c r="J39" s="34" t="str">
        <f t="shared" si="3"/>
        <v/>
      </c>
    </row>
    <row r="40" ht="15.75" customHeight="1">
      <c r="A40" s="32" t="s">
        <v>113</v>
      </c>
      <c r="B40" s="32" t="str">
        <f>IF(MOV_CC_NACIONAL!A40="","",MOV_CC_NACIONAL!A40)</f>
        <v/>
      </c>
      <c r="C40" s="32" t="str">
        <f>IF(MOV_CC_NACIONAL!B40="","",MOV_CC_NACIONAL!B40)</f>
        <v/>
      </c>
      <c r="D40" s="33" t="str">
        <f>IF(MOV_CC_NACIONAL!C40="","",MOV_CC_NACIONAL!C40)</f>
        <v/>
      </c>
      <c r="E40" s="32" t="str">
        <f t="shared" si="1"/>
        <v/>
      </c>
      <c r="F40" s="32" t="str">
        <f>IFERROR(__xludf.DUMMYFUNCTION("IF(C40="""","""", OR(REGEXMATCH(LOWER(C40),""cuota""), REGEXMATCH(C40,""\d+\s*/\s*\d+"")))"),"")</f>
        <v/>
      </c>
      <c r="G40" s="32" t="str">
        <f>IFERROR(__xludf.DUMMYFUNCTION("IFERROR(VALUE(REGEXEXTRACT(C40,""(\d+)\s*/\s*\d+"")),"""")"),"")</f>
        <v/>
      </c>
      <c r="H40" s="32" t="str">
        <f>IFERROR(__xludf.DUMMYFUNCTION("IFERROR(VALUE(REGEXEXTRACT(C40,""\d+\s*/\s*(\d+)"")),"""")"),"")</f>
        <v/>
      </c>
      <c r="I40" s="32" t="str">
        <f t="shared" si="2"/>
        <v/>
      </c>
      <c r="J40" s="33" t="str">
        <f t="shared" si="3"/>
        <v/>
      </c>
    </row>
    <row r="41" ht="15.75" customHeight="1">
      <c r="A41" s="22" t="s">
        <v>113</v>
      </c>
      <c r="B41" s="22" t="str">
        <f>IF(MOV_CC_NACIONAL!A41="","",MOV_CC_NACIONAL!A41)</f>
        <v/>
      </c>
      <c r="C41" s="22" t="str">
        <f>IF(MOV_CC_NACIONAL!B41="","",MOV_CC_NACIONAL!B41)</f>
        <v/>
      </c>
      <c r="D41" s="34" t="str">
        <f>IF(MOV_CC_NACIONAL!C41="","",MOV_CC_NACIONAL!C41)</f>
        <v/>
      </c>
      <c r="E41" s="22" t="str">
        <f t="shared" si="1"/>
        <v/>
      </c>
      <c r="F41" s="22" t="str">
        <f>IFERROR(__xludf.DUMMYFUNCTION("IF(C41="""","""", OR(REGEXMATCH(LOWER(C41),""cuota""), REGEXMATCH(C41,""\d+\s*/\s*\d+"")))"),"")</f>
        <v/>
      </c>
      <c r="G41" s="22" t="str">
        <f>IFERROR(__xludf.DUMMYFUNCTION("IFERROR(VALUE(REGEXEXTRACT(C41,""(\d+)\s*/\s*\d+"")),"""")"),"")</f>
        <v/>
      </c>
      <c r="H41" s="22" t="str">
        <f>IFERROR(__xludf.DUMMYFUNCTION("IFERROR(VALUE(REGEXEXTRACT(C41,""\d+\s*/\s*(\d+)"")),"""")"),"")</f>
        <v/>
      </c>
      <c r="I41" s="22" t="str">
        <f t="shared" si="2"/>
        <v/>
      </c>
      <c r="J41" s="34" t="str">
        <f t="shared" si="3"/>
        <v/>
      </c>
    </row>
    <row r="42" ht="15.75" customHeight="1">
      <c r="A42" s="32" t="s">
        <v>113</v>
      </c>
      <c r="B42" s="32" t="str">
        <f>IF(MOV_CC_NACIONAL!A42="","",MOV_CC_NACIONAL!A42)</f>
        <v/>
      </c>
      <c r="C42" s="32" t="str">
        <f>IF(MOV_CC_NACIONAL!B42="","",MOV_CC_NACIONAL!B42)</f>
        <v/>
      </c>
      <c r="D42" s="33" t="str">
        <f>IF(MOV_CC_NACIONAL!C42="","",MOV_CC_NACIONAL!C42)</f>
        <v/>
      </c>
      <c r="E42" s="32" t="str">
        <f t="shared" si="1"/>
        <v/>
      </c>
      <c r="F42" s="32" t="str">
        <f>IFERROR(__xludf.DUMMYFUNCTION("IF(C42="""","""", OR(REGEXMATCH(LOWER(C42),""cuota""), REGEXMATCH(C42,""\d+\s*/\s*\d+"")))"),"")</f>
        <v/>
      </c>
      <c r="G42" s="32" t="str">
        <f>IFERROR(__xludf.DUMMYFUNCTION("IFERROR(VALUE(REGEXEXTRACT(C42,""(\d+)\s*/\s*\d+"")),"""")"),"")</f>
        <v/>
      </c>
      <c r="H42" s="32" t="str">
        <f>IFERROR(__xludf.DUMMYFUNCTION("IFERROR(VALUE(REGEXEXTRACT(C42,""\d+\s*/\s*(\d+)"")),"""")"),"")</f>
        <v/>
      </c>
      <c r="I42" s="32" t="str">
        <f t="shared" si="2"/>
        <v/>
      </c>
      <c r="J42" s="33" t="str">
        <f t="shared" si="3"/>
        <v/>
      </c>
    </row>
    <row r="43" ht="15.75" customHeight="1">
      <c r="A43" s="22" t="s">
        <v>113</v>
      </c>
      <c r="B43" s="22" t="str">
        <f>IF(MOV_CC_NACIONAL!A43="","",MOV_CC_NACIONAL!A43)</f>
        <v/>
      </c>
      <c r="C43" s="22" t="str">
        <f>IF(MOV_CC_NACIONAL!B43="","",MOV_CC_NACIONAL!B43)</f>
        <v/>
      </c>
      <c r="D43" s="34" t="str">
        <f>IF(MOV_CC_NACIONAL!C43="","",MOV_CC_NACIONAL!C43)</f>
        <v/>
      </c>
      <c r="E43" s="22" t="str">
        <f t="shared" si="1"/>
        <v/>
      </c>
      <c r="F43" s="22" t="str">
        <f>IFERROR(__xludf.DUMMYFUNCTION("IF(C43="""","""", OR(REGEXMATCH(LOWER(C43),""cuota""), REGEXMATCH(C43,""\d+\s*/\s*\d+"")))"),"")</f>
        <v/>
      </c>
      <c r="G43" s="22" t="str">
        <f>IFERROR(__xludf.DUMMYFUNCTION("IFERROR(VALUE(REGEXEXTRACT(C43,""(\d+)\s*/\s*\d+"")),"""")"),"")</f>
        <v/>
      </c>
      <c r="H43" s="22" t="str">
        <f>IFERROR(__xludf.DUMMYFUNCTION("IFERROR(VALUE(REGEXEXTRACT(C43,""\d+\s*/\s*(\d+)"")),"""")"),"")</f>
        <v/>
      </c>
      <c r="I43" s="22" t="str">
        <f t="shared" si="2"/>
        <v/>
      </c>
      <c r="J43" s="34" t="str">
        <f t="shared" si="3"/>
        <v/>
      </c>
    </row>
    <row r="44" ht="15.75" customHeight="1">
      <c r="A44" s="32" t="s">
        <v>113</v>
      </c>
      <c r="B44" s="32" t="str">
        <f>IF(MOV_CC_NACIONAL!A44="","",MOV_CC_NACIONAL!A44)</f>
        <v/>
      </c>
      <c r="C44" s="32" t="str">
        <f>IF(MOV_CC_NACIONAL!B44="","",MOV_CC_NACIONAL!B44)</f>
        <v/>
      </c>
      <c r="D44" s="33" t="str">
        <f>IF(MOV_CC_NACIONAL!C44="","",MOV_CC_NACIONAL!C44)</f>
        <v/>
      </c>
      <c r="E44" s="32" t="str">
        <f t="shared" si="1"/>
        <v/>
      </c>
      <c r="F44" s="32" t="str">
        <f>IFERROR(__xludf.DUMMYFUNCTION("IF(C44="""","""", OR(REGEXMATCH(LOWER(C44),""cuota""), REGEXMATCH(C44,""\d+\s*/\s*\d+"")))"),"")</f>
        <v/>
      </c>
      <c r="G44" s="32" t="str">
        <f>IFERROR(__xludf.DUMMYFUNCTION("IFERROR(VALUE(REGEXEXTRACT(C44,""(\d+)\s*/\s*\d+"")),"""")"),"")</f>
        <v/>
      </c>
      <c r="H44" s="32" t="str">
        <f>IFERROR(__xludf.DUMMYFUNCTION("IFERROR(VALUE(REGEXEXTRACT(C44,""\d+\s*/\s*(\d+)"")),"""")"),"")</f>
        <v/>
      </c>
      <c r="I44" s="32" t="str">
        <f t="shared" si="2"/>
        <v/>
      </c>
      <c r="J44" s="33" t="str">
        <f t="shared" si="3"/>
        <v/>
      </c>
    </row>
    <row r="45" ht="15.75" customHeight="1">
      <c r="A45" s="22" t="s">
        <v>113</v>
      </c>
      <c r="B45" s="22" t="str">
        <f>IF(MOV_CC_NACIONAL!A45="","",MOV_CC_NACIONAL!A45)</f>
        <v/>
      </c>
      <c r="C45" s="22" t="str">
        <f>IF(MOV_CC_NACIONAL!B45="","",MOV_CC_NACIONAL!B45)</f>
        <v/>
      </c>
      <c r="D45" s="34" t="str">
        <f>IF(MOV_CC_NACIONAL!C45="","",MOV_CC_NACIONAL!C45)</f>
        <v/>
      </c>
      <c r="E45" s="22" t="str">
        <f t="shared" si="1"/>
        <v/>
      </c>
      <c r="F45" s="22" t="str">
        <f>IFERROR(__xludf.DUMMYFUNCTION("IF(C45="""","""", OR(REGEXMATCH(LOWER(C45),""cuota""), REGEXMATCH(C45,""\d+\s*/\s*\d+"")))"),"")</f>
        <v/>
      </c>
      <c r="G45" s="22" t="str">
        <f>IFERROR(__xludf.DUMMYFUNCTION("IFERROR(VALUE(REGEXEXTRACT(C45,""(\d+)\s*/\s*\d+"")),"""")"),"")</f>
        <v/>
      </c>
      <c r="H45" s="22" t="str">
        <f>IFERROR(__xludf.DUMMYFUNCTION("IFERROR(VALUE(REGEXEXTRACT(C45,""\d+\s*/\s*(\d+)"")),"""")"),"")</f>
        <v/>
      </c>
      <c r="I45" s="22" t="str">
        <f t="shared" si="2"/>
        <v/>
      </c>
      <c r="J45" s="34" t="str">
        <f t="shared" si="3"/>
        <v/>
      </c>
    </row>
    <row r="46" ht="15.75" customHeight="1">
      <c r="A46" s="32" t="s">
        <v>113</v>
      </c>
      <c r="B46" s="32" t="str">
        <f>IF(MOV_CC_NACIONAL!A46="","",MOV_CC_NACIONAL!A46)</f>
        <v/>
      </c>
      <c r="C46" s="32" t="str">
        <f>IF(MOV_CC_NACIONAL!B46="","",MOV_CC_NACIONAL!B46)</f>
        <v/>
      </c>
      <c r="D46" s="33" t="str">
        <f>IF(MOV_CC_NACIONAL!C46="","",MOV_CC_NACIONAL!C46)</f>
        <v/>
      </c>
      <c r="E46" s="32" t="str">
        <f t="shared" si="1"/>
        <v/>
      </c>
      <c r="F46" s="32" t="str">
        <f>IFERROR(__xludf.DUMMYFUNCTION("IF(C46="""","""", OR(REGEXMATCH(LOWER(C46),""cuota""), REGEXMATCH(C46,""\d+\s*/\s*\d+"")))"),"")</f>
        <v/>
      </c>
      <c r="G46" s="32" t="str">
        <f>IFERROR(__xludf.DUMMYFUNCTION("IFERROR(VALUE(REGEXEXTRACT(C46,""(\d+)\s*/\s*\d+"")),"""")"),"")</f>
        <v/>
      </c>
      <c r="H46" s="32" t="str">
        <f>IFERROR(__xludf.DUMMYFUNCTION("IFERROR(VALUE(REGEXEXTRACT(C46,""\d+\s*/\s*(\d+)"")),"""")"),"")</f>
        <v/>
      </c>
      <c r="I46" s="32" t="str">
        <f t="shared" si="2"/>
        <v/>
      </c>
      <c r="J46" s="33" t="str">
        <f t="shared" si="3"/>
        <v/>
      </c>
    </row>
    <row r="47" ht="15.75" customHeight="1">
      <c r="A47" s="22" t="s">
        <v>113</v>
      </c>
      <c r="B47" s="22" t="str">
        <f>IF(MOV_CC_NACIONAL!A47="","",MOV_CC_NACIONAL!A47)</f>
        <v/>
      </c>
      <c r="C47" s="22" t="str">
        <f>IF(MOV_CC_NACIONAL!B47="","",MOV_CC_NACIONAL!B47)</f>
        <v/>
      </c>
      <c r="D47" s="34" t="str">
        <f>IF(MOV_CC_NACIONAL!C47="","",MOV_CC_NACIONAL!C47)</f>
        <v/>
      </c>
      <c r="E47" s="22" t="str">
        <f t="shared" si="1"/>
        <v/>
      </c>
      <c r="F47" s="22" t="str">
        <f>IFERROR(__xludf.DUMMYFUNCTION("IF(C47="""","""", OR(REGEXMATCH(LOWER(C47),""cuota""), REGEXMATCH(C47,""\d+\s*/\s*\d+"")))"),"")</f>
        <v/>
      </c>
      <c r="G47" s="22" t="str">
        <f>IFERROR(__xludf.DUMMYFUNCTION("IFERROR(VALUE(REGEXEXTRACT(C47,""(\d+)\s*/\s*\d+"")),"""")"),"")</f>
        <v/>
      </c>
      <c r="H47" s="22" t="str">
        <f>IFERROR(__xludf.DUMMYFUNCTION("IFERROR(VALUE(REGEXEXTRACT(C47,""\d+\s*/\s*(\d+)"")),"""")"),"")</f>
        <v/>
      </c>
      <c r="I47" s="22" t="str">
        <f t="shared" si="2"/>
        <v/>
      </c>
      <c r="J47" s="34" t="str">
        <f t="shared" si="3"/>
        <v/>
      </c>
    </row>
    <row r="48" ht="15.75" customHeight="1">
      <c r="A48" s="32" t="s">
        <v>113</v>
      </c>
      <c r="B48" s="32" t="str">
        <f>IF(MOV_CC_NACIONAL!A48="","",MOV_CC_NACIONAL!A48)</f>
        <v/>
      </c>
      <c r="C48" s="32" t="str">
        <f>IF(MOV_CC_NACIONAL!B48="","",MOV_CC_NACIONAL!B48)</f>
        <v/>
      </c>
      <c r="D48" s="33" t="str">
        <f>IF(MOV_CC_NACIONAL!C48="","",MOV_CC_NACIONAL!C48)</f>
        <v/>
      </c>
      <c r="E48" s="32" t="str">
        <f t="shared" si="1"/>
        <v/>
      </c>
      <c r="F48" s="32" t="str">
        <f>IFERROR(__xludf.DUMMYFUNCTION("IF(C48="""","""", OR(REGEXMATCH(LOWER(C48),""cuota""), REGEXMATCH(C48,""\d+\s*/\s*\d+"")))"),"")</f>
        <v/>
      </c>
      <c r="G48" s="32" t="str">
        <f>IFERROR(__xludf.DUMMYFUNCTION("IFERROR(VALUE(REGEXEXTRACT(C48,""(\d+)\s*/\s*\d+"")),"""")"),"")</f>
        <v/>
      </c>
      <c r="H48" s="32" t="str">
        <f>IFERROR(__xludf.DUMMYFUNCTION("IFERROR(VALUE(REGEXEXTRACT(C48,""\d+\s*/\s*(\d+)"")),"""")"),"")</f>
        <v/>
      </c>
      <c r="I48" s="32" t="str">
        <f t="shared" si="2"/>
        <v/>
      </c>
      <c r="J48" s="33" t="str">
        <f t="shared" si="3"/>
        <v/>
      </c>
    </row>
    <row r="49" ht="15.75" customHeight="1">
      <c r="A49" s="22" t="s">
        <v>113</v>
      </c>
      <c r="B49" s="22" t="str">
        <f>IF(MOV_CC_NACIONAL!A49="","",MOV_CC_NACIONAL!A49)</f>
        <v/>
      </c>
      <c r="C49" s="22" t="str">
        <f>IF(MOV_CC_NACIONAL!B49="","",MOV_CC_NACIONAL!B49)</f>
        <v/>
      </c>
      <c r="D49" s="34" t="str">
        <f>IF(MOV_CC_NACIONAL!C49="","",MOV_CC_NACIONAL!C49)</f>
        <v/>
      </c>
      <c r="E49" s="22" t="str">
        <f t="shared" si="1"/>
        <v/>
      </c>
      <c r="F49" s="22" t="str">
        <f>IFERROR(__xludf.DUMMYFUNCTION("IF(C49="""","""", OR(REGEXMATCH(LOWER(C49),""cuota""), REGEXMATCH(C49,""\d+\s*/\s*\d+"")))"),"")</f>
        <v/>
      </c>
      <c r="G49" s="22" t="str">
        <f>IFERROR(__xludf.DUMMYFUNCTION("IFERROR(VALUE(REGEXEXTRACT(C49,""(\d+)\s*/\s*\d+"")),"""")"),"")</f>
        <v/>
      </c>
      <c r="H49" s="22" t="str">
        <f>IFERROR(__xludf.DUMMYFUNCTION("IFERROR(VALUE(REGEXEXTRACT(C49,""\d+\s*/\s*(\d+)"")),"""")"),"")</f>
        <v/>
      </c>
      <c r="I49" s="22" t="str">
        <f t="shared" si="2"/>
        <v/>
      </c>
      <c r="J49" s="34" t="str">
        <f t="shared" si="3"/>
        <v/>
      </c>
    </row>
    <row r="50" ht="15.75" customHeight="1">
      <c r="A50" s="32" t="s">
        <v>113</v>
      </c>
      <c r="B50" s="32" t="str">
        <f>IF(MOV_CC_NACIONAL!A50="","",MOV_CC_NACIONAL!A50)</f>
        <v/>
      </c>
      <c r="C50" s="32" t="str">
        <f>IF(MOV_CC_NACIONAL!B50="","",MOV_CC_NACIONAL!B50)</f>
        <v/>
      </c>
      <c r="D50" s="33" t="str">
        <f>IF(MOV_CC_NACIONAL!C50="","",MOV_CC_NACIONAL!C50)</f>
        <v/>
      </c>
      <c r="E50" s="32" t="str">
        <f t="shared" si="1"/>
        <v/>
      </c>
      <c r="F50" s="32" t="str">
        <f>IFERROR(__xludf.DUMMYFUNCTION("IF(C50="""","""", OR(REGEXMATCH(LOWER(C50),""cuota""), REGEXMATCH(C50,""\d+\s*/\s*\d+"")))"),"")</f>
        <v/>
      </c>
      <c r="G50" s="32" t="str">
        <f>IFERROR(__xludf.DUMMYFUNCTION("IFERROR(VALUE(REGEXEXTRACT(C50,""(\d+)\s*/\s*\d+"")),"""")"),"")</f>
        <v/>
      </c>
      <c r="H50" s="32" t="str">
        <f>IFERROR(__xludf.DUMMYFUNCTION("IFERROR(VALUE(REGEXEXTRACT(C50,""\d+\s*/\s*(\d+)"")),"""")"),"")</f>
        <v/>
      </c>
      <c r="I50" s="32" t="str">
        <f t="shared" si="2"/>
        <v/>
      </c>
      <c r="J50" s="33" t="str">
        <f t="shared" si="3"/>
        <v/>
      </c>
    </row>
    <row r="51" ht="15.75" customHeight="1">
      <c r="A51" s="22" t="s">
        <v>113</v>
      </c>
      <c r="B51" s="22" t="str">
        <f>IF(MOV_CC_NACIONAL!A51="","",MOV_CC_NACIONAL!A51)</f>
        <v/>
      </c>
      <c r="C51" s="22" t="str">
        <f>IF(MOV_CC_NACIONAL!B51="","",MOV_CC_NACIONAL!B51)</f>
        <v/>
      </c>
      <c r="D51" s="34" t="str">
        <f>IF(MOV_CC_NACIONAL!C51="","",MOV_CC_NACIONAL!C51)</f>
        <v/>
      </c>
      <c r="E51" s="22" t="str">
        <f t="shared" si="1"/>
        <v/>
      </c>
      <c r="F51" s="22" t="str">
        <f>IFERROR(__xludf.DUMMYFUNCTION("IF(C51="""","""", OR(REGEXMATCH(LOWER(C51),""cuota""), REGEXMATCH(C51,""\d+\s*/\s*\d+"")))"),"")</f>
        <v/>
      </c>
      <c r="G51" s="22" t="str">
        <f>IFERROR(__xludf.DUMMYFUNCTION("IFERROR(VALUE(REGEXEXTRACT(C51,""(\d+)\s*/\s*\d+"")),"""")"),"")</f>
        <v/>
      </c>
      <c r="H51" s="22" t="str">
        <f>IFERROR(__xludf.DUMMYFUNCTION("IFERROR(VALUE(REGEXEXTRACT(C51,""\d+\s*/\s*(\d+)"")),"""")"),"")</f>
        <v/>
      </c>
      <c r="I51" s="22" t="str">
        <f t="shared" si="2"/>
        <v/>
      </c>
      <c r="J51" s="34" t="str">
        <f t="shared" si="3"/>
        <v/>
      </c>
    </row>
    <row r="52" ht="15.75" customHeight="1">
      <c r="A52" s="32" t="s">
        <v>113</v>
      </c>
      <c r="B52" s="32" t="str">
        <f>IF(MOV_CC_NACIONAL!A52="","",MOV_CC_NACIONAL!A52)</f>
        <v/>
      </c>
      <c r="C52" s="32" t="str">
        <f>IF(MOV_CC_NACIONAL!B52="","",MOV_CC_NACIONAL!B52)</f>
        <v/>
      </c>
      <c r="D52" s="33" t="str">
        <f>IF(MOV_CC_NACIONAL!C52="","",MOV_CC_NACIONAL!C52)</f>
        <v/>
      </c>
      <c r="E52" s="32" t="str">
        <f t="shared" si="1"/>
        <v/>
      </c>
      <c r="F52" s="32" t="str">
        <f>IFERROR(__xludf.DUMMYFUNCTION("IF(C52="""","""", OR(REGEXMATCH(LOWER(C52),""cuota""), REGEXMATCH(C52,""\d+\s*/\s*\d+"")))"),"")</f>
        <v/>
      </c>
      <c r="G52" s="32" t="str">
        <f>IFERROR(__xludf.DUMMYFUNCTION("IFERROR(VALUE(REGEXEXTRACT(C52,""(\d+)\s*/\s*\d+"")),"""")"),"")</f>
        <v/>
      </c>
      <c r="H52" s="32" t="str">
        <f>IFERROR(__xludf.DUMMYFUNCTION("IFERROR(VALUE(REGEXEXTRACT(C52,""\d+\s*/\s*(\d+)"")),"""")"),"")</f>
        <v/>
      </c>
      <c r="I52" s="32" t="str">
        <f t="shared" si="2"/>
        <v/>
      </c>
      <c r="J52" s="33" t="str">
        <f t="shared" si="3"/>
        <v/>
      </c>
    </row>
    <row r="53" ht="15.75" customHeight="1">
      <c r="A53" s="22" t="s">
        <v>113</v>
      </c>
      <c r="B53" s="22" t="str">
        <f>IF(MOV_CC_NACIONAL!A53="","",MOV_CC_NACIONAL!A53)</f>
        <v/>
      </c>
      <c r="C53" s="22" t="str">
        <f>IF(MOV_CC_NACIONAL!B53="","",MOV_CC_NACIONAL!B53)</f>
        <v/>
      </c>
      <c r="D53" s="34" t="str">
        <f>IF(MOV_CC_NACIONAL!C53="","",MOV_CC_NACIONAL!C53)</f>
        <v/>
      </c>
      <c r="E53" s="22" t="str">
        <f t="shared" si="1"/>
        <v/>
      </c>
      <c r="F53" s="22" t="str">
        <f>IFERROR(__xludf.DUMMYFUNCTION("IF(C53="""","""", OR(REGEXMATCH(LOWER(C53),""cuota""), REGEXMATCH(C53,""\d+\s*/\s*\d+"")))"),"")</f>
        <v/>
      </c>
      <c r="G53" s="22" t="str">
        <f>IFERROR(__xludf.DUMMYFUNCTION("IFERROR(VALUE(REGEXEXTRACT(C53,""(\d+)\s*/\s*\d+"")),"""")"),"")</f>
        <v/>
      </c>
      <c r="H53" s="22" t="str">
        <f>IFERROR(__xludf.DUMMYFUNCTION("IFERROR(VALUE(REGEXEXTRACT(C53,""\d+\s*/\s*(\d+)"")),"""")"),"")</f>
        <v/>
      </c>
      <c r="I53" s="22" t="str">
        <f t="shared" si="2"/>
        <v/>
      </c>
      <c r="J53" s="34" t="str">
        <f t="shared" si="3"/>
        <v/>
      </c>
    </row>
    <row r="54" ht="15.75" customHeight="1">
      <c r="A54" s="32" t="s">
        <v>113</v>
      </c>
      <c r="B54" s="32" t="str">
        <f>IF(MOV_CC_NACIONAL!A54="","",MOV_CC_NACIONAL!A54)</f>
        <v/>
      </c>
      <c r="C54" s="32" t="str">
        <f>IF(MOV_CC_NACIONAL!B54="","",MOV_CC_NACIONAL!B54)</f>
        <v/>
      </c>
      <c r="D54" s="33" t="str">
        <f>IF(MOV_CC_NACIONAL!C54="","",MOV_CC_NACIONAL!C54)</f>
        <v/>
      </c>
      <c r="E54" s="32" t="str">
        <f t="shared" si="1"/>
        <v/>
      </c>
      <c r="F54" s="32" t="str">
        <f>IFERROR(__xludf.DUMMYFUNCTION("IF(C54="""","""", OR(REGEXMATCH(LOWER(C54),""cuota""), REGEXMATCH(C54,""\d+\s*/\s*\d+"")))"),"")</f>
        <v/>
      </c>
      <c r="G54" s="32" t="str">
        <f>IFERROR(__xludf.DUMMYFUNCTION("IFERROR(VALUE(REGEXEXTRACT(C54,""(\d+)\s*/\s*\d+"")),"""")"),"")</f>
        <v/>
      </c>
      <c r="H54" s="32" t="str">
        <f>IFERROR(__xludf.DUMMYFUNCTION("IFERROR(VALUE(REGEXEXTRACT(C54,""\d+\s*/\s*(\d+)"")),"""")"),"")</f>
        <v/>
      </c>
      <c r="I54" s="32" t="str">
        <f t="shared" si="2"/>
        <v/>
      </c>
      <c r="J54" s="33" t="str">
        <f t="shared" si="3"/>
        <v/>
      </c>
    </row>
    <row r="55" ht="15.75" customHeight="1">
      <c r="A55" s="22" t="s">
        <v>113</v>
      </c>
      <c r="B55" s="22" t="str">
        <f>IF(MOV_CC_NACIONAL!A55="","",MOV_CC_NACIONAL!A55)</f>
        <v/>
      </c>
      <c r="C55" s="22" t="str">
        <f>IF(MOV_CC_NACIONAL!B55="","",MOV_CC_NACIONAL!B55)</f>
        <v/>
      </c>
      <c r="D55" s="34" t="str">
        <f>IF(MOV_CC_NACIONAL!C55="","",MOV_CC_NACIONAL!C55)</f>
        <v/>
      </c>
      <c r="E55" s="22" t="str">
        <f t="shared" si="1"/>
        <v/>
      </c>
      <c r="F55" s="22" t="str">
        <f>IFERROR(__xludf.DUMMYFUNCTION("IF(C55="""","""", OR(REGEXMATCH(LOWER(C55),""cuota""), REGEXMATCH(C55,""\d+\s*/\s*\d+"")))"),"")</f>
        <v/>
      </c>
      <c r="G55" s="22" t="str">
        <f>IFERROR(__xludf.DUMMYFUNCTION("IFERROR(VALUE(REGEXEXTRACT(C55,""(\d+)\s*/\s*\d+"")),"""")"),"")</f>
        <v/>
      </c>
      <c r="H55" s="22" t="str">
        <f>IFERROR(__xludf.DUMMYFUNCTION("IFERROR(VALUE(REGEXEXTRACT(C55,""\d+\s*/\s*(\d+)"")),"""")"),"")</f>
        <v/>
      </c>
      <c r="I55" s="22" t="str">
        <f t="shared" si="2"/>
        <v/>
      </c>
      <c r="J55" s="34" t="str">
        <f t="shared" si="3"/>
        <v/>
      </c>
    </row>
    <row r="56" ht="15.75" customHeight="1">
      <c r="A56" s="32" t="s">
        <v>113</v>
      </c>
      <c r="B56" s="32" t="str">
        <f>IF(MOV_CC_NACIONAL!A56="","",MOV_CC_NACIONAL!A56)</f>
        <v/>
      </c>
      <c r="C56" s="32" t="str">
        <f>IF(MOV_CC_NACIONAL!B56="","",MOV_CC_NACIONAL!B56)</f>
        <v/>
      </c>
      <c r="D56" s="33" t="str">
        <f>IF(MOV_CC_NACIONAL!C56="","",MOV_CC_NACIONAL!C56)</f>
        <v/>
      </c>
      <c r="E56" s="32" t="str">
        <f t="shared" si="1"/>
        <v/>
      </c>
      <c r="F56" s="32" t="str">
        <f>IFERROR(__xludf.DUMMYFUNCTION("IF(C56="""","""", OR(REGEXMATCH(LOWER(C56),""cuota""), REGEXMATCH(C56,""\d+\s*/\s*\d+"")))"),"")</f>
        <v/>
      </c>
      <c r="G56" s="32" t="str">
        <f>IFERROR(__xludf.DUMMYFUNCTION("IFERROR(VALUE(REGEXEXTRACT(C56,""(\d+)\s*/\s*\d+"")),"""")"),"")</f>
        <v/>
      </c>
      <c r="H56" s="32" t="str">
        <f>IFERROR(__xludf.DUMMYFUNCTION("IFERROR(VALUE(REGEXEXTRACT(C56,""\d+\s*/\s*(\d+)"")),"""")"),"")</f>
        <v/>
      </c>
      <c r="I56" s="32" t="str">
        <f t="shared" si="2"/>
        <v/>
      </c>
      <c r="J56" s="33" t="str">
        <f t="shared" si="3"/>
        <v/>
      </c>
    </row>
    <row r="57" ht="15.75" customHeight="1">
      <c r="A57" s="22" t="s">
        <v>113</v>
      </c>
      <c r="B57" s="22" t="str">
        <f>IF(MOV_CC_NACIONAL!A57="","",MOV_CC_NACIONAL!A57)</f>
        <v/>
      </c>
      <c r="C57" s="22" t="str">
        <f>IF(MOV_CC_NACIONAL!B57="","",MOV_CC_NACIONAL!B57)</f>
        <v/>
      </c>
      <c r="D57" s="34" t="str">
        <f>IF(MOV_CC_NACIONAL!C57="","",MOV_CC_NACIONAL!C57)</f>
        <v/>
      </c>
      <c r="E57" s="22" t="str">
        <f t="shared" si="1"/>
        <v/>
      </c>
      <c r="F57" s="22" t="str">
        <f>IFERROR(__xludf.DUMMYFUNCTION("IF(C57="""","""", OR(REGEXMATCH(LOWER(C57),""cuota""), REGEXMATCH(C57,""\d+\s*/\s*\d+"")))"),"")</f>
        <v/>
      </c>
      <c r="G57" s="22" t="str">
        <f>IFERROR(__xludf.DUMMYFUNCTION("IFERROR(VALUE(REGEXEXTRACT(C57,""(\d+)\s*/\s*\d+"")),"""")"),"")</f>
        <v/>
      </c>
      <c r="H57" s="22" t="str">
        <f>IFERROR(__xludf.DUMMYFUNCTION("IFERROR(VALUE(REGEXEXTRACT(C57,""\d+\s*/\s*(\d+)"")),"""")"),"")</f>
        <v/>
      </c>
      <c r="I57" s="22" t="str">
        <f t="shared" si="2"/>
        <v/>
      </c>
      <c r="J57" s="34" t="str">
        <f t="shared" si="3"/>
        <v/>
      </c>
    </row>
    <row r="58" ht="15.75" customHeight="1">
      <c r="A58" s="32" t="s">
        <v>113</v>
      </c>
      <c r="B58" s="32" t="str">
        <f>IF(MOV_CC_NACIONAL!A58="","",MOV_CC_NACIONAL!A58)</f>
        <v/>
      </c>
      <c r="C58" s="32" t="str">
        <f>IF(MOV_CC_NACIONAL!B58="","",MOV_CC_NACIONAL!B58)</f>
        <v/>
      </c>
      <c r="D58" s="33" t="str">
        <f>IF(MOV_CC_NACIONAL!C58="","",MOV_CC_NACIONAL!C58)</f>
        <v/>
      </c>
      <c r="E58" s="32" t="str">
        <f t="shared" si="1"/>
        <v/>
      </c>
      <c r="F58" s="32" t="str">
        <f>IFERROR(__xludf.DUMMYFUNCTION("IF(C58="""","""", OR(REGEXMATCH(LOWER(C58),""cuota""), REGEXMATCH(C58,""\d+\s*/\s*\d+"")))"),"")</f>
        <v/>
      </c>
      <c r="G58" s="32" t="str">
        <f>IFERROR(__xludf.DUMMYFUNCTION("IFERROR(VALUE(REGEXEXTRACT(C58,""(\d+)\s*/\s*\d+"")),"""")"),"")</f>
        <v/>
      </c>
      <c r="H58" s="32" t="str">
        <f>IFERROR(__xludf.DUMMYFUNCTION("IFERROR(VALUE(REGEXEXTRACT(C58,""\d+\s*/\s*(\d+)"")),"""")"),"")</f>
        <v/>
      </c>
      <c r="I58" s="32" t="str">
        <f t="shared" si="2"/>
        <v/>
      </c>
      <c r="J58" s="33" t="str">
        <f t="shared" si="3"/>
        <v/>
      </c>
    </row>
    <row r="59" ht="15.75" customHeight="1">
      <c r="A59" s="22" t="s">
        <v>113</v>
      </c>
      <c r="B59" s="22" t="str">
        <f>IF(MOV_CC_NACIONAL!A59="","",MOV_CC_NACIONAL!A59)</f>
        <v/>
      </c>
      <c r="C59" s="22" t="str">
        <f>IF(MOV_CC_NACIONAL!B59="","",MOV_CC_NACIONAL!B59)</f>
        <v/>
      </c>
      <c r="D59" s="34" t="str">
        <f>IF(MOV_CC_NACIONAL!C59="","",MOV_CC_NACIONAL!C59)</f>
        <v/>
      </c>
      <c r="E59" s="22" t="str">
        <f t="shared" si="1"/>
        <v/>
      </c>
      <c r="F59" s="22" t="str">
        <f>IFERROR(__xludf.DUMMYFUNCTION("IF(C59="""","""", OR(REGEXMATCH(LOWER(C59),""cuota""), REGEXMATCH(C59,""\d+\s*/\s*\d+"")))"),"")</f>
        <v/>
      </c>
      <c r="G59" s="22" t="str">
        <f>IFERROR(__xludf.DUMMYFUNCTION("IFERROR(VALUE(REGEXEXTRACT(C59,""(\d+)\s*/\s*\d+"")),"""")"),"")</f>
        <v/>
      </c>
      <c r="H59" s="22" t="str">
        <f>IFERROR(__xludf.DUMMYFUNCTION("IFERROR(VALUE(REGEXEXTRACT(C59,""\d+\s*/\s*(\d+)"")),"""")"),"")</f>
        <v/>
      </c>
      <c r="I59" s="22" t="str">
        <f t="shared" si="2"/>
        <v/>
      </c>
      <c r="J59" s="34" t="str">
        <f t="shared" si="3"/>
        <v/>
      </c>
    </row>
    <row r="60" ht="15.75" customHeight="1">
      <c r="A60" s="32" t="s">
        <v>113</v>
      </c>
      <c r="B60" s="32" t="str">
        <f>IF(MOV_CC_NACIONAL!A60="","",MOV_CC_NACIONAL!A60)</f>
        <v/>
      </c>
      <c r="C60" s="32" t="str">
        <f>IF(MOV_CC_NACIONAL!B60="","",MOV_CC_NACIONAL!B60)</f>
        <v/>
      </c>
      <c r="D60" s="33" t="str">
        <f>IF(MOV_CC_NACIONAL!C60="","",MOV_CC_NACIONAL!C60)</f>
        <v/>
      </c>
      <c r="E60" s="32" t="str">
        <f t="shared" si="1"/>
        <v/>
      </c>
      <c r="F60" s="32" t="str">
        <f>IFERROR(__xludf.DUMMYFUNCTION("IF(C60="""","""", OR(REGEXMATCH(LOWER(C60),""cuota""), REGEXMATCH(C60,""\d+\s*/\s*\d+"")))"),"")</f>
        <v/>
      </c>
      <c r="G60" s="32" t="str">
        <f>IFERROR(__xludf.DUMMYFUNCTION("IFERROR(VALUE(REGEXEXTRACT(C60,""(\d+)\s*/\s*\d+"")),"""")"),"")</f>
        <v/>
      </c>
      <c r="H60" s="32" t="str">
        <f>IFERROR(__xludf.DUMMYFUNCTION("IFERROR(VALUE(REGEXEXTRACT(C60,""\d+\s*/\s*(\d+)"")),"""")"),"")</f>
        <v/>
      </c>
      <c r="I60" s="32" t="str">
        <f t="shared" si="2"/>
        <v/>
      </c>
      <c r="J60" s="33" t="str">
        <f t="shared" si="3"/>
        <v/>
      </c>
    </row>
    <row r="61" ht="15.75" customHeight="1">
      <c r="A61" s="22" t="s">
        <v>113</v>
      </c>
      <c r="B61" s="22" t="str">
        <f>IF(MOV_CC_NACIONAL!A61="","",MOV_CC_NACIONAL!A61)</f>
        <v/>
      </c>
      <c r="C61" s="22" t="str">
        <f>IF(MOV_CC_NACIONAL!B61="","",MOV_CC_NACIONAL!B61)</f>
        <v/>
      </c>
      <c r="D61" s="34" t="str">
        <f>IF(MOV_CC_NACIONAL!C61="","",MOV_CC_NACIONAL!C61)</f>
        <v/>
      </c>
      <c r="E61" s="22" t="str">
        <f t="shared" si="1"/>
        <v/>
      </c>
      <c r="F61" s="22" t="str">
        <f>IFERROR(__xludf.DUMMYFUNCTION("IF(C61="""","""", OR(REGEXMATCH(LOWER(C61),""cuota""), REGEXMATCH(C61,""\d+\s*/\s*\d+"")))"),"")</f>
        <v/>
      </c>
      <c r="G61" s="22" t="str">
        <f>IFERROR(__xludf.DUMMYFUNCTION("IFERROR(VALUE(REGEXEXTRACT(C61,""(\d+)\s*/\s*\d+"")),"""")"),"")</f>
        <v/>
      </c>
      <c r="H61" s="22" t="str">
        <f>IFERROR(__xludf.DUMMYFUNCTION("IFERROR(VALUE(REGEXEXTRACT(C61,""\d+\s*/\s*(\d+)"")),"""")"),"")</f>
        <v/>
      </c>
      <c r="I61" s="22" t="str">
        <f t="shared" si="2"/>
        <v/>
      </c>
      <c r="J61" s="34" t="str">
        <f t="shared" si="3"/>
        <v/>
      </c>
    </row>
    <row r="62" ht="15.75" customHeight="1">
      <c r="A62" s="32" t="s">
        <v>113</v>
      </c>
      <c r="B62" s="32" t="str">
        <f>IF(MOV_CC_NACIONAL!A62="","",MOV_CC_NACIONAL!A62)</f>
        <v/>
      </c>
      <c r="C62" s="32" t="str">
        <f>IF(MOV_CC_NACIONAL!B62="","",MOV_CC_NACIONAL!B62)</f>
        <v/>
      </c>
      <c r="D62" s="33" t="str">
        <f>IF(MOV_CC_NACIONAL!C62="","",MOV_CC_NACIONAL!C62)</f>
        <v/>
      </c>
      <c r="E62" s="32" t="str">
        <f t="shared" si="1"/>
        <v/>
      </c>
      <c r="F62" s="32" t="str">
        <f>IFERROR(__xludf.DUMMYFUNCTION("IF(C62="""","""", OR(REGEXMATCH(LOWER(C62),""cuota""), REGEXMATCH(C62,""\d+\s*/\s*\d+"")))"),"")</f>
        <v/>
      </c>
      <c r="G62" s="32" t="str">
        <f>IFERROR(__xludf.DUMMYFUNCTION("IFERROR(VALUE(REGEXEXTRACT(C62,""(\d+)\s*/\s*\d+"")),"""")"),"")</f>
        <v/>
      </c>
      <c r="H62" s="32" t="str">
        <f>IFERROR(__xludf.DUMMYFUNCTION("IFERROR(VALUE(REGEXEXTRACT(C62,""\d+\s*/\s*(\d+)"")),"""")"),"")</f>
        <v/>
      </c>
      <c r="I62" s="32" t="str">
        <f t="shared" si="2"/>
        <v/>
      </c>
      <c r="J62" s="33" t="str">
        <f t="shared" si="3"/>
        <v/>
      </c>
    </row>
    <row r="63" ht="15.75" customHeight="1">
      <c r="A63" s="22" t="s">
        <v>113</v>
      </c>
      <c r="B63" s="22" t="str">
        <f>IF(MOV_CC_NACIONAL!A63="","",MOV_CC_NACIONAL!A63)</f>
        <v/>
      </c>
      <c r="C63" s="22" t="str">
        <f>IF(MOV_CC_NACIONAL!B63="","",MOV_CC_NACIONAL!B63)</f>
        <v/>
      </c>
      <c r="D63" s="34" t="str">
        <f>IF(MOV_CC_NACIONAL!C63="","",MOV_CC_NACIONAL!C63)</f>
        <v/>
      </c>
      <c r="E63" s="22" t="str">
        <f t="shared" si="1"/>
        <v/>
      </c>
      <c r="F63" s="22" t="str">
        <f>IFERROR(__xludf.DUMMYFUNCTION("IF(C63="""","""", OR(REGEXMATCH(LOWER(C63),""cuota""), REGEXMATCH(C63,""\d+\s*/\s*\d+"")))"),"")</f>
        <v/>
      </c>
      <c r="G63" s="22" t="str">
        <f>IFERROR(__xludf.DUMMYFUNCTION("IFERROR(VALUE(REGEXEXTRACT(C63,""(\d+)\s*/\s*\d+"")),"""")"),"")</f>
        <v/>
      </c>
      <c r="H63" s="22" t="str">
        <f>IFERROR(__xludf.DUMMYFUNCTION("IFERROR(VALUE(REGEXEXTRACT(C63,""\d+\s*/\s*(\d+)"")),"""")"),"")</f>
        <v/>
      </c>
      <c r="I63" s="22" t="str">
        <f t="shared" si="2"/>
        <v/>
      </c>
      <c r="J63" s="34" t="str">
        <f t="shared" si="3"/>
        <v/>
      </c>
    </row>
    <row r="64" ht="15.75" customHeight="1">
      <c r="A64" s="32" t="s">
        <v>113</v>
      </c>
      <c r="B64" s="32" t="str">
        <f>IF(MOV_CC_NACIONAL!A64="","",MOV_CC_NACIONAL!A64)</f>
        <v/>
      </c>
      <c r="C64" s="32" t="str">
        <f>IF(MOV_CC_NACIONAL!B64="","",MOV_CC_NACIONAL!B64)</f>
        <v/>
      </c>
      <c r="D64" s="33" t="str">
        <f>IF(MOV_CC_NACIONAL!C64="","",MOV_CC_NACIONAL!C64)</f>
        <v/>
      </c>
      <c r="E64" s="32" t="str">
        <f t="shared" si="1"/>
        <v/>
      </c>
      <c r="F64" s="32" t="str">
        <f>IFERROR(__xludf.DUMMYFUNCTION("IF(C64="""","""", OR(REGEXMATCH(LOWER(C64),""cuota""), REGEXMATCH(C64,""\d+\s*/\s*\d+"")))"),"")</f>
        <v/>
      </c>
      <c r="G64" s="32" t="str">
        <f>IFERROR(__xludf.DUMMYFUNCTION("IFERROR(VALUE(REGEXEXTRACT(C64,""(\d+)\s*/\s*\d+"")),"""")"),"")</f>
        <v/>
      </c>
      <c r="H64" s="32" t="str">
        <f>IFERROR(__xludf.DUMMYFUNCTION("IFERROR(VALUE(REGEXEXTRACT(C64,""\d+\s*/\s*(\d+)"")),"""")"),"")</f>
        <v/>
      </c>
      <c r="I64" s="32" t="str">
        <f t="shared" si="2"/>
        <v/>
      </c>
      <c r="J64" s="33" t="str">
        <f t="shared" si="3"/>
        <v/>
      </c>
    </row>
    <row r="65" ht="15.75" customHeight="1">
      <c r="A65" s="22" t="s">
        <v>113</v>
      </c>
      <c r="B65" s="22" t="str">
        <f>IF(MOV_CC_NACIONAL!A65="","",MOV_CC_NACIONAL!A65)</f>
        <v/>
      </c>
      <c r="C65" s="22" t="str">
        <f>IF(MOV_CC_NACIONAL!B65="","",MOV_CC_NACIONAL!B65)</f>
        <v/>
      </c>
      <c r="D65" s="34" t="str">
        <f>IF(MOV_CC_NACIONAL!C65="","",MOV_CC_NACIONAL!C65)</f>
        <v/>
      </c>
      <c r="E65" s="22" t="str">
        <f t="shared" si="1"/>
        <v/>
      </c>
      <c r="F65" s="22" t="str">
        <f>IFERROR(__xludf.DUMMYFUNCTION("IF(C65="""","""", OR(REGEXMATCH(LOWER(C65),""cuota""), REGEXMATCH(C65,""\d+\s*/\s*\d+"")))"),"")</f>
        <v/>
      </c>
      <c r="G65" s="22" t="str">
        <f>IFERROR(__xludf.DUMMYFUNCTION("IFERROR(VALUE(REGEXEXTRACT(C65,""(\d+)\s*/\s*\d+"")),"""")"),"")</f>
        <v/>
      </c>
      <c r="H65" s="22" t="str">
        <f>IFERROR(__xludf.DUMMYFUNCTION("IFERROR(VALUE(REGEXEXTRACT(C65,""\d+\s*/\s*(\d+)"")),"""")"),"")</f>
        <v/>
      </c>
      <c r="I65" s="22" t="str">
        <f t="shared" si="2"/>
        <v/>
      </c>
      <c r="J65" s="34" t="str">
        <f t="shared" si="3"/>
        <v/>
      </c>
    </row>
    <row r="66" ht="15.75" customHeight="1">
      <c r="A66" s="32" t="s">
        <v>113</v>
      </c>
      <c r="B66" s="32" t="str">
        <f>IF(MOV_CC_NACIONAL!A66="","",MOV_CC_NACIONAL!A66)</f>
        <v/>
      </c>
      <c r="C66" s="32" t="str">
        <f>IF(MOV_CC_NACIONAL!B66="","",MOV_CC_NACIONAL!B66)</f>
        <v/>
      </c>
      <c r="D66" s="33" t="str">
        <f>IF(MOV_CC_NACIONAL!C66="","",MOV_CC_NACIONAL!C66)</f>
        <v/>
      </c>
      <c r="E66" s="32" t="str">
        <f t="shared" si="1"/>
        <v/>
      </c>
      <c r="F66" s="32" t="str">
        <f>IFERROR(__xludf.DUMMYFUNCTION("IF(C66="""","""", OR(REGEXMATCH(LOWER(C66),""cuota""), REGEXMATCH(C66,""\d+\s*/\s*\d+"")))"),"")</f>
        <v/>
      </c>
      <c r="G66" s="32" t="str">
        <f>IFERROR(__xludf.DUMMYFUNCTION("IFERROR(VALUE(REGEXEXTRACT(C66,""(\d+)\s*/\s*\d+"")),"""")"),"")</f>
        <v/>
      </c>
      <c r="H66" s="32" t="str">
        <f>IFERROR(__xludf.DUMMYFUNCTION("IFERROR(VALUE(REGEXEXTRACT(C66,""\d+\s*/\s*(\d+)"")),"""")"),"")</f>
        <v/>
      </c>
      <c r="I66" s="32" t="str">
        <f t="shared" si="2"/>
        <v/>
      </c>
      <c r="J66" s="33" t="str">
        <f t="shared" si="3"/>
        <v/>
      </c>
    </row>
    <row r="67" ht="15.75" customHeight="1">
      <c r="A67" s="22" t="s">
        <v>113</v>
      </c>
      <c r="B67" s="22" t="str">
        <f>IF(MOV_CC_NACIONAL!A67="","",MOV_CC_NACIONAL!A67)</f>
        <v/>
      </c>
      <c r="C67" s="22" t="str">
        <f>IF(MOV_CC_NACIONAL!B67="","",MOV_CC_NACIONAL!B67)</f>
        <v/>
      </c>
      <c r="D67" s="34" t="str">
        <f>IF(MOV_CC_NACIONAL!C67="","",MOV_CC_NACIONAL!C67)</f>
        <v/>
      </c>
      <c r="E67" s="22" t="str">
        <f t="shared" si="1"/>
        <v/>
      </c>
      <c r="F67" s="22" t="str">
        <f>IFERROR(__xludf.DUMMYFUNCTION("IF(C67="""","""", OR(REGEXMATCH(LOWER(C67),""cuota""), REGEXMATCH(C67,""\d+\s*/\s*\d+"")))"),"")</f>
        <v/>
      </c>
      <c r="G67" s="22" t="str">
        <f>IFERROR(__xludf.DUMMYFUNCTION("IFERROR(VALUE(REGEXEXTRACT(C67,""(\d+)\s*/\s*\d+"")),"""")"),"")</f>
        <v/>
      </c>
      <c r="H67" s="22" t="str">
        <f>IFERROR(__xludf.DUMMYFUNCTION("IFERROR(VALUE(REGEXEXTRACT(C67,""\d+\s*/\s*(\d+)"")),"""")"),"")</f>
        <v/>
      </c>
      <c r="I67" s="22" t="str">
        <f t="shared" si="2"/>
        <v/>
      </c>
      <c r="J67" s="34" t="str">
        <f t="shared" si="3"/>
        <v/>
      </c>
    </row>
    <row r="68" ht="15.75" customHeight="1">
      <c r="A68" s="32" t="s">
        <v>113</v>
      </c>
      <c r="B68" s="32" t="str">
        <f>IF(MOV_CC_NACIONAL!A68="","",MOV_CC_NACIONAL!A68)</f>
        <v/>
      </c>
      <c r="C68" s="32" t="str">
        <f>IF(MOV_CC_NACIONAL!B68="","",MOV_CC_NACIONAL!B68)</f>
        <v/>
      </c>
      <c r="D68" s="33" t="str">
        <f>IF(MOV_CC_NACIONAL!C68="","",MOV_CC_NACIONAL!C68)</f>
        <v/>
      </c>
      <c r="E68" s="32" t="str">
        <f t="shared" si="1"/>
        <v/>
      </c>
      <c r="F68" s="32" t="str">
        <f>IFERROR(__xludf.DUMMYFUNCTION("IF(C68="""","""", OR(REGEXMATCH(LOWER(C68),""cuota""), REGEXMATCH(C68,""\d+\s*/\s*\d+"")))"),"")</f>
        <v/>
      </c>
      <c r="G68" s="32" t="str">
        <f>IFERROR(__xludf.DUMMYFUNCTION("IFERROR(VALUE(REGEXEXTRACT(C68,""(\d+)\s*/\s*\d+"")),"""")"),"")</f>
        <v/>
      </c>
      <c r="H68" s="32" t="str">
        <f>IFERROR(__xludf.DUMMYFUNCTION("IFERROR(VALUE(REGEXEXTRACT(C68,""\d+\s*/\s*(\d+)"")),"""")"),"")</f>
        <v/>
      </c>
      <c r="I68" s="32" t="str">
        <f t="shared" si="2"/>
        <v/>
      </c>
      <c r="J68" s="33" t="str">
        <f t="shared" si="3"/>
        <v/>
      </c>
    </row>
    <row r="69" ht="15.75" customHeight="1">
      <c r="A69" s="22" t="s">
        <v>113</v>
      </c>
      <c r="B69" s="22" t="str">
        <f>IF(MOV_CC_NACIONAL!A69="","",MOV_CC_NACIONAL!A69)</f>
        <v/>
      </c>
      <c r="C69" s="22" t="str">
        <f>IF(MOV_CC_NACIONAL!B69="","",MOV_CC_NACIONAL!B69)</f>
        <v/>
      </c>
      <c r="D69" s="34" t="str">
        <f>IF(MOV_CC_NACIONAL!C69="","",MOV_CC_NACIONAL!C69)</f>
        <v/>
      </c>
      <c r="E69" s="22" t="str">
        <f t="shared" si="1"/>
        <v/>
      </c>
      <c r="F69" s="22" t="str">
        <f>IFERROR(__xludf.DUMMYFUNCTION("IF(C69="""","""", OR(REGEXMATCH(LOWER(C69),""cuota""), REGEXMATCH(C69,""\d+\s*/\s*\d+"")))"),"")</f>
        <v/>
      </c>
      <c r="G69" s="22" t="str">
        <f>IFERROR(__xludf.DUMMYFUNCTION("IFERROR(VALUE(REGEXEXTRACT(C69,""(\d+)\s*/\s*\d+"")),"""")"),"")</f>
        <v/>
      </c>
      <c r="H69" s="22" t="str">
        <f>IFERROR(__xludf.DUMMYFUNCTION("IFERROR(VALUE(REGEXEXTRACT(C69,""\d+\s*/\s*(\d+)"")),"""")"),"")</f>
        <v/>
      </c>
      <c r="I69" s="22" t="str">
        <f t="shared" si="2"/>
        <v/>
      </c>
      <c r="J69" s="34" t="str">
        <f t="shared" si="3"/>
        <v/>
      </c>
    </row>
    <row r="70" ht="15.75" customHeight="1">
      <c r="A70" s="32" t="s">
        <v>113</v>
      </c>
      <c r="B70" s="32" t="str">
        <f>IF(MOV_CC_NACIONAL!A70="","",MOV_CC_NACIONAL!A70)</f>
        <v/>
      </c>
      <c r="C70" s="32" t="str">
        <f>IF(MOV_CC_NACIONAL!B70="","",MOV_CC_NACIONAL!B70)</f>
        <v/>
      </c>
      <c r="D70" s="33" t="str">
        <f>IF(MOV_CC_NACIONAL!C70="","",MOV_CC_NACIONAL!C70)</f>
        <v/>
      </c>
      <c r="E70" s="32" t="str">
        <f t="shared" si="1"/>
        <v/>
      </c>
      <c r="F70" s="32" t="str">
        <f>IFERROR(__xludf.DUMMYFUNCTION("IF(C70="""","""", OR(REGEXMATCH(LOWER(C70),""cuota""), REGEXMATCH(C70,""\d+\s*/\s*\d+"")))"),"")</f>
        <v/>
      </c>
      <c r="G70" s="32" t="str">
        <f>IFERROR(__xludf.DUMMYFUNCTION("IFERROR(VALUE(REGEXEXTRACT(C70,""(\d+)\s*/\s*\d+"")),"""")"),"")</f>
        <v/>
      </c>
      <c r="H70" s="32" t="str">
        <f>IFERROR(__xludf.DUMMYFUNCTION("IFERROR(VALUE(REGEXEXTRACT(C70,""\d+\s*/\s*(\d+)"")),"""")"),"")</f>
        <v/>
      </c>
      <c r="I70" s="32" t="str">
        <f t="shared" si="2"/>
        <v/>
      </c>
      <c r="J70" s="33" t="str">
        <f t="shared" si="3"/>
        <v/>
      </c>
    </row>
    <row r="71" ht="15.75" customHeight="1">
      <c r="A71" s="22" t="s">
        <v>113</v>
      </c>
      <c r="B71" s="22" t="str">
        <f>IF(MOV_CC_NACIONAL!A71="","",MOV_CC_NACIONAL!A71)</f>
        <v/>
      </c>
      <c r="C71" s="22" t="str">
        <f>IF(MOV_CC_NACIONAL!B71="","",MOV_CC_NACIONAL!B71)</f>
        <v/>
      </c>
      <c r="D71" s="34" t="str">
        <f>IF(MOV_CC_NACIONAL!C71="","",MOV_CC_NACIONAL!C71)</f>
        <v/>
      </c>
      <c r="E71" s="22" t="str">
        <f t="shared" si="1"/>
        <v/>
      </c>
      <c r="F71" s="22" t="str">
        <f>IFERROR(__xludf.DUMMYFUNCTION("IF(C71="""","""", OR(REGEXMATCH(LOWER(C71),""cuota""), REGEXMATCH(C71,""\d+\s*/\s*\d+"")))"),"")</f>
        <v/>
      </c>
      <c r="G71" s="22" t="str">
        <f>IFERROR(__xludf.DUMMYFUNCTION("IFERROR(VALUE(REGEXEXTRACT(C71,""(\d+)\s*/\s*\d+"")),"""")"),"")</f>
        <v/>
      </c>
      <c r="H71" s="22" t="str">
        <f>IFERROR(__xludf.DUMMYFUNCTION("IFERROR(VALUE(REGEXEXTRACT(C71,""\d+\s*/\s*(\d+)"")),"""")"),"")</f>
        <v/>
      </c>
      <c r="I71" s="22" t="str">
        <f t="shared" si="2"/>
        <v/>
      </c>
      <c r="J71" s="34" t="str">
        <f t="shared" si="3"/>
        <v/>
      </c>
    </row>
    <row r="72" ht="15.75" customHeight="1">
      <c r="A72" s="32" t="s">
        <v>113</v>
      </c>
      <c r="B72" s="32" t="str">
        <f>IF(MOV_CC_NACIONAL!A72="","",MOV_CC_NACIONAL!A72)</f>
        <v/>
      </c>
      <c r="C72" s="32" t="str">
        <f>IF(MOV_CC_NACIONAL!B72="","",MOV_CC_NACIONAL!B72)</f>
        <v/>
      </c>
      <c r="D72" s="33" t="str">
        <f>IF(MOV_CC_NACIONAL!C72="","",MOV_CC_NACIONAL!C72)</f>
        <v/>
      </c>
      <c r="E72" s="32" t="str">
        <f t="shared" si="1"/>
        <v/>
      </c>
      <c r="F72" s="32" t="str">
        <f>IFERROR(__xludf.DUMMYFUNCTION("IF(C72="""","""", OR(REGEXMATCH(LOWER(C72),""cuota""), REGEXMATCH(C72,""\d+\s*/\s*\d+"")))"),"")</f>
        <v/>
      </c>
      <c r="G72" s="32" t="str">
        <f>IFERROR(__xludf.DUMMYFUNCTION("IFERROR(VALUE(REGEXEXTRACT(C72,""(\d+)\s*/\s*\d+"")),"""")"),"")</f>
        <v/>
      </c>
      <c r="H72" s="32" t="str">
        <f>IFERROR(__xludf.DUMMYFUNCTION("IFERROR(VALUE(REGEXEXTRACT(C72,""\d+\s*/\s*(\d+)"")),"""")"),"")</f>
        <v/>
      </c>
      <c r="I72" s="32" t="str">
        <f t="shared" si="2"/>
        <v/>
      </c>
      <c r="J72" s="33" t="str">
        <f t="shared" si="3"/>
        <v/>
      </c>
    </row>
    <row r="73" ht="15.75" customHeight="1">
      <c r="A73" s="22" t="s">
        <v>113</v>
      </c>
      <c r="B73" s="22" t="str">
        <f>IF(MOV_CC_NACIONAL!A73="","",MOV_CC_NACIONAL!A73)</f>
        <v/>
      </c>
      <c r="C73" s="22" t="str">
        <f>IF(MOV_CC_NACIONAL!B73="","",MOV_CC_NACIONAL!B73)</f>
        <v/>
      </c>
      <c r="D73" s="34" t="str">
        <f>IF(MOV_CC_NACIONAL!C73="","",MOV_CC_NACIONAL!C73)</f>
        <v/>
      </c>
      <c r="E73" s="22" t="str">
        <f t="shared" si="1"/>
        <v/>
      </c>
      <c r="F73" s="22" t="str">
        <f>IFERROR(__xludf.DUMMYFUNCTION("IF(C73="""","""", OR(REGEXMATCH(LOWER(C73),""cuota""), REGEXMATCH(C73,""\d+\s*/\s*\d+"")))"),"")</f>
        <v/>
      </c>
      <c r="G73" s="22" t="str">
        <f>IFERROR(__xludf.DUMMYFUNCTION("IFERROR(VALUE(REGEXEXTRACT(C73,""(\d+)\s*/\s*\d+"")),"""")"),"")</f>
        <v/>
      </c>
      <c r="H73" s="22" t="str">
        <f>IFERROR(__xludf.DUMMYFUNCTION("IFERROR(VALUE(REGEXEXTRACT(C73,""\d+\s*/\s*(\d+)"")),"""")"),"")</f>
        <v/>
      </c>
      <c r="I73" s="22" t="str">
        <f t="shared" si="2"/>
        <v/>
      </c>
      <c r="J73" s="34" t="str">
        <f t="shared" si="3"/>
        <v/>
      </c>
    </row>
    <row r="74" ht="15.75" customHeight="1">
      <c r="A74" s="32" t="s">
        <v>113</v>
      </c>
      <c r="B74" s="32" t="str">
        <f>IF(MOV_CC_NACIONAL!A74="","",MOV_CC_NACIONAL!A74)</f>
        <v/>
      </c>
      <c r="C74" s="32" t="str">
        <f>IF(MOV_CC_NACIONAL!B74="","",MOV_CC_NACIONAL!B74)</f>
        <v/>
      </c>
      <c r="D74" s="33" t="str">
        <f>IF(MOV_CC_NACIONAL!C74="","",MOV_CC_NACIONAL!C74)</f>
        <v/>
      </c>
      <c r="E74" s="32" t="str">
        <f t="shared" si="1"/>
        <v/>
      </c>
      <c r="F74" s="32" t="str">
        <f>IFERROR(__xludf.DUMMYFUNCTION("IF(C74="""","""", OR(REGEXMATCH(LOWER(C74),""cuota""), REGEXMATCH(C74,""\d+\s*/\s*\d+"")))"),"")</f>
        <v/>
      </c>
      <c r="G74" s="32" t="str">
        <f>IFERROR(__xludf.DUMMYFUNCTION("IFERROR(VALUE(REGEXEXTRACT(C74,""(\d+)\s*/\s*\d+"")),"""")"),"")</f>
        <v/>
      </c>
      <c r="H74" s="32" t="str">
        <f>IFERROR(__xludf.DUMMYFUNCTION("IFERROR(VALUE(REGEXEXTRACT(C74,""\d+\s*/\s*(\d+)"")),"""")"),"")</f>
        <v/>
      </c>
      <c r="I74" s="32" t="str">
        <f t="shared" si="2"/>
        <v/>
      </c>
      <c r="J74" s="33" t="str">
        <f t="shared" si="3"/>
        <v/>
      </c>
    </row>
    <row r="75" ht="15.75" customHeight="1">
      <c r="A75" s="22" t="s">
        <v>113</v>
      </c>
      <c r="B75" s="22" t="str">
        <f>IF(MOV_CC_NACIONAL!A75="","",MOV_CC_NACIONAL!A75)</f>
        <v/>
      </c>
      <c r="C75" s="22" t="str">
        <f>IF(MOV_CC_NACIONAL!B75="","",MOV_CC_NACIONAL!B75)</f>
        <v/>
      </c>
      <c r="D75" s="34" t="str">
        <f>IF(MOV_CC_NACIONAL!C75="","",MOV_CC_NACIONAL!C75)</f>
        <v/>
      </c>
      <c r="E75" s="22" t="str">
        <f t="shared" si="1"/>
        <v/>
      </c>
      <c r="F75" s="22" t="str">
        <f>IFERROR(__xludf.DUMMYFUNCTION("IF(C75="""","""", OR(REGEXMATCH(LOWER(C75),""cuota""), REGEXMATCH(C75,""\d+\s*/\s*\d+"")))"),"")</f>
        <v/>
      </c>
      <c r="G75" s="22" t="str">
        <f>IFERROR(__xludf.DUMMYFUNCTION("IFERROR(VALUE(REGEXEXTRACT(C75,""(\d+)\s*/\s*\d+"")),"""")"),"")</f>
        <v/>
      </c>
      <c r="H75" s="22" t="str">
        <f>IFERROR(__xludf.DUMMYFUNCTION("IFERROR(VALUE(REGEXEXTRACT(C75,""\d+\s*/\s*(\d+)"")),"""")"),"")</f>
        <v/>
      </c>
      <c r="I75" s="22" t="str">
        <f t="shared" si="2"/>
        <v/>
      </c>
      <c r="J75" s="34" t="str">
        <f t="shared" si="3"/>
        <v/>
      </c>
    </row>
    <row r="76" ht="15.75" customHeight="1">
      <c r="A76" s="32" t="s">
        <v>113</v>
      </c>
      <c r="B76" s="32" t="str">
        <f>IF(MOV_CC_NACIONAL!A76="","",MOV_CC_NACIONAL!A76)</f>
        <v/>
      </c>
      <c r="C76" s="32" t="str">
        <f>IF(MOV_CC_NACIONAL!B76="","",MOV_CC_NACIONAL!B76)</f>
        <v/>
      </c>
      <c r="D76" s="33" t="str">
        <f>IF(MOV_CC_NACIONAL!C76="","",MOV_CC_NACIONAL!C76)</f>
        <v/>
      </c>
      <c r="E76" s="32" t="str">
        <f t="shared" si="1"/>
        <v/>
      </c>
      <c r="F76" s="32" t="str">
        <f>IFERROR(__xludf.DUMMYFUNCTION("IF(C76="""","""", OR(REGEXMATCH(LOWER(C76),""cuota""), REGEXMATCH(C76,""\d+\s*/\s*\d+"")))"),"")</f>
        <v/>
      </c>
      <c r="G76" s="32" t="str">
        <f>IFERROR(__xludf.DUMMYFUNCTION("IFERROR(VALUE(REGEXEXTRACT(C76,""(\d+)\s*/\s*\d+"")),"""")"),"")</f>
        <v/>
      </c>
      <c r="H76" s="32" t="str">
        <f>IFERROR(__xludf.DUMMYFUNCTION("IFERROR(VALUE(REGEXEXTRACT(C76,""\d+\s*/\s*(\d+)"")),"""")"),"")</f>
        <v/>
      </c>
      <c r="I76" s="32" t="str">
        <f t="shared" si="2"/>
        <v/>
      </c>
      <c r="J76" s="33" t="str">
        <f t="shared" si="3"/>
        <v/>
      </c>
    </row>
    <row r="77" ht="15.75" customHeight="1">
      <c r="A77" s="22" t="s">
        <v>113</v>
      </c>
      <c r="B77" s="22" t="str">
        <f>IF(MOV_CC_NACIONAL!A77="","",MOV_CC_NACIONAL!A77)</f>
        <v/>
      </c>
      <c r="C77" s="22" t="str">
        <f>IF(MOV_CC_NACIONAL!B77="","",MOV_CC_NACIONAL!B77)</f>
        <v/>
      </c>
      <c r="D77" s="34" t="str">
        <f>IF(MOV_CC_NACIONAL!C77="","",MOV_CC_NACIONAL!C77)</f>
        <v/>
      </c>
      <c r="E77" s="22" t="str">
        <f t="shared" si="1"/>
        <v/>
      </c>
      <c r="F77" s="22" t="str">
        <f>IFERROR(__xludf.DUMMYFUNCTION("IF(C77="""","""", OR(REGEXMATCH(LOWER(C77),""cuota""), REGEXMATCH(C77,""\d+\s*/\s*\d+"")))"),"")</f>
        <v/>
      </c>
      <c r="G77" s="22" t="str">
        <f>IFERROR(__xludf.DUMMYFUNCTION("IFERROR(VALUE(REGEXEXTRACT(C77,""(\d+)\s*/\s*\d+"")),"""")"),"")</f>
        <v/>
      </c>
      <c r="H77" s="22" t="str">
        <f>IFERROR(__xludf.DUMMYFUNCTION("IFERROR(VALUE(REGEXEXTRACT(C77,""\d+\s*/\s*(\d+)"")),"""")"),"")</f>
        <v/>
      </c>
      <c r="I77" s="22" t="str">
        <f t="shared" si="2"/>
        <v/>
      </c>
      <c r="J77" s="34" t="str">
        <f t="shared" si="3"/>
        <v/>
      </c>
    </row>
    <row r="78" ht="15.75" customHeight="1">
      <c r="A78" s="32" t="s">
        <v>113</v>
      </c>
      <c r="B78" s="32" t="str">
        <f>IF(MOV_CC_NACIONAL!A78="","",MOV_CC_NACIONAL!A78)</f>
        <v/>
      </c>
      <c r="C78" s="32" t="str">
        <f>IF(MOV_CC_NACIONAL!B78="","",MOV_CC_NACIONAL!B78)</f>
        <v/>
      </c>
      <c r="D78" s="33" t="str">
        <f>IF(MOV_CC_NACIONAL!C78="","",MOV_CC_NACIONAL!C78)</f>
        <v/>
      </c>
      <c r="E78" s="32" t="str">
        <f t="shared" si="1"/>
        <v/>
      </c>
      <c r="F78" s="32" t="str">
        <f>IFERROR(__xludf.DUMMYFUNCTION("IF(C78="""","""", OR(REGEXMATCH(LOWER(C78),""cuota""), REGEXMATCH(C78,""\d+\s*/\s*\d+"")))"),"")</f>
        <v/>
      </c>
      <c r="G78" s="32" t="str">
        <f>IFERROR(__xludf.DUMMYFUNCTION("IFERROR(VALUE(REGEXEXTRACT(C78,""(\d+)\s*/\s*\d+"")),"""")"),"")</f>
        <v/>
      </c>
      <c r="H78" s="32" t="str">
        <f>IFERROR(__xludf.DUMMYFUNCTION("IFERROR(VALUE(REGEXEXTRACT(C78,""\d+\s*/\s*(\d+)"")),"""")"),"")</f>
        <v/>
      </c>
      <c r="I78" s="32" t="str">
        <f t="shared" si="2"/>
        <v/>
      </c>
      <c r="J78" s="33" t="str">
        <f t="shared" si="3"/>
        <v/>
      </c>
    </row>
    <row r="79" ht="15.75" customHeight="1">
      <c r="A79" s="22" t="s">
        <v>113</v>
      </c>
      <c r="B79" s="22" t="str">
        <f>IF(MOV_CC_NACIONAL!A79="","",MOV_CC_NACIONAL!A79)</f>
        <v/>
      </c>
      <c r="C79" s="22" t="str">
        <f>IF(MOV_CC_NACIONAL!B79="","",MOV_CC_NACIONAL!B79)</f>
        <v/>
      </c>
      <c r="D79" s="34" t="str">
        <f>IF(MOV_CC_NACIONAL!C79="","",MOV_CC_NACIONAL!C79)</f>
        <v/>
      </c>
      <c r="E79" s="22" t="str">
        <f t="shared" si="1"/>
        <v/>
      </c>
      <c r="F79" s="22" t="str">
        <f>IFERROR(__xludf.DUMMYFUNCTION("IF(C79="""","""", OR(REGEXMATCH(LOWER(C79),""cuota""), REGEXMATCH(C79,""\d+\s*/\s*\d+"")))"),"")</f>
        <v/>
      </c>
      <c r="G79" s="22" t="str">
        <f>IFERROR(__xludf.DUMMYFUNCTION("IFERROR(VALUE(REGEXEXTRACT(C79,""(\d+)\s*/\s*\d+"")),"""")"),"")</f>
        <v/>
      </c>
      <c r="H79" s="22" t="str">
        <f>IFERROR(__xludf.DUMMYFUNCTION("IFERROR(VALUE(REGEXEXTRACT(C79,""\d+\s*/\s*(\d+)"")),"""")"),"")</f>
        <v/>
      </c>
      <c r="I79" s="22" t="str">
        <f t="shared" si="2"/>
        <v/>
      </c>
      <c r="J79" s="34" t="str">
        <f t="shared" si="3"/>
        <v/>
      </c>
    </row>
    <row r="80" ht="15.75" customHeight="1">
      <c r="A80" s="32" t="s">
        <v>113</v>
      </c>
      <c r="B80" s="32" t="str">
        <f>IF(MOV_CC_NACIONAL!A80="","",MOV_CC_NACIONAL!A80)</f>
        <v/>
      </c>
      <c r="C80" s="32" t="str">
        <f>IF(MOV_CC_NACIONAL!B80="","",MOV_CC_NACIONAL!B80)</f>
        <v/>
      </c>
      <c r="D80" s="33" t="str">
        <f>IF(MOV_CC_NACIONAL!C80="","",MOV_CC_NACIONAL!C80)</f>
        <v/>
      </c>
      <c r="E80" s="32" t="str">
        <f t="shared" si="1"/>
        <v/>
      </c>
      <c r="F80" s="32" t="str">
        <f>IFERROR(__xludf.DUMMYFUNCTION("IF(C80="""","""", OR(REGEXMATCH(LOWER(C80),""cuota""), REGEXMATCH(C80,""\d+\s*/\s*\d+"")))"),"")</f>
        <v/>
      </c>
      <c r="G80" s="32" t="str">
        <f>IFERROR(__xludf.DUMMYFUNCTION("IFERROR(VALUE(REGEXEXTRACT(C80,""(\d+)\s*/\s*\d+"")),"""")"),"")</f>
        <v/>
      </c>
      <c r="H80" s="32" t="str">
        <f>IFERROR(__xludf.DUMMYFUNCTION("IFERROR(VALUE(REGEXEXTRACT(C80,""\d+\s*/\s*(\d+)"")),"""")"),"")</f>
        <v/>
      </c>
      <c r="I80" s="32" t="str">
        <f t="shared" si="2"/>
        <v/>
      </c>
      <c r="J80" s="33" t="str">
        <f t="shared" si="3"/>
        <v/>
      </c>
    </row>
    <row r="81" ht="15.75" customHeight="1">
      <c r="A81" s="22" t="s">
        <v>113</v>
      </c>
      <c r="B81" s="22" t="str">
        <f>IF(MOV_CC_NACIONAL!A81="","",MOV_CC_NACIONAL!A81)</f>
        <v/>
      </c>
      <c r="C81" s="22" t="str">
        <f>IF(MOV_CC_NACIONAL!B81="","",MOV_CC_NACIONAL!B81)</f>
        <v/>
      </c>
      <c r="D81" s="34" t="str">
        <f>IF(MOV_CC_NACIONAL!C81="","",MOV_CC_NACIONAL!C81)</f>
        <v/>
      </c>
      <c r="E81" s="22" t="str">
        <f t="shared" si="1"/>
        <v/>
      </c>
      <c r="F81" s="22" t="str">
        <f>IFERROR(__xludf.DUMMYFUNCTION("IF(C81="""","""", OR(REGEXMATCH(LOWER(C81),""cuota""), REGEXMATCH(C81,""\d+\s*/\s*\d+"")))"),"")</f>
        <v/>
      </c>
      <c r="G81" s="22" t="str">
        <f>IFERROR(__xludf.DUMMYFUNCTION("IFERROR(VALUE(REGEXEXTRACT(C81,""(\d+)\s*/\s*\d+"")),"""")"),"")</f>
        <v/>
      </c>
      <c r="H81" s="22" t="str">
        <f>IFERROR(__xludf.DUMMYFUNCTION("IFERROR(VALUE(REGEXEXTRACT(C81,""\d+\s*/\s*(\d+)"")),"""")"),"")</f>
        <v/>
      </c>
      <c r="I81" s="22" t="str">
        <f t="shared" si="2"/>
        <v/>
      </c>
      <c r="J81" s="34" t="str">
        <f t="shared" si="3"/>
        <v/>
      </c>
    </row>
    <row r="82" ht="15.75" customHeight="1">
      <c r="A82" s="32" t="s">
        <v>113</v>
      </c>
      <c r="B82" s="32" t="str">
        <f>IF(MOV_CC_NACIONAL!A82="","",MOV_CC_NACIONAL!A82)</f>
        <v/>
      </c>
      <c r="C82" s="32" t="str">
        <f>IF(MOV_CC_NACIONAL!B82="","",MOV_CC_NACIONAL!B82)</f>
        <v/>
      </c>
      <c r="D82" s="33" t="str">
        <f>IF(MOV_CC_NACIONAL!C82="","",MOV_CC_NACIONAL!C82)</f>
        <v/>
      </c>
      <c r="E82" s="32" t="str">
        <f t="shared" si="1"/>
        <v/>
      </c>
      <c r="F82" s="32" t="str">
        <f>IFERROR(__xludf.DUMMYFUNCTION("IF(C82="""","""", OR(REGEXMATCH(LOWER(C82),""cuota""), REGEXMATCH(C82,""\d+\s*/\s*\d+"")))"),"")</f>
        <v/>
      </c>
      <c r="G82" s="32" t="str">
        <f>IFERROR(__xludf.DUMMYFUNCTION("IFERROR(VALUE(REGEXEXTRACT(C82,""(\d+)\s*/\s*\d+"")),"""")"),"")</f>
        <v/>
      </c>
      <c r="H82" s="32" t="str">
        <f>IFERROR(__xludf.DUMMYFUNCTION("IFERROR(VALUE(REGEXEXTRACT(C82,""\d+\s*/\s*(\d+)"")),"""")"),"")</f>
        <v/>
      </c>
      <c r="I82" s="32" t="str">
        <f t="shared" si="2"/>
        <v/>
      </c>
      <c r="J82" s="33" t="str">
        <f t="shared" si="3"/>
        <v/>
      </c>
    </row>
    <row r="83" ht="15.75" customHeight="1">
      <c r="A83" s="22" t="s">
        <v>113</v>
      </c>
      <c r="B83" s="22" t="str">
        <f>IF(MOV_CC_NACIONAL!A83="","",MOV_CC_NACIONAL!A83)</f>
        <v/>
      </c>
      <c r="C83" s="22" t="str">
        <f>IF(MOV_CC_NACIONAL!B83="","",MOV_CC_NACIONAL!B83)</f>
        <v/>
      </c>
      <c r="D83" s="34" t="str">
        <f>IF(MOV_CC_NACIONAL!C83="","",MOV_CC_NACIONAL!C83)</f>
        <v/>
      </c>
      <c r="E83" s="22" t="str">
        <f t="shared" si="1"/>
        <v/>
      </c>
      <c r="F83" s="22" t="str">
        <f>IFERROR(__xludf.DUMMYFUNCTION("IF(C83="""","""", OR(REGEXMATCH(LOWER(C83),""cuota""), REGEXMATCH(C83,""\d+\s*/\s*\d+"")))"),"")</f>
        <v/>
      </c>
      <c r="G83" s="22" t="str">
        <f>IFERROR(__xludf.DUMMYFUNCTION("IFERROR(VALUE(REGEXEXTRACT(C83,""(\d+)\s*/\s*\d+"")),"""")"),"")</f>
        <v/>
      </c>
      <c r="H83" s="22" t="str">
        <f>IFERROR(__xludf.DUMMYFUNCTION("IFERROR(VALUE(REGEXEXTRACT(C83,""\d+\s*/\s*(\d+)"")),"""")"),"")</f>
        <v/>
      </c>
      <c r="I83" s="22" t="str">
        <f t="shared" si="2"/>
        <v/>
      </c>
      <c r="J83" s="34" t="str">
        <f t="shared" si="3"/>
        <v/>
      </c>
    </row>
    <row r="84" ht="15.75" customHeight="1">
      <c r="A84" s="32" t="s">
        <v>113</v>
      </c>
      <c r="B84" s="32" t="str">
        <f>IF(MOV_CC_NACIONAL!A84="","",MOV_CC_NACIONAL!A84)</f>
        <v/>
      </c>
      <c r="C84" s="32" t="str">
        <f>IF(MOV_CC_NACIONAL!B84="","",MOV_CC_NACIONAL!B84)</f>
        <v/>
      </c>
      <c r="D84" s="33" t="str">
        <f>IF(MOV_CC_NACIONAL!C84="","",MOV_CC_NACIONAL!C84)</f>
        <v/>
      </c>
      <c r="E84" s="32" t="str">
        <f t="shared" si="1"/>
        <v/>
      </c>
      <c r="F84" s="32" t="str">
        <f>IFERROR(__xludf.DUMMYFUNCTION("IF(C84="""","""", OR(REGEXMATCH(LOWER(C84),""cuota""), REGEXMATCH(C84,""\d+\s*/\s*\d+"")))"),"")</f>
        <v/>
      </c>
      <c r="G84" s="32" t="str">
        <f>IFERROR(__xludf.DUMMYFUNCTION("IFERROR(VALUE(REGEXEXTRACT(C84,""(\d+)\s*/\s*\d+"")),"""")"),"")</f>
        <v/>
      </c>
      <c r="H84" s="32" t="str">
        <f>IFERROR(__xludf.DUMMYFUNCTION("IFERROR(VALUE(REGEXEXTRACT(C84,""\d+\s*/\s*(\d+)"")),"""")"),"")</f>
        <v/>
      </c>
      <c r="I84" s="32" t="str">
        <f t="shared" si="2"/>
        <v/>
      </c>
      <c r="J84" s="33" t="str">
        <f t="shared" si="3"/>
        <v/>
      </c>
    </row>
    <row r="85" ht="15.75" customHeight="1">
      <c r="A85" s="22" t="s">
        <v>113</v>
      </c>
      <c r="B85" s="22" t="str">
        <f>IF(MOV_CC_NACIONAL!A85="","",MOV_CC_NACIONAL!A85)</f>
        <v/>
      </c>
      <c r="C85" s="22" t="str">
        <f>IF(MOV_CC_NACIONAL!B85="","",MOV_CC_NACIONAL!B85)</f>
        <v/>
      </c>
      <c r="D85" s="34" t="str">
        <f>IF(MOV_CC_NACIONAL!C85="","",MOV_CC_NACIONAL!C85)</f>
        <v/>
      </c>
      <c r="E85" s="22" t="str">
        <f t="shared" si="1"/>
        <v/>
      </c>
      <c r="F85" s="22" t="str">
        <f>IFERROR(__xludf.DUMMYFUNCTION("IF(C85="""","""", OR(REGEXMATCH(LOWER(C85),""cuota""), REGEXMATCH(C85,""\d+\s*/\s*\d+"")))"),"")</f>
        <v/>
      </c>
      <c r="G85" s="22" t="str">
        <f>IFERROR(__xludf.DUMMYFUNCTION("IFERROR(VALUE(REGEXEXTRACT(C85,""(\d+)\s*/\s*\d+"")),"""")"),"")</f>
        <v/>
      </c>
      <c r="H85" s="22" t="str">
        <f>IFERROR(__xludf.DUMMYFUNCTION("IFERROR(VALUE(REGEXEXTRACT(C85,""\d+\s*/\s*(\d+)"")),"""")"),"")</f>
        <v/>
      </c>
      <c r="I85" s="22" t="str">
        <f t="shared" si="2"/>
        <v/>
      </c>
      <c r="J85" s="34" t="str">
        <f t="shared" si="3"/>
        <v/>
      </c>
    </row>
    <row r="86" ht="15.75" customHeight="1">
      <c r="A86" s="32" t="s">
        <v>113</v>
      </c>
      <c r="B86" s="32" t="str">
        <f>IF(MOV_CC_NACIONAL!A86="","",MOV_CC_NACIONAL!A86)</f>
        <v/>
      </c>
      <c r="C86" s="32" t="str">
        <f>IF(MOV_CC_NACIONAL!B86="","",MOV_CC_NACIONAL!B86)</f>
        <v/>
      </c>
      <c r="D86" s="33" t="str">
        <f>IF(MOV_CC_NACIONAL!C86="","",MOV_CC_NACIONAL!C86)</f>
        <v/>
      </c>
      <c r="E86" s="32" t="str">
        <f t="shared" si="1"/>
        <v/>
      </c>
      <c r="F86" s="32" t="str">
        <f>IFERROR(__xludf.DUMMYFUNCTION("IF(C86="""","""", OR(REGEXMATCH(LOWER(C86),""cuota""), REGEXMATCH(C86,""\d+\s*/\s*\d+"")))"),"")</f>
        <v/>
      </c>
      <c r="G86" s="32" t="str">
        <f>IFERROR(__xludf.DUMMYFUNCTION("IFERROR(VALUE(REGEXEXTRACT(C86,""(\d+)\s*/\s*\d+"")),"""")"),"")</f>
        <v/>
      </c>
      <c r="H86" s="32" t="str">
        <f>IFERROR(__xludf.DUMMYFUNCTION("IFERROR(VALUE(REGEXEXTRACT(C86,""\d+\s*/\s*(\d+)"")),"""")"),"")</f>
        <v/>
      </c>
      <c r="I86" s="32" t="str">
        <f t="shared" si="2"/>
        <v/>
      </c>
      <c r="J86" s="33" t="str">
        <f t="shared" si="3"/>
        <v/>
      </c>
    </row>
    <row r="87" ht="15.75" customHeight="1">
      <c r="A87" s="22" t="s">
        <v>113</v>
      </c>
      <c r="B87" s="22" t="str">
        <f>IF(MOV_CC_NACIONAL!A87="","",MOV_CC_NACIONAL!A87)</f>
        <v/>
      </c>
      <c r="C87" s="22" t="str">
        <f>IF(MOV_CC_NACIONAL!B87="","",MOV_CC_NACIONAL!B87)</f>
        <v/>
      </c>
      <c r="D87" s="34" t="str">
        <f>IF(MOV_CC_NACIONAL!C87="","",MOV_CC_NACIONAL!C87)</f>
        <v/>
      </c>
      <c r="E87" s="22" t="str">
        <f t="shared" si="1"/>
        <v/>
      </c>
      <c r="F87" s="22" t="str">
        <f>IFERROR(__xludf.DUMMYFUNCTION("IF(C87="""","""", OR(REGEXMATCH(LOWER(C87),""cuota""), REGEXMATCH(C87,""\d+\s*/\s*\d+"")))"),"")</f>
        <v/>
      </c>
      <c r="G87" s="22" t="str">
        <f>IFERROR(__xludf.DUMMYFUNCTION("IFERROR(VALUE(REGEXEXTRACT(C87,""(\d+)\s*/\s*\d+"")),"""")"),"")</f>
        <v/>
      </c>
      <c r="H87" s="22" t="str">
        <f>IFERROR(__xludf.DUMMYFUNCTION("IFERROR(VALUE(REGEXEXTRACT(C87,""\d+\s*/\s*(\d+)"")),"""")"),"")</f>
        <v/>
      </c>
      <c r="I87" s="22" t="str">
        <f t="shared" si="2"/>
        <v/>
      </c>
      <c r="J87" s="34" t="str">
        <f t="shared" si="3"/>
        <v/>
      </c>
    </row>
    <row r="88" ht="15.75" customHeight="1">
      <c r="A88" s="32" t="s">
        <v>113</v>
      </c>
      <c r="B88" s="32" t="str">
        <f>IF(MOV_CC_NACIONAL!A88="","",MOV_CC_NACIONAL!A88)</f>
        <v/>
      </c>
      <c r="C88" s="32" t="str">
        <f>IF(MOV_CC_NACIONAL!B88="","",MOV_CC_NACIONAL!B88)</f>
        <v/>
      </c>
      <c r="D88" s="33" t="str">
        <f>IF(MOV_CC_NACIONAL!C88="","",MOV_CC_NACIONAL!C88)</f>
        <v/>
      </c>
      <c r="E88" s="32" t="str">
        <f t="shared" si="1"/>
        <v/>
      </c>
      <c r="F88" s="32" t="str">
        <f>IFERROR(__xludf.DUMMYFUNCTION("IF(C88="""","""", OR(REGEXMATCH(LOWER(C88),""cuota""), REGEXMATCH(C88,""\d+\s*/\s*\d+"")))"),"")</f>
        <v/>
      </c>
      <c r="G88" s="32" t="str">
        <f>IFERROR(__xludf.DUMMYFUNCTION("IFERROR(VALUE(REGEXEXTRACT(C88,""(\d+)\s*/\s*\d+"")),"""")"),"")</f>
        <v/>
      </c>
      <c r="H88" s="32" t="str">
        <f>IFERROR(__xludf.DUMMYFUNCTION("IFERROR(VALUE(REGEXEXTRACT(C88,""\d+\s*/\s*(\d+)"")),"""")"),"")</f>
        <v/>
      </c>
      <c r="I88" s="32" t="str">
        <f t="shared" si="2"/>
        <v/>
      </c>
      <c r="J88" s="33" t="str">
        <f t="shared" si="3"/>
        <v/>
      </c>
    </row>
    <row r="89" ht="15.75" customHeight="1">
      <c r="A89" s="22" t="s">
        <v>113</v>
      </c>
      <c r="B89" s="22" t="str">
        <f>IF(MOV_CC_NACIONAL!A89="","",MOV_CC_NACIONAL!A89)</f>
        <v/>
      </c>
      <c r="C89" s="22" t="str">
        <f>IF(MOV_CC_NACIONAL!B89="","",MOV_CC_NACIONAL!B89)</f>
        <v/>
      </c>
      <c r="D89" s="34" t="str">
        <f>IF(MOV_CC_NACIONAL!C89="","",MOV_CC_NACIONAL!C89)</f>
        <v/>
      </c>
      <c r="E89" s="22" t="str">
        <f t="shared" si="1"/>
        <v/>
      </c>
      <c r="F89" s="22" t="str">
        <f>IFERROR(__xludf.DUMMYFUNCTION("IF(C89="""","""", OR(REGEXMATCH(LOWER(C89),""cuota""), REGEXMATCH(C89,""\d+\s*/\s*\d+"")))"),"")</f>
        <v/>
      </c>
      <c r="G89" s="22" t="str">
        <f>IFERROR(__xludf.DUMMYFUNCTION("IFERROR(VALUE(REGEXEXTRACT(C89,""(\d+)\s*/\s*\d+"")),"""")"),"")</f>
        <v/>
      </c>
      <c r="H89" s="22" t="str">
        <f>IFERROR(__xludf.DUMMYFUNCTION("IFERROR(VALUE(REGEXEXTRACT(C89,""\d+\s*/\s*(\d+)"")),"""")"),"")</f>
        <v/>
      </c>
      <c r="I89" s="22" t="str">
        <f t="shared" si="2"/>
        <v/>
      </c>
      <c r="J89" s="34" t="str">
        <f t="shared" si="3"/>
        <v/>
      </c>
    </row>
    <row r="90" ht="15.75" customHeight="1">
      <c r="A90" s="32" t="s">
        <v>113</v>
      </c>
      <c r="B90" s="32" t="str">
        <f>IF(MOV_CC_NACIONAL!A90="","",MOV_CC_NACIONAL!A90)</f>
        <v/>
      </c>
      <c r="C90" s="32" t="str">
        <f>IF(MOV_CC_NACIONAL!B90="","",MOV_CC_NACIONAL!B90)</f>
        <v/>
      </c>
      <c r="D90" s="33" t="str">
        <f>IF(MOV_CC_NACIONAL!C90="","",MOV_CC_NACIONAL!C90)</f>
        <v/>
      </c>
      <c r="E90" s="32" t="str">
        <f t="shared" si="1"/>
        <v/>
      </c>
      <c r="F90" s="32" t="str">
        <f>IFERROR(__xludf.DUMMYFUNCTION("IF(C90="""","""", OR(REGEXMATCH(LOWER(C90),""cuota""), REGEXMATCH(C90,""\d+\s*/\s*\d+"")))"),"")</f>
        <v/>
      </c>
      <c r="G90" s="32" t="str">
        <f>IFERROR(__xludf.DUMMYFUNCTION("IFERROR(VALUE(REGEXEXTRACT(C90,""(\d+)\s*/\s*\d+"")),"""")"),"")</f>
        <v/>
      </c>
      <c r="H90" s="32" t="str">
        <f>IFERROR(__xludf.DUMMYFUNCTION("IFERROR(VALUE(REGEXEXTRACT(C90,""\d+\s*/\s*(\d+)"")),"""")"),"")</f>
        <v/>
      </c>
      <c r="I90" s="32" t="str">
        <f t="shared" si="2"/>
        <v/>
      </c>
      <c r="J90" s="33" t="str">
        <f t="shared" si="3"/>
        <v/>
      </c>
    </row>
    <row r="91" ht="15.75" customHeight="1">
      <c r="A91" s="22" t="s">
        <v>113</v>
      </c>
      <c r="B91" s="22" t="str">
        <f>IF(MOV_CC_NACIONAL!A91="","",MOV_CC_NACIONAL!A91)</f>
        <v/>
      </c>
      <c r="C91" s="22" t="str">
        <f>IF(MOV_CC_NACIONAL!B91="","",MOV_CC_NACIONAL!B91)</f>
        <v/>
      </c>
      <c r="D91" s="34" t="str">
        <f>IF(MOV_CC_NACIONAL!C91="","",MOV_CC_NACIONAL!C91)</f>
        <v/>
      </c>
      <c r="E91" s="22" t="str">
        <f t="shared" si="1"/>
        <v/>
      </c>
      <c r="F91" s="22" t="str">
        <f>IFERROR(__xludf.DUMMYFUNCTION("IF(C91="""","""", OR(REGEXMATCH(LOWER(C91),""cuota""), REGEXMATCH(C91,""\d+\s*/\s*\d+"")))"),"")</f>
        <v/>
      </c>
      <c r="G91" s="22" t="str">
        <f>IFERROR(__xludf.DUMMYFUNCTION("IFERROR(VALUE(REGEXEXTRACT(C91,""(\d+)\s*/\s*\d+"")),"""")"),"")</f>
        <v/>
      </c>
      <c r="H91" s="22" t="str">
        <f>IFERROR(__xludf.DUMMYFUNCTION("IFERROR(VALUE(REGEXEXTRACT(C91,""\d+\s*/\s*(\d+)"")),"""")"),"")</f>
        <v/>
      </c>
      <c r="I91" s="22" t="str">
        <f t="shared" si="2"/>
        <v/>
      </c>
      <c r="J91" s="34" t="str">
        <f t="shared" si="3"/>
        <v/>
      </c>
    </row>
    <row r="92" ht="15.75" customHeight="1">
      <c r="A92" s="32" t="s">
        <v>113</v>
      </c>
      <c r="B92" s="32" t="str">
        <f>IF(MOV_CC_NACIONAL!A92="","",MOV_CC_NACIONAL!A92)</f>
        <v/>
      </c>
      <c r="C92" s="32" t="str">
        <f>IF(MOV_CC_NACIONAL!B92="","",MOV_CC_NACIONAL!B92)</f>
        <v/>
      </c>
      <c r="D92" s="33" t="str">
        <f>IF(MOV_CC_NACIONAL!C92="","",MOV_CC_NACIONAL!C92)</f>
        <v/>
      </c>
      <c r="E92" s="32" t="str">
        <f t="shared" si="1"/>
        <v/>
      </c>
      <c r="F92" s="32" t="str">
        <f>IFERROR(__xludf.DUMMYFUNCTION("IF(C92="""","""", OR(REGEXMATCH(LOWER(C92),""cuota""), REGEXMATCH(C92,""\d+\s*/\s*\d+"")))"),"")</f>
        <v/>
      </c>
      <c r="G92" s="32" t="str">
        <f>IFERROR(__xludf.DUMMYFUNCTION("IFERROR(VALUE(REGEXEXTRACT(C92,""(\d+)\s*/\s*\d+"")),"""")"),"")</f>
        <v/>
      </c>
      <c r="H92" s="32" t="str">
        <f>IFERROR(__xludf.DUMMYFUNCTION("IFERROR(VALUE(REGEXEXTRACT(C92,""\d+\s*/\s*(\d+)"")),"""")"),"")</f>
        <v/>
      </c>
      <c r="I92" s="32" t="str">
        <f t="shared" si="2"/>
        <v/>
      </c>
      <c r="J92" s="33" t="str">
        <f t="shared" si="3"/>
        <v/>
      </c>
    </row>
    <row r="93" ht="15.75" customHeight="1">
      <c r="A93" s="22" t="s">
        <v>113</v>
      </c>
      <c r="B93" s="22" t="str">
        <f>IF(MOV_CC_NACIONAL!A93="","",MOV_CC_NACIONAL!A93)</f>
        <v/>
      </c>
      <c r="C93" s="22" t="str">
        <f>IF(MOV_CC_NACIONAL!B93="","",MOV_CC_NACIONAL!B93)</f>
        <v/>
      </c>
      <c r="D93" s="34" t="str">
        <f>IF(MOV_CC_NACIONAL!C93="","",MOV_CC_NACIONAL!C93)</f>
        <v/>
      </c>
      <c r="E93" s="22" t="str">
        <f t="shared" si="1"/>
        <v/>
      </c>
      <c r="F93" s="22" t="str">
        <f>IFERROR(__xludf.DUMMYFUNCTION("IF(C93="""","""", OR(REGEXMATCH(LOWER(C93),""cuota""), REGEXMATCH(C93,""\d+\s*/\s*\d+"")))"),"")</f>
        <v/>
      </c>
      <c r="G93" s="22" t="str">
        <f>IFERROR(__xludf.DUMMYFUNCTION("IFERROR(VALUE(REGEXEXTRACT(C93,""(\d+)\s*/\s*\d+"")),"""")"),"")</f>
        <v/>
      </c>
      <c r="H93" s="22" t="str">
        <f>IFERROR(__xludf.DUMMYFUNCTION("IFERROR(VALUE(REGEXEXTRACT(C93,""\d+\s*/\s*(\d+)"")),"""")"),"")</f>
        <v/>
      </c>
      <c r="I93" s="22" t="str">
        <f t="shared" si="2"/>
        <v/>
      </c>
      <c r="J93" s="34" t="str">
        <f t="shared" si="3"/>
        <v/>
      </c>
    </row>
    <row r="94" ht="15.75" customHeight="1">
      <c r="A94" s="32" t="s">
        <v>113</v>
      </c>
      <c r="B94" s="32" t="str">
        <f>IF(MOV_CC_NACIONAL!A94="","",MOV_CC_NACIONAL!A94)</f>
        <v/>
      </c>
      <c r="C94" s="32" t="str">
        <f>IF(MOV_CC_NACIONAL!B94="","",MOV_CC_NACIONAL!B94)</f>
        <v/>
      </c>
      <c r="D94" s="33" t="str">
        <f>IF(MOV_CC_NACIONAL!C94="","",MOV_CC_NACIONAL!C94)</f>
        <v/>
      </c>
      <c r="E94" s="32" t="str">
        <f t="shared" si="1"/>
        <v/>
      </c>
      <c r="F94" s="32" t="str">
        <f>IFERROR(__xludf.DUMMYFUNCTION("IF(C94="""","""", OR(REGEXMATCH(LOWER(C94),""cuota""), REGEXMATCH(C94,""\d+\s*/\s*\d+"")))"),"")</f>
        <v/>
      </c>
      <c r="G94" s="32" t="str">
        <f>IFERROR(__xludf.DUMMYFUNCTION("IFERROR(VALUE(REGEXEXTRACT(C94,""(\d+)\s*/\s*\d+"")),"""")"),"")</f>
        <v/>
      </c>
      <c r="H94" s="32" t="str">
        <f>IFERROR(__xludf.DUMMYFUNCTION("IFERROR(VALUE(REGEXEXTRACT(C94,""\d+\s*/\s*(\d+)"")),"""")"),"")</f>
        <v/>
      </c>
      <c r="I94" s="32" t="str">
        <f t="shared" si="2"/>
        <v/>
      </c>
      <c r="J94" s="33" t="str">
        <f t="shared" si="3"/>
        <v/>
      </c>
    </row>
    <row r="95" ht="15.75" customHeight="1">
      <c r="A95" s="22" t="s">
        <v>113</v>
      </c>
      <c r="B95" s="22" t="str">
        <f>IF(MOV_CC_NACIONAL!A95="","",MOV_CC_NACIONAL!A95)</f>
        <v/>
      </c>
      <c r="C95" s="22" t="str">
        <f>IF(MOV_CC_NACIONAL!B95="","",MOV_CC_NACIONAL!B95)</f>
        <v/>
      </c>
      <c r="D95" s="34" t="str">
        <f>IF(MOV_CC_NACIONAL!C95="","",MOV_CC_NACIONAL!C95)</f>
        <v/>
      </c>
      <c r="E95" s="22" t="str">
        <f t="shared" si="1"/>
        <v/>
      </c>
      <c r="F95" s="22" t="str">
        <f>IFERROR(__xludf.DUMMYFUNCTION("IF(C95="""","""", OR(REGEXMATCH(LOWER(C95),""cuota""), REGEXMATCH(C95,""\d+\s*/\s*\d+"")))"),"")</f>
        <v/>
      </c>
      <c r="G95" s="22" t="str">
        <f>IFERROR(__xludf.DUMMYFUNCTION("IFERROR(VALUE(REGEXEXTRACT(C95,""(\d+)\s*/\s*\d+"")),"""")"),"")</f>
        <v/>
      </c>
      <c r="H95" s="22" t="str">
        <f>IFERROR(__xludf.DUMMYFUNCTION("IFERROR(VALUE(REGEXEXTRACT(C95,""\d+\s*/\s*(\d+)"")),"""")"),"")</f>
        <v/>
      </c>
      <c r="I95" s="22" t="str">
        <f t="shared" si="2"/>
        <v/>
      </c>
      <c r="J95" s="34" t="str">
        <f t="shared" si="3"/>
        <v/>
      </c>
    </row>
    <row r="96" ht="15.75" customHeight="1">
      <c r="A96" s="32" t="s">
        <v>113</v>
      </c>
      <c r="B96" s="32" t="str">
        <f>IF(MOV_CC_NACIONAL!A96="","",MOV_CC_NACIONAL!A96)</f>
        <v/>
      </c>
      <c r="C96" s="32" t="str">
        <f>IF(MOV_CC_NACIONAL!B96="","",MOV_CC_NACIONAL!B96)</f>
        <v/>
      </c>
      <c r="D96" s="33" t="str">
        <f>IF(MOV_CC_NACIONAL!C96="","",MOV_CC_NACIONAL!C96)</f>
        <v/>
      </c>
      <c r="E96" s="32" t="str">
        <f t="shared" si="1"/>
        <v/>
      </c>
      <c r="F96" s="32" t="str">
        <f>IFERROR(__xludf.DUMMYFUNCTION("IF(C96="""","""", OR(REGEXMATCH(LOWER(C96),""cuota""), REGEXMATCH(C96,""\d+\s*/\s*\d+"")))"),"")</f>
        <v/>
      </c>
      <c r="G96" s="32" t="str">
        <f>IFERROR(__xludf.DUMMYFUNCTION("IFERROR(VALUE(REGEXEXTRACT(C96,""(\d+)\s*/\s*\d+"")),"""")"),"")</f>
        <v/>
      </c>
      <c r="H96" s="32" t="str">
        <f>IFERROR(__xludf.DUMMYFUNCTION("IFERROR(VALUE(REGEXEXTRACT(C96,""\d+\s*/\s*(\d+)"")),"""")"),"")</f>
        <v/>
      </c>
      <c r="I96" s="32" t="str">
        <f t="shared" si="2"/>
        <v/>
      </c>
      <c r="J96" s="33" t="str">
        <f t="shared" si="3"/>
        <v/>
      </c>
    </row>
    <row r="97" ht="15.75" customHeight="1">
      <c r="A97" s="22" t="s">
        <v>113</v>
      </c>
      <c r="B97" s="22" t="str">
        <f>IF(MOV_CC_NACIONAL!A97="","",MOV_CC_NACIONAL!A97)</f>
        <v/>
      </c>
      <c r="C97" s="22" t="str">
        <f>IF(MOV_CC_NACIONAL!B97="","",MOV_CC_NACIONAL!B97)</f>
        <v/>
      </c>
      <c r="D97" s="34" t="str">
        <f>IF(MOV_CC_NACIONAL!C97="","",MOV_CC_NACIONAL!C97)</f>
        <v/>
      </c>
      <c r="E97" s="22" t="str">
        <f t="shared" si="1"/>
        <v/>
      </c>
      <c r="F97" s="22" t="str">
        <f>IFERROR(__xludf.DUMMYFUNCTION("IF(C97="""","""", OR(REGEXMATCH(LOWER(C97),""cuota""), REGEXMATCH(C97,""\d+\s*/\s*\d+"")))"),"")</f>
        <v/>
      </c>
      <c r="G97" s="22" t="str">
        <f>IFERROR(__xludf.DUMMYFUNCTION("IFERROR(VALUE(REGEXEXTRACT(C97,""(\d+)\s*/\s*\d+"")),"""")"),"")</f>
        <v/>
      </c>
      <c r="H97" s="22" t="str">
        <f>IFERROR(__xludf.DUMMYFUNCTION("IFERROR(VALUE(REGEXEXTRACT(C97,""\d+\s*/\s*(\d+)"")),"""")"),"")</f>
        <v/>
      </c>
      <c r="I97" s="22" t="str">
        <f t="shared" si="2"/>
        <v/>
      </c>
      <c r="J97" s="34" t="str">
        <f t="shared" si="3"/>
        <v/>
      </c>
    </row>
    <row r="98" ht="15.75" customHeight="1">
      <c r="A98" s="32" t="s">
        <v>113</v>
      </c>
      <c r="B98" s="32" t="str">
        <f>IF(MOV_CC_NACIONAL!A98="","",MOV_CC_NACIONAL!A98)</f>
        <v/>
      </c>
      <c r="C98" s="32" t="str">
        <f>IF(MOV_CC_NACIONAL!B98="","",MOV_CC_NACIONAL!B98)</f>
        <v/>
      </c>
      <c r="D98" s="33" t="str">
        <f>IF(MOV_CC_NACIONAL!C98="","",MOV_CC_NACIONAL!C98)</f>
        <v/>
      </c>
      <c r="E98" s="32" t="str">
        <f t="shared" si="1"/>
        <v/>
      </c>
      <c r="F98" s="32" t="str">
        <f>IFERROR(__xludf.DUMMYFUNCTION("IF(C98="""","""", OR(REGEXMATCH(LOWER(C98),""cuota""), REGEXMATCH(C98,""\d+\s*/\s*\d+"")))"),"")</f>
        <v/>
      </c>
      <c r="G98" s="32" t="str">
        <f>IFERROR(__xludf.DUMMYFUNCTION("IFERROR(VALUE(REGEXEXTRACT(C98,""(\d+)\s*/\s*\d+"")),"""")"),"")</f>
        <v/>
      </c>
      <c r="H98" s="32" t="str">
        <f>IFERROR(__xludf.DUMMYFUNCTION("IFERROR(VALUE(REGEXEXTRACT(C98,""\d+\s*/\s*(\d+)"")),"""")"),"")</f>
        <v/>
      </c>
      <c r="I98" s="32" t="str">
        <f t="shared" si="2"/>
        <v/>
      </c>
      <c r="J98" s="33" t="str">
        <f t="shared" si="3"/>
        <v/>
      </c>
    </row>
    <row r="99" ht="15.75" customHeight="1">
      <c r="A99" s="22" t="s">
        <v>113</v>
      </c>
      <c r="B99" s="22" t="str">
        <f>IF(MOV_CC_NACIONAL!A99="","",MOV_CC_NACIONAL!A99)</f>
        <v/>
      </c>
      <c r="C99" s="22" t="str">
        <f>IF(MOV_CC_NACIONAL!B99="","",MOV_CC_NACIONAL!B99)</f>
        <v/>
      </c>
      <c r="D99" s="34" t="str">
        <f>IF(MOV_CC_NACIONAL!C99="","",MOV_CC_NACIONAL!C99)</f>
        <v/>
      </c>
      <c r="E99" s="22" t="str">
        <f t="shared" si="1"/>
        <v/>
      </c>
      <c r="F99" s="22" t="str">
        <f>IFERROR(__xludf.DUMMYFUNCTION("IF(C99="""","""", OR(REGEXMATCH(LOWER(C99),""cuota""), REGEXMATCH(C99,""\d+\s*/\s*\d+"")))"),"")</f>
        <v/>
      </c>
      <c r="G99" s="22" t="str">
        <f>IFERROR(__xludf.DUMMYFUNCTION("IFERROR(VALUE(REGEXEXTRACT(C99,""(\d+)\s*/\s*\d+"")),"""")"),"")</f>
        <v/>
      </c>
      <c r="H99" s="22" t="str">
        <f>IFERROR(__xludf.DUMMYFUNCTION("IFERROR(VALUE(REGEXEXTRACT(C99,""\d+\s*/\s*(\d+)"")),"""")"),"")</f>
        <v/>
      </c>
      <c r="I99" s="22" t="str">
        <f t="shared" si="2"/>
        <v/>
      </c>
      <c r="J99" s="34" t="str">
        <f t="shared" si="3"/>
        <v/>
      </c>
    </row>
    <row r="100" ht="15.75" customHeight="1">
      <c r="A100" s="32" t="s">
        <v>113</v>
      </c>
      <c r="B100" s="32" t="str">
        <f>IF(MOV_CC_NACIONAL!A100="","",MOV_CC_NACIONAL!A100)</f>
        <v/>
      </c>
      <c r="C100" s="32" t="str">
        <f>IF(MOV_CC_NACIONAL!B100="","",MOV_CC_NACIONAL!B100)</f>
        <v/>
      </c>
      <c r="D100" s="33" t="str">
        <f>IF(MOV_CC_NACIONAL!C100="","",MOV_CC_NACIONAL!C100)</f>
        <v/>
      </c>
      <c r="E100" s="32" t="str">
        <f t="shared" si="1"/>
        <v/>
      </c>
      <c r="F100" s="32" t="str">
        <f>IFERROR(__xludf.DUMMYFUNCTION("IF(C100="""","""", OR(REGEXMATCH(LOWER(C100),""cuota""), REGEXMATCH(C100,""\d+\s*/\s*\d+"")))"),"")</f>
        <v/>
      </c>
      <c r="G100" s="32" t="str">
        <f>IFERROR(__xludf.DUMMYFUNCTION("IFERROR(VALUE(REGEXEXTRACT(C100,""(\d+)\s*/\s*\d+"")),"""")"),"")</f>
        <v/>
      </c>
      <c r="H100" s="32" t="str">
        <f>IFERROR(__xludf.DUMMYFUNCTION("IFERROR(VALUE(REGEXEXTRACT(C100,""\d+\s*/\s*(\d+)"")),"""")"),"")</f>
        <v/>
      </c>
      <c r="I100" s="32" t="str">
        <f t="shared" si="2"/>
        <v/>
      </c>
      <c r="J100" s="33" t="str">
        <f t="shared" si="3"/>
        <v/>
      </c>
    </row>
    <row r="101" ht="15.75" customHeight="1">
      <c r="A101" s="22" t="s">
        <v>113</v>
      </c>
      <c r="B101" s="22" t="str">
        <f>IF(MOV_CC_NACIONAL!A101="","",MOV_CC_NACIONAL!A101)</f>
        <v/>
      </c>
      <c r="C101" s="22" t="str">
        <f>IF(MOV_CC_NACIONAL!B101="","",MOV_CC_NACIONAL!B101)</f>
        <v/>
      </c>
      <c r="D101" s="34" t="str">
        <f>IF(MOV_CC_NACIONAL!C101="","",MOV_CC_NACIONAL!C101)</f>
        <v/>
      </c>
      <c r="E101" s="22" t="str">
        <f t="shared" si="1"/>
        <v/>
      </c>
      <c r="F101" s="22" t="str">
        <f>IFERROR(__xludf.DUMMYFUNCTION("IF(C101="""","""", OR(REGEXMATCH(LOWER(C101),""cuota""), REGEXMATCH(C101,""\d+\s*/\s*\d+"")))"),"")</f>
        <v/>
      </c>
      <c r="G101" s="22" t="str">
        <f>IFERROR(__xludf.DUMMYFUNCTION("IFERROR(VALUE(REGEXEXTRACT(C101,""(\d+)\s*/\s*\d+"")),"""")"),"")</f>
        <v/>
      </c>
      <c r="H101" s="22" t="str">
        <f>IFERROR(__xludf.DUMMYFUNCTION("IFERROR(VALUE(REGEXEXTRACT(C101,""\d+\s*/\s*(\d+)"")),"""")"),"")</f>
        <v/>
      </c>
      <c r="I101" s="22" t="str">
        <f t="shared" si="2"/>
        <v/>
      </c>
      <c r="J101" s="34" t="str">
        <f t="shared" si="3"/>
        <v/>
      </c>
    </row>
    <row r="102" ht="15.75" customHeight="1">
      <c r="A102" s="32" t="s">
        <v>113</v>
      </c>
      <c r="B102" s="32" t="str">
        <f>IF(MOV_CC_NACIONAL!A102="","",MOV_CC_NACIONAL!A102)</f>
        <v/>
      </c>
      <c r="C102" s="32" t="str">
        <f>IF(MOV_CC_NACIONAL!B102="","",MOV_CC_NACIONAL!B102)</f>
        <v/>
      </c>
      <c r="D102" s="33" t="str">
        <f>IF(MOV_CC_NACIONAL!C102="","",MOV_CC_NACIONAL!C102)</f>
        <v/>
      </c>
      <c r="E102" s="32" t="str">
        <f t="shared" si="1"/>
        <v/>
      </c>
      <c r="F102" s="32" t="str">
        <f>IFERROR(__xludf.DUMMYFUNCTION("IF(C102="""","""", OR(REGEXMATCH(LOWER(C102),""cuota""), REGEXMATCH(C102,""\d+\s*/\s*\d+"")))"),"")</f>
        <v/>
      </c>
      <c r="G102" s="32" t="str">
        <f>IFERROR(__xludf.DUMMYFUNCTION("IFERROR(VALUE(REGEXEXTRACT(C102,""(\d+)\s*/\s*\d+"")),"""")"),"")</f>
        <v/>
      </c>
      <c r="H102" s="32" t="str">
        <f>IFERROR(__xludf.DUMMYFUNCTION("IFERROR(VALUE(REGEXEXTRACT(C102,""\d+\s*/\s*(\d+)"")),"""")"),"")</f>
        <v/>
      </c>
      <c r="I102" s="32" t="str">
        <f t="shared" si="2"/>
        <v/>
      </c>
      <c r="J102" s="33" t="str">
        <f t="shared" si="3"/>
        <v/>
      </c>
    </row>
    <row r="103" ht="15.75" customHeight="1">
      <c r="A103" s="22" t="s">
        <v>113</v>
      </c>
      <c r="B103" s="22" t="str">
        <f>IF(MOV_CC_NACIONAL!A103="","",MOV_CC_NACIONAL!A103)</f>
        <v/>
      </c>
      <c r="C103" s="22" t="str">
        <f>IF(MOV_CC_NACIONAL!B103="","",MOV_CC_NACIONAL!B103)</f>
        <v/>
      </c>
      <c r="D103" s="34" t="str">
        <f>IF(MOV_CC_NACIONAL!C103="","",MOV_CC_NACIONAL!C103)</f>
        <v/>
      </c>
      <c r="E103" s="22" t="str">
        <f t="shared" si="1"/>
        <v/>
      </c>
      <c r="F103" s="22" t="str">
        <f>IFERROR(__xludf.DUMMYFUNCTION("IF(C103="""","""", OR(REGEXMATCH(LOWER(C103),""cuota""), REGEXMATCH(C103,""\d+\s*/\s*\d+"")))"),"")</f>
        <v/>
      </c>
      <c r="G103" s="22" t="str">
        <f>IFERROR(__xludf.DUMMYFUNCTION("IFERROR(VALUE(REGEXEXTRACT(C103,""(\d+)\s*/\s*\d+"")),"""")"),"")</f>
        <v/>
      </c>
      <c r="H103" s="22" t="str">
        <f>IFERROR(__xludf.DUMMYFUNCTION("IFERROR(VALUE(REGEXEXTRACT(C103,""\d+\s*/\s*(\d+)"")),"""")"),"")</f>
        <v/>
      </c>
      <c r="I103" s="22" t="str">
        <f t="shared" si="2"/>
        <v/>
      </c>
      <c r="J103" s="34" t="str">
        <f t="shared" si="3"/>
        <v/>
      </c>
    </row>
    <row r="104" ht="15.75" customHeight="1">
      <c r="A104" s="32" t="s">
        <v>113</v>
      </c>
      <c r="B104" s="32" t="str">
        <f>IF(MOV_CC_NACIONAL!A104="","",MOV_CC_NACIONAL!A104)</f>
        <v/>
      </c>
      <c r="C104" s="32" t="str">
        <f>IF(MOV_CC_NACIONAL!B104="","",MOV_CC_NACIONAL!B104)</f>
        <v/>
      </c>
      <c r="D104" s="33" t="str">
        <f>IF(MOV_CC_NACIONAL!C104="","",MOV_CC_NACIONAL!C104)</f>
        <v/>
      </c>
      <c r="E104" s="32" t="str">
        <f t="shared" si="1"/>
        <v/>
      </c>
      <c r="F104" s="32" t="str">
        <f>IFERROR(__xludf.DUMMYFUNCTION("IF(C104="""","""", OR(REGEXMATCH(LOWER(C104),""cuota""), REGEXMATCH(C104,""\d+\s*/\s*\d+"")))"),"")</f>
        <v/>
      </c>
      <c r="G104" s="32" t="str">
        <f>IFERROR(__xludf.DUMMYFUNCTION("IFERROR(VALUE(REGEXEXTRACT(C104,""(\d+)\s*/\s*\d+"")),"""")"),"")</f>
        <v/>
      </c>
      <c r="H104" s="32" t="str">
        <f>IFERROR(__xludf.DUMMYFUNCTION("IFERROR(VALUE(REGEXEXTRACT(C104,""\d+\s*/\s*(\d+)"")),"""")"),"")</f>
        <v/>
      </c>
      <c r="I104" s="32" t="str">
        <f t="shared" si="2"/>
        <v/>
      </c>
      <c r="J104" s="33" t="str">
        <f t="shared" si="3"/>
        <v/>
      </c>
    </row>
    <row r="105" ht="15.75" customHeight="1">
      <c r="A105" s="22" t="s">
        <v>113</v>
      </c>
      <c r="B105" s="22" t="str">
        <f>IF(MOV_CC_NACIONAL!A105="","",MOV_CC_NACIONAL!A105)</f>
        <v/>
      </c>
      <c r="C105" s="22" t="str">
        <f>IF(MOV_CC_NACIONAL!B105="","",MOV_CC_NACIONAL!B105)</f>
        <v/>
      </c>
      <c r="D105" s="34" t="str">
        <f>IF(MOV_CC_NACIONAL!C105="","",MOV_CC_NACIONAL!C105)</f>
        <v/>
      </c>
      <c r="E105" s="22" t="str">
        <f t="shared" si="1"/>
        <v/>
      </c>
      <c r="F105" s="22" t="str">
        <f>IFERROR(__xludf.DUMMYFUNCTION("IF(C105="""","""", OR(REGEXMATCH(LOWER(C105),""cuota""), REGEXMATCH(C105,""\d+\s*/\s*\d+"")))"),"")</f>
        <v/>
      </c>
      <c r="G105" s="22" t="str">
        <f>IFERROR(__xludf.DUMMYFUNCTION("IFERROR(VALUE(REGEXEXTRACT(C105,""(\d+)\s*/\s*\d+"")),"""")"),"")</f>
        <v/>
      </c>
      <c r="H105" s="22" t="str">
        <f>IFERROR(__xludf.DUMMYFUNCTION("IFERROR(VALUE(REGEXEXTRACT(C105,""\d+\s*/\s*(\d+)"")),"""")"),"")</f>
        <v/>
      </c>
      <c r="I105" s="22" t="str">
        <f t="shared" si="2"/>
        <v/>
      </c>
      <c r="J105" s="34" t="str">
        <f t="shared" si="3"/>
        <v/>
      </c>
    </row>
    <row r="106" ht="15.75" customHeight="1">
      <c r="A106" s="32" t="s">
        <v>113</v>
      </c>
      <c r="B106" s="32" t="str">
        <f>IF(MOV_CC_NACIONAL!A106="","",MOV_CC_NACIONAL!A106)</f>
        <v/>
      </c>
      <c r="C106" s="32" t="str">
        <f>IF(MOV_CC_NACIONAL!B106="","",MOV_CC_NACIONAL!B106)</f>
        <v/>
      </c>
      <c r="D106" s="33" t="str">
        <f>IF(MOV_CC_NACIONAL!C106="","",MOV_CC_NACIONAL!C106)</f>
        <v/>
      </c>
      <c r="E106" s="32" t="str">
        <f t="shared" si="1"/>
        <v/>
      </c>
      <c r="F106" s="32" t="str">
        <f>IFERROR(__xludf.DUMMYFUNCTION("IF(C106="""","""", OR(REGEXMATCH(LOWER(C106),""cuota""), REGEXMATCH(C106,""\d+\s*/\s*\d+"")))"),"")</f>
        <v/>
      </c>
      <c r="G106" s="32" t="str">
        <f>IFERROR(__xludf.DUMMYFUNCTION("IFERROR(VALUE(REGEXEXTRACT(C106,""(\d+)\s*/\s*\d+"")),"""")"),"")</f>
        <v/>
      </c>
      <c r="H106" s="32" t="str">
        <f>IFERROR(__xludf.DUMMYFUNCTION("IFERROR(VALUE(REGEXEXTRACT(C106,""\d+\s*/\s*(\d+)"")),"""")"),"")</f>
        <v/>
      </c>
      <c r="I106" s="32" t="str">
        <f t="shared" si="2"/>
        <v/>
      </c>
      <c r="J106" s="33" t="str">
        <f t="shared" si="3"/>
        <v/>
      </c>
    </row>
    <row r="107" ht="15.75" customHeight="1">
      <c r="A107" s="22" t="s">
        <v>113</v>
      </c>
      <c r="B107" s="22" t="str">
        <f>IF(MOV_CC_NACIONAL!A107="","",MOV_CC_NACIONAL!A107)</f>
        <v/>
      </c>
      <c r="C107" s="22" t="str">
        <f>IF(MOV_CC_NACIONAL!B107="","",MOV_CC_NACIONAL!B107)</f>
        <v/>
      </c>
      <c r="D107" s="34" t="str">
        <f>IF(MOV_CC_NACIONAL!C107="","",MOV_CC_NACIONAL!C107)</f>
        <v/>
      </c>
      <c r="E107" s="22" t="str">
        <f t="shared" si="1"/>
        <v/>
      </c>
      <c r="F107" s="22" t="str">
        <f>IFERROR(__xludf.DUMMYFUNCTION("IF(C107="""","""", OR(REGEXMATCH(LOWER(C107),""cuota""), REGEXMATCH(C107,""\d+\s*/\s*\d+"")))"),"")</f>
        <v/>
      </c>
      <c r="G107" s="22" t="str">
        <f>IFERROR(__xludf.DUMMYFUNCTION("IFERROR(VALUE(REGEXEXTRACT(C107,""(\d+)\s*/\s*\d+"")),"""")"),"")</f>
        <v/>
      </c>
      <c r="H107" s="22" t="str">
        <f>IFERROR(__xludf.DUMMYFUNCTION("IFERROR(VALUE(REGEXEXTRACT(C107,""\d+\s*/\s*(\d+)"")),"""")"),"")</f>
        <v/>
      </c>
      <c r="I107" s="22" t="str">
        <f t="shared" si="2"/>
        <v/>
      </c>
      <c r="J107" s="34" t="str">
        <f t="shared" si="3"/>
        <v/>
      </c>
    </row>
    <row r="108" ht="15.75" customHeight="1">
      <c r="A108" s="32" t="s">
        <v>113</v>
      </c>
      <c r="B108" s="32" t="str">
        <f>IF(MOV_CC_NACIONAL!A108="","",MOV_CC_NACIONAL!A108)</f>
        <v/>
      </c>
      <c r="C108" s="32" t="str">
        <f>IF(MOV_CC_NACIONAL!B108="","",MOV_CC_NACIONAL!B108)</f>
        <v/>
      </c>
      <c r="D108" s="33" t="str">
        <f>IF(MOV_CC_NACIONAL!C108="","",MOV_CC_NACIONAL!C108)</f>
        <v/>
      </c>
      <c r="E108" s="32" t="str">
        <f t="shared" si="1"/>
        <v/>
      </c>
      <c r="F108" s="32" t="str">
        <f>IFERROR(__xludf.DUMMYFUNCTION("IF(C108="""","""", OR(REGEXMATCH(LOWER(C108),""cuota""), REGEXMATCH(C108,""\d+\s*/\s*\d+"")))"),"")</f>
        <v/>
      </c>
      <c r="G108" s="32" t="str">
        <f>IFERROR(__xludf.DUMMYFUNCTION("IFERROR(VALUE(REGEXEXTRACT(C108,""(\d+)\s*/\s*\d+"")),"""")"),"")</f>
        <v/>
      </c>
      <c r="H108" s="32" t="str">
        <f>IFERROR(__xludf.DUMMYFUNCTION("IFERROR(VALUE(REGEXEXTRACT(C108,""\d+\s*/\s*(\d+)"")),"""")"),"")</f>
        <v/>
      </c>
      <c r="I108" s="32" t="str">
        <f t="shared" si="2"/>
        <v/>
      </c>
      <c r="J108" s="33" t="str">
        <f t="shared" si="3"/>
        <v/>
      </c>
    </row>
    <row r="109" ht="15.75" customHeight="1">
      <c r="A109" s="22" t="s">
        <v>113</v>
      </c>
      <c r="B109" s="22" t="str">
        <f>IF(MOV_CC_NACIONAL!A109="","",MOV_CC_NACIONAL!A109)</f>
        <v/>
      </c>
      <c r="C109" s="22" t="str">
        <f>IF(MOV_CC_NACIONAL!B109="","",MOV_CC_NACIONAL!B109)</f>
        <v/>
      </c>
      <c r="D109" s="34" t="str">
        <f>IF(MOV_CC_NACIONAL!C109="","",MOV_CC_NACIONAL!C109)</f>
        <v/>
      </c>
      <c r="E109" s="22" t="str">
        <f t="shared" si="1"/>
        <v/>
      </c>
      <c r="F109" s="22" t="str">
        <f>IFERROR(__xludf.DUMMYFUNCTION("IF(C109="""","""", OR(REGEXMATCH(LOWER(C109),""cuota""), REGEXMATCH(C109,""\d+\s*/\s*\d+"")))"),"")</f>
        <v/>
      </c>
      <c r="G109" s="22" t="str">
        <f>IFERROR(__xludf.DUMMYFUNCTION("IFERROR(VALUE(REGEXEXTRACT(C109,""(\d+)\s*/\s*\d+"")),"""")"),"")</f>
        <v/>
      </c>
      <c r="H109" s="22" t="str">
        <f>IFERROR(__xludf.DUMMYFUNCTION("IFERROR(VALUE(REGEXEXTRACT(C109,""\d+\s*/\s*(\d+)"")),"""")"),"")</f>
        <v/>
      </c>
      <c r="I109" s="22" t="str">
        <f t="shared" si="2"/>
        <v/>
      </c>
      <c r="J109" s="34" t="str">
        <f t="shared" si="3"/>
        <v/>
      </c>
    </row>
    <row r="110" ht="15.75" customHeight="1">
      <c r="A110" s="32" t="s">
        <v>113</v>
      </c>
      <c r="B110" s="32" t="str">
        <f>IF(MOV_CC_NACIONAL!A110="","",MOV_CC_NACIONAL!A110)</f>
        <v/>
      </c>
      <c r="C110" s="32" t="str">
        <f>IF(MOV_CC_NACIONAL!B110="","",MOV_CC_NACIONAL!B110)</f>
        <v/>
      </c>
      <c r="D110" s="33" t="str">
        <f>IF(MOV_CC_NACIONAL!C110="","",MOV_CC_NACIONAL!C110)</f>
        <v/>
      </c>
      <c r="E110" s="32" t="str">
        <f t="shared" si="1"/>
        <v/>
      </c>
      <c r="F110" s="32" t="str">
        <f>IFERROR(__xludf.DUMMYFUNCTION("IF(C110="""","""", OR(REGEXMATCH(LOWER(C110),""cuota""), REGEXMATCH(C110,""\d+\s*/\s*\d+"")))"),"")</f>
        <v/>
      </c>
      <c r="G110" s="32" t="str">
        <f>IFERROR(__xludf.DUMMYFUNCTION("IFERROR(VALUE(REGEXEXTRACT(C110,""(\d+)\s*/\s*\d+"")),"""")"),"")</f>
        <v/>
      </c>
      <c r="H110" s="32" t="str">
        <f>IFERROR(__xludf.DUMMYFUNCTION("IFERROR(VALUE(REGEXEXTRACT(C110,""\d+\s*/\s*(\d+)"")),"""")"),"")</f>
        <v/>
      </c>
      <c r="I110" s="32" t="str">
        <f t="shared" si="2"/>
        <v/>
      </c>
      <c r="J110" s="33" t="str">
        <f t="shared" si="3"/>
        <v/>
      </c>
    </row>
    <row r="111" ht="15.75" customHeight="1">
      <c r="A111" s="22" t="s">
        <v>113</v>
      </c>
      <c r="B111" s="22" t="str">
        <f>IF(MOV_CC_NACIONAL!A111="","",MOV_CC_NACIONAL!A111)</f>
        <v/>
      </c>
      <c r="C111" s="22" t="str">
        <f>IF(MOV_CC_NACIONAL!B111="","",MOV_CC_NACIONAL!B111)</f>
        <v/>
      </c>
      <c r="D111" s="34" t="str">
        <f>IF(MOV_CC_NACIONAL!C111="","",MOV_CC_NACIONAL!C111)</f>
        <v/>
      </c>
      <c r="E111" s="22" t="str">
        <f t="shared" si="1"/>
        <v/>
      </c>
      <c r="F111" s="22" t="str">
        <f>IFERROR(__xludf.DUMMYFUNCTION("IF(C111="""","""", OR(REGEXMATCH(LOWER(C111),""cuota""), REGEXMATCH(C111,""\d+\s*/\s*\d+"")))"),"")</f>
        <v/>
      </c>
      <c r="G111" s="22" t="str">
        <f>IFERROR(__xludf.DUMMYFUNCTION("IFERROR(VALUE(REGEXEXTRACT(C111,""(\d+)\s*/\s*\d+"")),"""")"),"")</f>
        <v/>
      </c>
      <c r="H111" s="22" t="str">
        <f>IFERROR(__xludf.DUMMYFUNCTION("IFERROR(VALUE(REGEXEXTRACT(C111,""\d+\s*/\s*(\d+)"")),"""")"),"")</f>
        <v/>
      </c>
      <c r="I111" s="22" t="str">
        <f t="shared" si="2"/>
        <v/>
      </c>
      <c r="J111" s="34" t="str">
        <f t="shared" si="3"/>
        <v/>
      </c>
    </row>
    <row r="112" ht="15.75" customHeight="1">
      <c r="A112" s="32" t="s">
        <v>113</v>
      </c>
      <c r="B112" s="32" t="str">
        <f>IF(MOV_CC_NACIONAL!A112="","",MOV_CC_NACIONAL!A112)</f>
        <v/>
      </c>
      <c r="C112" s="32" t="str">
        <f>IF(MOV_CC_NACIONAL!B112="","",MOV_CC_NACIONAL!B112)</f>
        <v/>
      </c>
      <c r="D112" s="33" t="str">
        <f>IF(MOV_CC_NACIONAL!C112="","",MOV_CC_NACIONAL!C112)</f>
        <v/>
      </c>
      <c r="E112" s="32" t="str">
        <f t="shared" si="1"/>
        <v/>
      </c>
      <c r="F112" s="32" t="str">
        <f>IFERROR(__xludf.DUMMYFUNCTION("IF(C112="""","""", OR(REGEXMATCH(LOWER(C112),""cuota""), REGEXMATCH(C112,""\d+\s*/\s*\d+"")))"),"")</f>
        <v/>
      </c>
      <c r="G112" s="32" t="str">
        <f>IFERROR(__xludf.DUMMYFUNCTION("IFERROR(VALUE(REGEXEXTRACT(C112,""(\d+)\s*/\s*\d+"")),"""")"),"")</f>
        <v/>
      </c>
      <c r="H112" s="32" t="str">
        <f>IFERROR(__xludf.DUMMYFUNCTION("IFERROR(VALUE(REGEXEXTRACT(C112,""\d+\s*/\s*(\d+)"")),"""")"),"")</f>
        <v/>
      </c>
      <c r="I112" s="32" t="str">
        <f t="shared" si="2"/>
        <v/>
      </c>
      <c r="J112" s="33" t="str">
        <f t="shared" si="3"/>
        <v/>
      </c>
    </row>
    <row r="113" ht="15.75" customHeight="1">
      <c r="A113" s="22" t="s">
        <v>113</v>
      </c>
      <c r="B113" s="22" t="str">
        <f>IF(MOV_CC_NACIONAL!A113="","",MOV_CC_NACIONAL!A113)</f>
        <v/>
      </c>
      <c r="C113" s="22" t="str">
        <f>IF(MOV_CC_NACIONAL!B113="","",MOV_CC_NACIONAL!B113)</f>
        <v/>
      </c>
      <c r="D113" s="34" t="str">
        <f>IF(MOV_CC_NACIONAL!C113="","",MOV_CC_NACIONAL!C113)</f>
        <v/>
      </c>
      <c r="E113" s="22" t="str">
        <f t="shared" si="1"/>
        <v/>
      </c>
      <c r="F113" s="22" t="str">
        <f>IFERROR(__xludf.DUMMYFUNCTION("IF(C113="""","""", OR(REGEXMATCH(LOWER(C113),""cuota""), REGEXMATCH(C113,""\d+\s*/\s*\d+"")))"),"")</f>
        <v/>
      </c>
      <c r="G113" s="22" t="str">
        <f>IFERROR(__xludf.DUMMYFUNCTION("IFERROR(VALUE(REGEXEXTRACT(C113,""(\d+)\s*/\s*\d+"")),"""")"),"")</f>
        <v/>
      </c>
      <c r="H113" s="22" t="str">
        <f>IFERROR(__xludf.DUMMYFUNCTION("IFERROR(VALUE(REGEXEXTRACT(C113,""\d+\s*/\s*(\d+)"")),"""")"),"")</f>
        <v/>
      </c>
      <c r="I113" s="22" t="str">
        <f t="shared" si="2"/>
        <v/>
      </c>
      <c r="J113" s="34" t="str">
        <f t="shared" si="3"/>
        <v/>
      </c>
    </row>
    <row r="114" ht="15.75" customHeight="1">
      <c r="A114" s="32" t="s">
        <v>113</v>
      </c>
      <c r="B114" s="32" t="str">
        <f>IF(MOV_CC_NACIONAL!A114="","",MOV_CC_NACIONAL!A114)</f>
        <v/>
      </c>
      <c r="C114" s="32" t="str">
        <f>IF(MOV_CC_NACIONAL!B114="","",MOV_CC_NACIONAL!B114)</f>
        <v/>
      </c>
      <c r="D114" s="33" t="str">
        <f>IF(MOV_CC_NACIONAL!C114="","",MOV_CC_NACIONAL!C114)</f>
        <v/>
      </c>
      <c r="E114" s="32" t="str">
        <f t="shared" si="1"/>
        <v/>
      </c>
      <c r="F114" s="32" t="str">
        <f>IFERROR(__xludf.DUMMYFUNCTION("IF(C114="""","""", OR(REGEXMATCH(LOWER(C114),""cuota""), REGEXMATCH(C114,""\d+\s*/\s*\d+"")))"),"")</f>
        <v/>
      </c>
      <c r="G114" s="32" t="str">
        <f>IFERROR(__xludf.DUMMYFUNCTION("IFERROR(VALUE(REGEXEXTRACT(C114,""(\d+)\s*/\s*\d+"")),"""")"),"")</f>
        <v/>
      </c>
      <c r="H114" s="32" t="str">
        <f>IFERROR(__xludf.DUMMYFUNCTION("IFERROR(VALUE(REGEXEXTRACT(C114,""\d+\s*/\s*(\d+)"")),"""")"),"")</f>
        <v/>
      </c>
      <c r="I114" s="32" t="str">
        <f t="shared" si="2"/>
        <v/>
      </c>
      <c r="J114" s="33" t="str">
        <f t="shared" si="3"/>
        <v/>
      </c>
    </row>
    <row r="115" ht="15.75" customHeight="1">
      <c r="A115" s="22" t="s">
        <v>113</v>
      </c>
      <c r="B115" s="22" t="str">
        <f>IF(MOV_CC_NACIONAL!A115="","",MOV_CC_NACIONAL!A115)</f>
        <v/>
      </c>
      <c r="C115" s="22" t="str">
        <f>IF(MOV_CC_NACIONAL!B115="","",MOV_CC_NACIONAL!B115)</f>
        <v/>
      </c>
      <c r="D115" s="34" t="str">
        <f>IF(MOV_CC_NACIONAL!C115="","",MOV_CC_NACIONAL!C115)</f>
        <v/>
      </c>
      <c r="E115" s="22" t="str">
        <f t="shared" si="1"/>
        <v/>
      </c>
      <c r="F115" s="22" t="str">
        <f>IFERROR(__xludf.DUMMYFUNCTION("IF(C115="""","""", OR(REGEXMATCH(LOWER(C115),""cuota""), REGEXMATCH(C115,""\d+\s*/\s*\d+"")))"),"")</f>
        <v/>
      </c>
      <c r="G115" s="22" t="str">
        <f>IFERROR(__xludf.DUMMYFUNCTION("IFERROR(VALUE(REGEXEXTRACT(C115,""(\d+)\s*/\s*\d+"")),"""")"),"")</f>
        <v/>
      </c>
      <c r="H115" s="22" t="str">
        <f>IFERROR(__xludf.DUMMYFUNCTION("IFERROR(VALUE(REGEXEXTRACT(C115,""\d+\s*/\s*(\d+)"")),"""")"),"")</f>
        <v/>
      </c>
      <c r="I115" s="22" t="str">
        <f t="shared" si="2"/>
        <v/>
      </c>
      <c r="J115" s="34" t="str">
        <f t="shared" si="3"/>
        <v/>
      </c>
    </row>
    <row r="116" ht="15.75" customHeight="1">
      <c r="A116" s="32" t="s">
        <v>113</v>
      </c>
      <c r="B116" s="32" t="str">
        <f>IF(MOV_CC_NACIONAL!A116="","",MOV_CC_NACIONAL!A116)</f>
        <v/>
      </c>
      <c r="C116" s="32" t="str">
        <f>IF(MOV_CC_NACIONAL!B116="","",MOV_CC_NACIONAL!B116)</f>
        <v/>
      </c>
      <c r="D116" s="33" t="str">
        <f>IF(MOV_CC_NACIONAL!C116="","",MOV_CC_NACIONAL!C116)</f>
        <v/>
      </c>
      <c r="E116" s="32" t="str">
        <f t="shared" si="1"/>
        <v/>
      </c>
      <c r="F116" s="32" t="str">
        <f>IFERROR(__xludf.DUMMYFUNCTION("IF(C116="""","""", OR(REGEXMATCH(LOWER(C116),""cuota""), REGEXMATCH(C116,""\d+\s*/\s*\d+"")))"),"")</f>
        <v/>
      </c>
      <c r="G116" s="32" t="str">
        <f>IFERROR(__xludf.DUMMYFUNCTION("IFERROR(VALUE(REGEXEXTRACT(C116,""(\d+)\s*/\s*\d+"")),"""")"),"")</f>
        <v/>
      </c>
      <c r="H116" s="32" t="str">
        <f>IFERROR(__xludf.DUMMYFUNCTION("IFERROR(VALUE(REGEXEXTRACT(C116,""\d+\s*/\s*(\d+)"")),"""")"),"")</f>
        <v/>
      </c>
      <c r="I116" s="32" t="str">
        <f t="shared" si="2"/>
        <v/>
      </c>
      <c r="J116" s="33" t="str">
        <f t="shared" si="3"/>
        <v/>
      </c>
    </row>
    <row r="117" ht="15.75" customHeight="1">
      <c r="A117" s="22" t="s">
        <v>113</v>
      </c>
      <c r="B117" s="22" t="str">
        <f>IF(MOV_CC_NACIONAL!A117="","",MOV_CC_NACIONAL!A117)</f>
        <v/>
      </c>
      <c r="C117" s="22" t="str">
        <f>IF(MOV_CC_NACIONAL!B117="","",MOV_CC_NACIONAL!B117)</f>
        <v/>
      </c>
      <c r="D117" s="34" t="str">
        <f>IF(MOV_CC_NACIONAL!C117="","",MOV_CC_NACIONAL!C117)</f>
        <v/>
      </c>
      <c r="E117" s="22" t="str">
        <f t="shared" si="1"/>
        <v/>
      </c>
      <c r="F117" s="22" t="str">
        <f>IFERROR(__xludf.DUMMYFUNCTION("IF(C117="""","""", OR(REGEXMATCH(LOWER(C117),""cuota""), REGEXMATCH(C117,""\d+\s*/\s*\d+"")))"),"")</f>
        <v/>
      </c>
      <c r="G117" s="22" t="str">
        <f>IFERROR(__xludf.DUMMYFUNCTION("IFERROR(VALUE(REGEXEXTRACT(C117,""(\d+)\s*/\s*\d+"")),"""")"),"")</f>
        <v/>
      </c>
      <c r="H117" s="22" t="str">
        <f>IFERROR(__xludf.DUMMYFUNCTION("IFERROR(VALUE(REGEXEXTRACT(C117,""\d+\s*/\s*(\d+)"")),"""")"),"")</f>
        <v/>
      </c>
      <c r="I117" s="22" t="str">
        <f t="shared" si="2"/>
        <v/>
      </c>
      <c r="J117" s="34" t="str">
        <f t="shared" si="3"/>
        <v/>
      </c>
    </row>
    <row r="118" ht="15.75" customHeight="1">
      <c r="A118" s="32" t="s">
        <v>113</v>
      </c>
      <c r="B118" s="32" t="str">
        <f>IF(MOV_CC_NACIONAL!A118="","",MOV_CC_NACIONAL!A118)</f>
        <v/>
      </c>
      <c r="C118" s="32" t="str">
        <f>IF(MOV_CC_NACIONAL!B118="","",MOV_CC_NACIONAL!B118)</f>
        <v/>
      </c>
      <c r="D118" s="33" t="str">
        <f>IF(MOV_CC_NACIONAL!C118="","",MOV_CC_NACIONAL!C118)</f>
        <v/>
      </c>
      <c r="E118" s="32" t="str">
        <f t="shared" si="1"/>
        <v/>
      </c>
      <c r="F118" s="32" t="str">
        <f>IFERROR(__xludf.DUMMYFUNCTION("IF(C118="""","""", OR(REGEXMATCH(LOWER(C118),""cuota""), REGEXMATCH(C118,""\d+\s*/\s*\d+"")))"),"")</f>
        <v/>
      </c>
      <c r="G118" s="32" t="str">
        <f>IFERROR(__xludf.DUMMYFUNCTION("IFERROR(VALUE(REGEXEXTRACT(C118,""(\d+)\s*/\s*\d+"")),"""")"),"")</f>
        <v/>
      </c>
      <c r="H118" s="32" t="str">
        <f>IFERROR(__xludf.DUMMYFUNCTION("IFERROR(VALUE(REGEXEXTRACT(C118,""\d+\s*/\s*(\d+)"")),"""")"),"")</f>
        <v/>
      </c>
      <c r="I118" s="32" t="str">
        <f t="shared" si="2"/>
        <v/>
      </c>
      <c r="J118" s="33" t="str">
        <f t="shared" si="3"/>
        <v/>
      </c>
    </row>
    <row r="119" ht="15.75" customHeight="1">
      <c r="A119" s="22" t="s">
        <v>113</v>
      </c>
      <c r="B119" s="22" t="str">
        <f>IF(MOV_CC_NACIONAL!A119="","",MOV_CC_NACIONAL!A119)</f>
        <v/>
      </c>
      <c r="C119" s="22" t="str">
        <f>IF(MOV_CC_NACIONAL!B119="","",MOV_CC_NACIONAL!B119)</f>
        <v/>
      </c>
      <c r="D119" s="34" t="str">
        <f>IF(MOV_CC_NACIONAL!C119="","",MOV_CC_NACIONAL!C119)</f>
        <v/>
      </c>
      <c r="E119" s="22" t="str">
        <f t="shared" si="1"/>
        <v/>
      </c>
      <c r="F119" s="22" t="str">
        <f>IFERROR(__xludf.DUMMYFUNCTION("IF(C119="""","""", OR(REGEXMATCH(LOWER(C119),""cuota""), REGEXMATCH(C119,""\d+\s*/\s*\d+"")))"),"")</f>
        <v/>
      </c>
      <c r="G119" s="22" t="str">
        <f>IFERROR(__xludf.DUMMYFUNCTION("IFERROR(VALUE(REGEXEXTRACT(C119,""(\d+)\s*/\s*\d+"")),"""")"),"")</f>
        <v/>
      </c>
      <c r="H119" s="22" t="str">
        <f>IFERROR(__xludf.DUMMYFUNCTION("IFERROR(VALUE(REGEXEXTRACT(C119,""\d+\s*/\s*(\d+)"")),"""")"),"")</f>
        <v/>
      </c>
      <c r="I119" s="22" t="str">
        <f t="shared" si="2"/>
        <v/>
      </c>
      <c r="J119" s="34" t="str">
        <f t="shared" si="3"/>
        <v/>
      </c>
    </row>
    <row r="120" ht="15.75" customHeight="1">
      <c r="A120" s="32" t="s">
        <v>113</v>
      </c>
      <c r="B120" s="32" t="str">
        <f>IF(MOV_CC_NACIONAL!A120="","",MOV_CC_NACIONAL!A120)</f>
        <v/>
      </c>
      <c r="C120" s="32" t="str">
        <f>IF(MOV_CC_NACIONAL!B120="","",MOV_CC_NACIONAL!B120)</f>
        <v/>
      </c>
      <c r="D120" s="33" t="str">
        <f>IF(MOV_CC_NACIONAL!C120="","",MOV_CC_NACIONAL!C120)</f>
        <v/>
      </c>
      <c r="E120" s="32" t="str">
        <f t="shared" si="1"/>
        <v/>
      </c>
      <c r="F120" s="32" t="str">
        <f>IFERROR(__xludf.DUMMYFUNCTION("IF(C120="""","""", OR(REGEXMATCH(LOWER(C120),""cuota""), REGEXMATCH(C120,""\d+\s*/\s*\d+"")))"),"")</f>
        <v/>
      </c>
      <c r="G120" s="32" t="str">
        <f>IFERROR(__xludf.DUMMYFUNCTION("IFERROR(VALUE(REGEXEXTRACT(C120,""(\d+)\s*/\s*\d+"")),"""")"),"")</f>
        <v/>
      </c>
      <c r="H120" s="32" t="str">
        <f>IFERROR(__xludf.DUMMYFUNCTION("IFERROR(VALUE(REGEXEXTRACT(C120,""\d+\s*/\s*(\d+)"")),"""")"),"")</f>
        <v/>
      </c>
      <c r="I120" s="32" t="str">
        <f t="shared" si="2"/>
        <v/>
      </c>
      <c r="J120" s="33" t="str">
        <f t="shared" si="3"/>
        <v/>
      </c>
    </row>
    <row r="121" ht="15.75" customHeight="1">
      <c r="A121" s="22" t="s">
        <v>113</v>
      </c>
      <c r="B121" s="22" t="str">
        <f>IF(MOV_CC_NACIONAL!A121="","",MOV_CC_NACIONAL!A121)</f>
        <v/>
      </c>
      <c r="C121" s="22" t="str">
        <f>IF(MOV_CC_NACIONAL!B121="","",MOV_CC_NACIONAL!B121)</f>
        <v/>
      </c>
      <c r="D121" s="34" t="str">
        <f>IF(MOV_CC_NACIONAL!C121="","",MOV_CC_NACIONAL!C121)</f>
        <v/>
      </c>
      <c r="E121" s="22" t="str">
        <f t="shared" si="1"/>
        <v/>
      </c>
      <c r="F121" s="22" t="str">
        <f>IFERROR(__xludf.DUMMYFUNCTION("IF(C121="""","""", OR(REGEXMATCH(LOWER(C121),""cuota""), REGEXMATCH(C121,""\d+\s*/\s*\d+"")))"),"")</f>
        <v/>
      </c>
      <c r="G121" s="22" t="str">
        <f>IFERROR(__xludf.DUMMYFUNCTION("IFERROR(VALUE(REGEXEXTRACT(C121,""(\d+)\s*/\s*\d+"")),"""")"),"")</f>
        <v/>
      </c>
      <c r="H121" s="22" t="str">
        <f>IFERROR(__xludf.DUMMYFUNCTION("IFERROR(VALUE(REGEXEXTRACT(C121,""\d+\s*/\s*(\d+)"")),"""")"),"")</f>
        <v/>
      </c>
      <c r="I121" s="22" t="str">
        <f t="shared" si="2"/>
        <v/>
      </c>
      <c r="J121" s="34" t="str">
        <f t="shared" si="3"/>
        <v/>
      </c>
    </row>
    <row r="122" ht="15.75" customHeight="1">
      <c r="A122" s="32" t="s">
        <v>113</v>
      </c>
      <c r="B122" s="32" t="str">
        <f>IF(MOV_CC_NACIONAL!A122="","",MOV_CC_NACIONAL!A122)</f>
        <v/>
      </c>
      <c r="C122" s="32" t="str">
        <f>IF(MOV_CC_NACIONAL!B122="","",MOV_CC_NACIONAL!B122)</f>
        <v/>
      </c>
      <c r="D122" s="33" t="str">
        <f>IF(MOV_CC_NACIONAL!C122="","",MOV_CC_NACIONAL!C122)</f>
        <v/>
      </c>
      <c r="E122" s="32" t="str">
        <f t="shared" si="1"/>
        <v/>
      </c>
      <c r="F122" s="32" t="str">
        <f>IFERROR(__xludf.DUMMYFUNCTION("IF(C122="""","""", OR(REGEXMATCH(LOWER(C122),""cuota""), REGEXMATCH(C122,""\d+\s*/\s*\d+"")))"),"")</f>
        <v/>
      </c>
      <c r="G122" s="32" t="str">
        <f>IFERROR(__xludf.DUMMYFUNCTION("IFERROR(VALUE(REGEXEXTRACT(C122,""(\d+)\s*/\s*\d+"")),"""")"),"")</f>
        <v/>
      </c>
      <c r="H122" s="32" t="str">
        <f>IFERROR(__xludf.DUMMYFUNCTION("IFERROR(VALUE(REGEXEXTRACT(C122,""\d+\s*/\s*(\d+)"")),"""")"),"")</f>
        <v/>
      </c>
      <c r="I122" s="32" t="str">
        <f t="shared" si="2"/>
        <v/>
      </c>
      <c r="J122" s="33" t="str">
        <f t="shared" si="3"/>
        <v/>
      </c>
    </row>
    <row r="123" ht="15.75" customHeight="1">
      <c r="A123" s="22" t="s">
        <v>113</v>
      </c>
      <c r="B123" s="22" t="str">
        <f>IF(MOV_CC_NACIONAL!A123="","",MOV_CC_NACIONAL!A123)</f>
        <v/>
      </c>
      <c r="C123" s="22" t="str">
        <f>IF(MOV_CC_NACIONAL!B123="","",MOV_CC_NACIONAL!B123)</f>
        <v/>
      </c>
      <c r="D123" s="34" t="str">
        <f>IF(MOV_CC_NACIONAL!C123="","",MOV_CC_NACIONAL!C123)</f>
        <v/>
      </c>
      <c r="E123" s="22" t="str">
        <f t="shared" si="1"/>
        <v/>
      </c>
      <c r="F123" s="22" t="str">
        <f>IFERROR(__xludf.DUMMYFUNCTION("IF(C123="""","""", OR(REGEXMATCH(LOWER(C123),""cuota""), REGEXMATCH(C123,""\d+\s*/\s*\d+"")))"),"")</f>
        <v/>
      </c>
      <c r="G123" s="22" t="str">
        <f>IFERROR(__xludf.DUMMYFUNCTION("IFERROR(VALUE(REGEXEXTRACT(C123,""(\d+)\s*/\s*\d+"")),"""")"),"")</f>
        <v/>
      </c>
      <c r="H123" s="22" t="str">
        <f>IFERROR(__xludf.DUMMYFUNCTION("IFERROR(VALUE(REGEXEXTRACT(C123,""\d+\s*/\s*(\d+)"")),"""")"),"")</f>
        <v/>
      </c>
      <c r="I123" s="22" t="str">
        <f t="shared" si="2"/>
        <v/>
      </c>
      <c r="J123" s="34" t="str">
        <f t="shared" si="3"/>
        <v/>
      </c>
    </row>
    <row r="124" ht="15.75" customHeight="1">
      <c r="A124" s="32" t="s">
        <v>113</v>
      </c>
      <c r="B124" s="32" t="str">
        <f>IF(MOV_CC_NACIONAL!A124="","",MOV_CC_NACIONAL!A124)</f>
        <v/>
      </c>
      <c r="C124" s="32" t="str">
        <f>IF(MOV_CC_NACIONAL!B124="","",MOV_CC_NACIONAL!B124)</f>
        <v/>
      </c>
      <c r="D124" s="33" t="str">
        <f>IF(MOV_CC_NACIONAL!C124="","",MOV_CC_NACIONAL!C124)</f>
        <v/>
      </c>
      <c r="E124" s="32" t="str">
        <f t="shared" si="1"/>
        <v/>
      </c>
      <c r="F124" s="32" t="str">
        <f>IFERROR(__xludf.DUMMYFUNCTION("IF(C124="""","""", OR(REGEXMATCH(LOWER(C124),""cuota""), REGEXMATCH(C124,""\d+\s*/\s*\d+"")))"),"")</f>
        <v/>
      </c>
      <c r="G124" s="32" t="str">
        <f>IFERROR(__xludf.DUMMYFUNCTION("IFERROR(VALUE(REGEXEXTRACT(C124,""(\d+)\s*/\s*\d+"")),"""")"),"")</f>
        <v/>
      </c>
      <c r="H124" s="32" t="str">
        <f>IFERROR(__xludf.DUMMYFUNCTION("IFERROR(VALUE(REGEXEXTRACT(C124,""\d+\s*/\s*(\d+)"")),"""")"),"")</f>
        <v/>
      </c>
      <c r="I124" s="32" t="str">
        <f t="shared" si="2"/>
        <v/>
      </c>
      <c r="J124" s="33" t="str">
        <f t="shared" si="3"/>
        <v/>
      </c>
    </row>
    <row r="125" ht="15.75" customHeight="1">
      <c r="A125" s="22" t="s">
        <v>113</v>
      </c>
      <c r="B125" s="22" t="str">
        <f>IF(MOV_CC_NACIONAL!A125="","",MOV_CC_NACIONAL!A125)</f>
        <v/>
      </c>
      <c r="C125" s="22" t="str">
        <f>IF(MOV_CC_NACIONAL!B125="","",MOV_CC_NACIONAL!B125)</f>
        <v/>
      </c>
      <c r="D125" s="34" t="str">
        <f>IF(MOV_CC_NACIONAL!C125="","",MOV_CC_NACIONAL!C125)</f>
        <v/>
      </c>
      <c r="E125" s="22" t="str">
        <f t="shared" si="1"/>
        <v/>
      </c>
      <c r="F125" s="22" t="str">
        <f>IFERROR(__xludf.DUMMYFUNCTION("IF(C125="""","""", OR(REGEXMATCH(LOWER(C125),""cuota""), REGEXMATCH(C125,""\d+\s*/\s*\d+"")))"),"")</f>
        <v/>
      </c>
      <c r="G125" s="22" t="str">
        <f>IFERROR(__xludf.DUMMYFUNCTION("IFERROR(VALUE(REGEXEXTRACT(C125,""(\d+)\s*/\s*\d+"")),"""")"),"")</f>
        <v/>
      </c>
      <c r="H125" s="22" t="str">
        <f>IFERROR(__xludf.DUMMYFUNCTION("IFERROR(VALUE(REGEXEXTRACT(C125,""\d+\s*/\s*(\d+)"")),"""")"),"")</f>
        <v/>
      </c>
      <c r="I125" s="22" t="str">
        <f t="shared" si="2"/>
        <v/>
      </c>
      <c r="J125" s="34" t="str">
        <f t="shared" si="3"/>
        <v/>
      </c>
    </row>
    <row r="126" ht="15.75" customHeight="1">
      <c r="A126" s="32" t="s">
        <v>113</v>
      </c>
      <c r="B126" s="32" t="str">
        <f>IF(MOV_CC_NACIONAL!A126="","",MOV_CC_NACIONAL!A126)</f>
        <v/>
      </c>
      <c r="C126" s="32" t="str">
        <f>IF(MOV_CC_NACIONAL!B126="","",MOV_CC_NACIONAL!B126)</f>
        <v/>
      </c>
      <c r="D126" s="33" t="str">
        <f>IF(MOV_CC_NACIONAL!C126="","",MOV_CC_NACIONAL!C126)</f>
        <v/>
      </c>
      <c r="E126" s="32" t="str">
        <f t="shared" si="1"/>
        <v/>
      </c>
      <c r="F126" s="32" t="str">
        <f>IFERROR(__xludf.DUMMYFUNCTION("IF(C126="""","""", OR(REGEXMATCH(LOWER(C126),""cuota""), REGEXMATCH(C126,""\d+\s*/\s*\d+"")))"),"")</f>
        <v/>
      </c>
      <c r="G126" s="32" t="str">
        <f>IFERROR(__xludf.DUMMYFUNCTION("IFERROR(VALUE(REGEXEXTRACT(C126,""(\d+)\s*/\s*\d+"")),"""")"),"")</f>
        <v/>
      </c>
      <c r="H126" s="32" t="str">
        <f>IFERROR(__xludf.DUMMYFUNCTION("IFERROR(VALUE(REGEXEXTRACT(C126,""\d+\s*/\s*(\d+)"")),"""")"),"")</f>
        <v/>
      </c>
      <c r="I126" s="32" t="str">
        <f t="shared" si="2"/>
        <v/>
      </c>
      <c r="J126" s="33" t="str">
        <f t="shared" si="3"/>
        <v/>
      </c>
    </row>
    <row r="127" ht="15.75" customHeight="1">
      <c r="A127" s="22" t="s">
        <v>113</v>
      </c>
      <c r="B127" s="22" t="str">
        <f>IF(MOV_CC_NACIONAL!A127="","",MOV_CC_NACIONAL!A127)</f>
        <v/>
      </c>
      <c r="C127" s="22" t="str">
        <f>IF(MOV_CC_NACIONAL!B127="","",MOV_CC_NACIONAL!B127)</f>
        <v/>
      </c>
      <c r="D127" s="34" t="str">
        <f>IF(MOV_CC_NACIONAL!C127="","",MOV_CC_NACIONAL!C127)</f>
        <v/>
      </c>
      <c r="E127" s="22" t="str">
        <f t="shared" si="1"/>
        <v/>
      </c>
      <c r="F127" s="22" t="str">
        <f>IFERROR(__xludf.DUMMYFUNCTION("IF(C127="""","""", OR(REGEXMATCH(LOWER(C127),""cuota""), REGEXMATCH(C127,""\d+\s*/\s*\d+"")))"),"")</f>
        <v/>
      </c>
      <c r="G127" s="22" t="str">
        <f>IFERROR(__xludf.DUMMYFUNCTION("IFERROR(VALUE(REGEXEXTRACT(C127,""(\d+)\s*/\s*\d+"")),"""")"),"")</f>
        <v/>
      </c>
      <c r="H127" s="22" t="str">
        <f>IFERROR(__xludf.DUMMYFUNCTION("IFERROR(VALUE(REGEXEXTRACT(C127,""\d+\s*/\s*(\d+)"")),"""")"),"")</f>
        <v/>
      </c>
      <c r="I127" s="22" t="str">
        <f t="shared" si="2"/>
        <v/>
      </c>
      <c r="J127" s="34" t="str">
        <f t="shared" si="3"/>
        <v/>
      </c>
    </row>
    <row r="128" ht="15.75" customHeight="1">
      <c r="A128" s="32" t="s">
        <v>113</v>
      </c>
      <c r="B128" s="32" t="str">
        <f>IF(MOV_CC_NACIONAL!A128="","",MOV_CC_NACIONAL!A128)</f>
        <v/>
      </c>
      <c r="C128" s="32" t="str">
        <f>IF(MOV_CC_NACIONAL!B128="","",MOV_CC_NACIONAL!B128)</f>
        <v/>
      </c>
      <c r="D128" s="33" t="str">
        <f>IF(MOV_CC_NACIONAL!C128="","",MOV_CC_NACIONAL!C128)</f>
        <v/>
      </c>
      <c r="E128" s="32" t="str">
        <f t="shared" si="1"/>
        <v/>
      </c>
      <c r="F128" s="32" t="str">
        <f>IFERROR(__xludf.DUMMYFUNCTION("IF(C128="""","""", OR(REGEXMATCH(LOWER(C128),""cuota""), REGEXMATCH(C128,""\d+\s*/\s*\d+"")))"),"")</f>
        <v/>
      </c>
      <c r="G128" s="32" t="str">
        <f>IFERROR(__xludf.DUMMYFUNCTION("IFERROR(VALUE(REGEXEXTRACT(C128,""(\d+)\s*/\s*\d+"")),"""")"),"")</f>
        <v/>
      </c>
      <c r="H128" s="32" t="str">
        <f>IFERROR(__xludf.DUMMYFUNCTION("IFERROR(VALUE(REGEXEXTRACT(C128,""\d+\s*/\s*(\d+)"")),"""")"),"")</f>
        <v/>
      </c>
      <c r="I128" s="32" t="str">
        <f t="shared" si="2"/>
        <v/>
      </c>
      <c r="J128" s="33" t="str">
        <f t="shared" si="3"/>
        <v/>
      </c>
    </row>
    <row r="129" ht="15.75" customHeight="1">
      <c r="A129" s="22" t="s">
        <v>113</v>
      </c>
      <c r="B129" s="22" t="str">
        <f>IF(MOV_CC_NACIONAL!A129="","",MOV_CC_NACIONAL!A129)</f>
        <v/>
      </c>
      <c r="C129" s="22" t="str">
        <f>IF(MOV_CC_NACIONAL!B129="","",MOV_CC_NACIONAL!B129)</f>
        <v/>
      </c>
      <c r="D129" s="34" t="str">
        <f>IF(MOV_CC_NACIONAL!C129="","",MOV_CC_NACIONAL!C129)</f>
        <v/>
      </c>
      <c r="E129" s="22" t="str">
        <f t="shared" si="1"/>
        <v/>
      </c>
      <c r="F129" s="22" t="str">
        <f>IFERROR(__xludf.DUMMYFUNCTION("IF(C129="""","""", OR(REGEXMATCH(LOWER(C129),""cuota""), REGEXMATCH(C129,""\d+\s*/\s*\d+"")))"),"")</f>
        <v/>
      </c>
      <c r="G129" s="22" t="str">
        <f>IFERROR(__xludf.DUMMYFUNCTION("IFERROR(VALUE(REGEXEXTRACT(C129,""(\d+)\s*/\s*\d+"")),"""")"),"")</f>
        <v/>
      </c>
      <c r="H129" s="22" t="str">
        <f>IFERROR(__xludf.DUMMYFUNCTION("IFERROR(VALUE(REGEXEXTRACT(C129,""\d+\s*/\s*(\d+)"")),"""")"),"")</f>
        <v/>
      </c>
      <c r="I129" s="22" t="str">
        <f t="shared" si="2"/>
        <v/>
      </c>
      <c r="J129" s="34" t="str">
        <f t="shared" si="3"/>
        <v/>
      </c>
    </row>
    <row r="130" ht="15.75" customHeight="1">
      <c r="A130" s="32" t="s">
        <v>113</v>
      </c>
      <c r="B130" s="32" t="str">
        <f>IF(MOV_CC_NACIONAL!A130="","",MOV_CC_NACIONAL!A130)</f>
        <v/>
      </c>
      <c r="C130" s="32" t="str">
        <f>IF(MOV_CC_NACIONAL!B130="","",MOV_CC_NACIONAL!B130)</f>
        <v/>
      </c>
      <c r="D130" s="33" t="str">
        <f>IF(MOV_CC_NACIONAL!C130="","",MOV_CC_NACIONAL!C130)</f>
        <v/>
      </c>
      <c r="E130" s="32" t="str">
        <f t="shared" si="1"/>
        <v/>
      </c>
      <c r="F130" s="32" t="str">
        <f>IFERROR(__xludf.DUMMYFUNCTION("IF(C130="""","""", OR(REGEXMATCH(LOWER(C130),""cuota""), REGEXMATCH(C130,""\d+\s*/\s*\d+"")))"),"")</f>
        <v/>
      </c>
      <c r="G130" s="32" t="str">
        <f>IFERROR(__xludf.DUMMYFUNCTION("IFERROR(VALUE(REGEXEXTRACT(C130,""(\d+)\s*/\s*\d+"")),"""")"),"")</f>
        <v/>
      </c>
      <c r="H130" s="32" t="str">
        <f>IFERROR(__xludf.DUMMYFUNCTION("IFERROR(VALUE(REGEXEXTRACT(C130,""\d+\s*/\s*(\d+)"")),"""")"),"")</f>
        <v/>
      </c>
      <c r="I130" s="32" t="str">
        <f t="shared" si="2"/>
        <v/>
      </c>
      <c r="J130" s="33" t="str">
        <f t="shared" si="3"/>
        <v/>
      </c>
    </row>
    <row r="131" ht="15.75" customHeight="1">
      <c r="A131" s="22" t="s">
        <v>113</v>
      </c>
      <c r="B131" s="22" t="str">
        <f>IF(MOV_CC_NACIONAL!A131="","",MOV_CC_NACIONAL!A131)</f>
        <v/>
      </c>
      <c r="C131" s="22" t="str">
        <f>IF(MOV_CC_NACIONAL!B131="","",MOV_CC_NACIONAL!B131)</f>
        <v/>
      </c>
      <c r="D131" s="34" t="str">
        <f>IF(MOV_CC_NACIONAL!C131="","",MOV_CC_NACIONAL!C131)</f>
        <v/>
      </c>
      <c r="E131" s="22" t="str">
        <f t="shared" si="1"/>
        <v/>
      </c>
      <c r="F131" s="22" t="str">
        <f>IFERROR(__xludf.DUMMYFUNCTION("IF(C131="""","""", OR(REGEXMATCH(LOWER(C131),""cuota""), REGEXMATCH(C131,""\d+\s*/\s*\d+"")))"),"")</f>
        <v/>
      </c>
      <c r="G131" s="22" t="str">
        <f>IFERROR(__xludf.DUMMYFUNCTION("IFERROR(VALUE(REGEXEXTRACT(C131,""(\d+)\s*/\s*\d+"")),"""")"),"")</f>
        <v/>
      </c>
      <c r="H131" s="22" t="str">
        <f>IFERROR(__xludf.DUMMYFUNCTION("IFERROR(VALUE(REGEXEXTRACT(C131,""\d+\s*/\s*(\d+)"")),"""")"),"")</f>
        <v/>
      </c>
      <c r="I131" s="22" t="str">
        <f t="shared" si="2"/>
        <v/>
      </c>
      <c r="J131" s="34" t="str">
        <f t="shared" si="3"/>
        <v/>
      </c>
    </row>
    <row r="132" ht="15.75" customHeight="1">
      <c r="A132" s="32" t="s">
        <v>113</v>
      </c>
      <c r="B132" s="32" t="str">
        <f>IF(MOV_CC_NACIONAL!A132="","",MOV_CC_NACIONAL!A132)</f>
        <v/>
      </c>
      <c r="C132" s="32" t="str">
        <f>IF(MOV_CC_NACIONAL!B132="","",MOV_CC_NACIONAL!B132)</f>
        <v/>
      </c>
      <c r="D132" s="33" t="str">
        <f>IF(MOV_CC_NACIONAL!C132="","",MOV_CC_NACIONAL!C132)</f>
        <v/>
      </c>
      <c r="E132" s="32" t="str">
        <f t="shared" si="1"/>
        <v/>
      </c>
      <c r="F132" s="32" t="str">
        <f>IFERROR(__xludf.DUMMYFUNCTION("IF(C132="""","""", OR(REGEXMATCH(LOWER(C132),""cuota""), REGEXMATCH(C132,""\d+\s*/\s*\d+"")))"),"")</f>
        <v/>
      </c>
      <c r="G132" s="32" t="str">
        <f>IFERROR(__xludf.DUMMYFUNCTION("IFERROR(VALUE(REGEXEXTRACT(C132,""(\d+)\s*/\s*\d+"")),"""")"),"")</f>
        <v/>
      </c>
      <c r="H132" s="32" t="str">
        <f>IFERROR(__xludf.DUMMYFUNCTION("IFERROR(VALUE(REGEXEXTRACT(C132,""\d+\s*/\s*(\d+)"")),"""")"),"")</f>
        <v/>
      </c>
      <c r="I132" s="32" t="str">
        <f t="shared" si="2"/>
        <v/>
      </c>
      <c r="J132" s="33" t="str">
        <f t="shared" si="3"/>
        <v/>
      </c>
    </row>
    <row r="133" ht="15.75" customHeight="1">
      <c r="A133" s="22" t="s">
        <v>113</v>
      </c>
      <c r="B133" s="22" t="str">
        <f>IF(MOV_CC_NACIONAL!A133="","",MOV_CC_NACIONAL!A133)</f>
        <v/>
      </c>
      <c r="C133" s="22" t="str">
        <f>IF(MOV_CC_NACIONAL!B133="","",MOV_CC_NACIONAL!B133)</f>
        <v/>
      </c>
      <c r="D133" s="34" t="str">
        <f>IF(MOV_CC_NACIONAL!C133="","",MOV_CC_NACIONAL!C133)</f>
        <v/>
      </c>
      <c r="E133" s="22" t="str">
        <f t="shared" si="1"/>
        <v/>
      </c>
      <c r="F133" s="22" t="str">
        <f>IFERROR(__xludf.DUMMYFUNCTION("IF(C133="""","""", OR(REGEXMATCH(LOWER(C133),""cuota""), REGEXMATCH(C133,""\d+\s*/\s*\d+"")))"),"")</f>
        <v/>
      </c>
      <c r="G133" s="22" t="str">
        <f>IFERROR(__xludf.DUMMYFUNCTION("IFERROR(VALUE(REGEXEXTRACT(C133,""(\d+)\s*/\s*\d+"")),"""")"),"")</f>
        <v/>
      </c>
      <c r="H133" s="22" t="str">
        <f>IFERROR(__xludf.DUMMYFUNCTION("IFERROR(VALUE(REGEXEXTRACT(C133,""\d+\s*/\s*(\d+)"")),"""")"),"")</f>
        <v/>
      </c>
      <c r="I133" s="22" t="str">
        <f t="shared" si="2"/>
        <v/>
      </c>
      <c r="J133" s="34" t="str">
        <f t="shared" si="3"/>
        <v/>
      </c>
    </row>
    <row r="134" ht="15.75" customHeight="1">
      <c r="A134" s="32" t="s">
        <v>113</v>
      </c>
      <c r="B134" s="32" t="str">
        <f>IF(MOV_CC_NACIONAL!A134="","",MOV_CC_NACIONAL!A134)</f>
        <v/>
      </c>
      <c r="C134" s="32" t="str">
        <f>IF(MOV_CC_NACIONAL!B134="","",MOV_CC_NACIONAL!B134)</f>
        <v/>
      </c>
      <c r="D134" s="33" t="str">
        <f>IF(MOV_CC_NACIONAL!C134="","",MOV_CC_NACIONAL!C134)</f>
        <v/>
      </c>
      <c r="E134" s="32" t="str">
        <f t="shared" si="1"/>
        <v/>
      </c>
      <c r="F134" s="32" t="str">
        <f>IFERROR(__xludf.DUMMYFUNCTION("IF(C134="""","""", OR(REGEXMATCH(LOWER(C134),""cuota""), REGEXMATCH(C134,""\d+\s*/\s*\d+"")))"),"")</f>
        <v/>
      </c>
      <c r="G134" s="32" t="str">
        <f>IFERROR(__xludf.DUMMYFUNCTION("IFERROR(VALUE(REGEXEXTRACT(C134,""(\d+)\s*/\s*\d+"")),"""")"),"")</f>
        <v/>
      </c>
      <c r="H134" s="32" t="str">
        <f>IFERROR(__xludf.DUMMYFUNCTION("IFERROR(VALUE(REGEXEXTRACT(C134,""\d+\s*/\s*(\d+)"")),"""")"),"")</f>
        <v/>
      </c>
      <c r="I134" s="32" t="str">
        <f t="shared" si="2"/>
        <v/>
      </c>
      <c r="J134" s="33" t="str">
        <f t="shared" si="3"/>
        <v/>
      </c>
    </row>
    <row r="135" ht="15.75" customHeight="1">
      <c r="A135" s="22" t="s">
        <v>113</v>
      </c>
      <c r="B135" s="22" t="str">
        <f>IF(MOV_CC_NACIONAL!A135="","",MOV_CC_NACIONAL!A135)</f>
        <v/>
      </c>
      <c r="C135" s="22" t="str">
        <f>IF(MOV_CC_NACIONAL!B135="","",MOV_CC_NACIONAL!B135)</f>
        <v/>
      </c>
      <c r="D135" s="34" t="str">
        <f>IF(MOV_CC_NACIONAL!C135="","",MOV_CC_NACIONAL!C135)</f>
        <v/>
      </c>
      <c r="E135" s="22" t="str">
        <f t="shared" si="1"/>
        <v/>
      </c>
      <c r="F135" s="22" t="str">
        <f>IFERROR(__xludf.DUMMYFUNCTION("IF(C135="""","""", OR(REGEXMATCH(LOWER(C135),""cuota""), REGEXMATCH(C135,""\d+\s*/\s*\d+"")))"),"")</f>
        <v/>
      </c>
      <c r="G135" s="22" t="str">
        <f>IFERROR(__xludf.DUMMYFUNCTION("IFERROR(VALUE(REGEXEXTRACT(C135,""(\d+)\s*/\s*\d+"")),"""")"),"")</f>
        <v/>
      </c>
      <c r="H135" s="22" t="str">
        <f>IFERROR(__xludf.DUMMYFUNCTION("IFERROR(VALUE(REGEXEXTRACT(C135,""\d+\s*/\s*(\d+)"")),"""")"),"")</f>
        <v/>
      </c>
      <c r="I135" s="22" t="str">
        <f t="shared" si="2"/>
        <v/>
      </c>
      <c r="J135" s="34" t="str">
        <f t="shared" si="3"/>
        <v/>
      </c>
    </row>
    <row r="136" ht="15.75" customHeight="1">
      <c r="A136" s="32" t="s">
        <v>113</v>
      </c>
      <c r="B136" s="32" t="str">
        <f>IF(MOV_CC_NACIONAL!A136="","",MOV_CC_NACIONAL!A136)</f>
        <v/>
      </c>
      <c r="C136" s="32" t="str">
        <f>IF(MOV_CC_NACIONAL!B136="","",MOV_CC_NACIONAL!B136)</f>
        <v/>
      </c>
      <c r="D136" s="33" t="str">
        <f>IF(MOV_CC_NACIONAL!C136="","",MOV_CC_NACIONAL!C136)</f>
        <v/>
      </c>
      <c r="E136" s="32" t="str">
        <f t="shared" si="1"/>
        <v/>
      </c>
      <c r="F136" s="32" t="str">
        <f>IFERROR(__xludf.DUMMYFUNCTION("IF(C136="""","""", OR(REGEXMATCH(LOWER(C136),""cuota""), REGEXMATCH(C136,""\d+\s*/\s*\d+"")))"),"")</f>
        <v/>
      </c>
      <c r="G136" s="32" t="str">
        <f>IFERROR(__xludf.DUMMYFUNCTION("IFERROR(VALUE(REGEXEXTRACT(C136,""(\d+)\s*/\s*\d+"")),"""")"),"")</f>
        <v/>
      </c>
      <c r="H136" s="32" t="str">
        <f>IFERROR(__xludf.DUMMYFUNCTION("IFERROR(VALUE(REGEXEXTRACT(C136,""\d+\s*/\s*(\d+)"")),"""")"),"")</f>
        <v/>
      </c>
      <c r="I136" s="32" t="str">
        <f t="shared" si="2"/>
        <v/>
      </c>
      <c r="J136" s="33" t="str">
        <f t="shared" si="3"/>
        <v/>
      </c>
    </row>
    <row r="137" ht="15.75" customHeight="1">
      <c r="A137" s="22" t="s">
        <v>113</v>
      </c>
      <c r="B137" s="22" t="str">
        <f>IF(MOV_CC_NACIONAL!A137="","",MOV_CC_NACIONAL!A137)</f>
        <v/>
      </c>
      <c r="C137" s="22" t="str">
        <f>IF(MOV_CC_NACIONAL!B137="","",MOV_CC_NACIONAL!B137)</f>
        <v/>
      </c>
      <c r="D137" s="34" t="str">
        <f>IF(MOV_CC_NACIONAL!C137="","",MOV_CC_NACIONAL!C137)</f>
        <v/>
      </c>
      <c r="E137" s="22" t="str">
        <f t="shared" si="1"/>
        <v/>
      </c>
      <c r="F137" s="22" t="str">
        <f>IFERROR(__xludf.DUMMYFUNCTION("IF(C137="""","""", OR(REGEXMATCH(LOWER(C137),""cuota""), REGEXMATCH(C137,""\d+\s*/\s*\d+"")))"),"")</f>
        <v/>
      </c>
      <c r="G137" s="22" t="str">
        <f>IFERROR(__xludf.DUMMYFUNCTION("IFERROR(VALUE(REGEXEXTRACT(C137,""(\d+)\s*/\s*\d+"")),"""")"),"")</f>
        <v/>
      </c>
      <c r="H137" s="22" t="str">
        <f>IFERROR(__xludf.DUMMYFUNCTION("IFERROR(VALUE(REGEXEXTRACT(C137,""\d+\s*/\s*(\d+)"")),"""")"),"")</f>
        <v/>
      </c>
      <c r="I137" s="22" t="str">
        <f t="shared" si="2"/>
        <v/>
      </c>
      <c r="J137" s="34" t="str">
        <f t="shared" si="3"/>
        <v/>
      </c>
    </row>
    <row r="138" ht="15.75" customHeight="1">
      <c r="A138" s="32" t="s">
        <v>113</v>
      </c>
      <c r="B138" s="32" t="str">
        <f>IF(MOV_CC_NACIONAL!A138="","",MOV_CC_NACIONAL!A138)</f>
        <v/>
      </c>
      <c r="C138" s="32" t="str">
        <f>IF(MOV_CC_NACIONAL!B138="","",MOV_CC_NACIONAL!B138)</f>
        <v/>
      </c>
      <c r="D138" s="33" t="str">
        <f>IF(MOV_CC_NACIONAL!C138="","",MOV_CC_NACIONAL!C138)</f>
        <v/>
      </c>
      <c r="E138" s="32" t="str">
        <f t="shared" si="1"/>
        <v/>
      </c>
      <c r="F138" s="32" t="str">
        <f>IFERROR(__xludf.DUMMYFUNCTION("IF(C138="""","""", OR(REGEXMATCH(LOWER(C138),""cuota""), REGEXMATCH(C138,""\d+\s*/\s*\d+"")))"),"")</f>
        <v/>
      </c>
      <c r="G138" s="32" t="str">
        <f>IFERROR(__xludf.DUMMYFUNCTION("IFERROR(VALUE(REGEXEXTRACT(C138,""(\d+)\s*/\s*\d+"")),"""")"),"")</f>
        <v/>
      </c>
      <c r="H138" s="32" t="str">
        <f>IFERROR(__xludf.DUMMYFUNCTION("IFERROR(VALUE(REGEXEXTRACT(C138,""\d+\s*/\s*(\d+)"")),"""")"),"")</f>
        <v/>
      </c>
      <c r="I138" s="32" t="str">
        <f t="shared" si="2"/>
        <v/>
      </c>
      <c r="J138" s="33" t="str">
        <f t="shared" si="3"/>
        <v/>
      </c>
    </row>
    <row r="139" ht="15.75" customHeight="1">
      <c r="A139" s="22" t="s">
        <v>113</v>
      </c>
      <c r="B139" s="22" t="str">
        <f>IF(MOV_CC_NACIONAL!A139="","",MOV_CC_NACIONAL!A139)</f>
        <v/>
      </c>
      <c r="C139" s="22" t="str">
        <f>IF(MOV_CC_NACIONAL!B139="","",MOV_CC_NACIONAL!B139)</f>
        <v/>
      </c>
      <c r="D139" s="34" t="str">
        <f>IF(MOV_CC_NACIONAL!C139="","",MOV_CC_NACIONAL!C139)</f>
        <v/>
      </c>
      <c r="E139" s="22" t="str">
        <f t="shared" si="1"/>
        <v/>
      </c>
      <c r="F139" s="22" t="str">
        <f>IFERROR(__xludf.DUMMYFUNCTION("IF(C139="""","""", OR(REGEXMATCH(LOWER(C139),""cuota""), REGEXMATCH(C139,""\d+\s*/\s*\d+"")))"),"")</f>
        <v/>
      </c>
      <c r="G139" s="22" t="str">
        <f>IFERROR(__xludf.DUMMYFUNCTION("IFERROR(VALUE(REGEXEXTRACT(C139,""(\d+)\s*/\s*\d+"")),"""")"),"")</f>
        <v/>
      </c>
      <c r="H139" s="22" t="str">
        <f>IFERROR(__xludf.DUMMYFUNCTION("IFERROR(VALUE(REGEXEXTRACT(C139,""\d+\s*/\s*(\d+)"")),"""")"),"")</f>
        <v/>
      </c>
      <c r="I139" s="22" t="str">
        <f t="shared" si="2"/>
        <v/>
      </c>
      <c r="J139" s="34" t="str">
        <f t="shared" si="3"/>
        <v/>
      </c>
    </row>
    <row r="140" ht="15.75" customHeight="1">
      <c r="A140" s="32" t="s">
        <v>113</v>
      </c>
      <c r="B140" s="32" t="str">
        <f>IF(MOV_CC_NACIONAL!A140="","",MOV_CC_NACIONAL!A140)</f>
        <v/>
      </c>
      <c r="C140" s="32" t="str">
        <f>IF(MOV_CC_NACIONAL!B140="","",MOV_CC_NACIONAL!B140)</f>
        <v/>
      </c>
      <c r="D140" s="33" t="str">
        <f>IF(MOV_CC_NACIONAL!C140="","",MOV_CC_NACIONAL!C140)</f>
        <v/>
      </c>
      <c r="E140" s="32" t="str">
        <f t="shared" si="1"/>
        <v/>
      </c>
      <c r="F140" s="32" t="str">
        <f>IFERROR(__xludf.DUMMYFUNCTION("IF(C140="""","""", OR(REGEXMATCH(LOWER(C140),""cuota""), REGEXMATCH(C140,""\d+\s*/\s*\d+"")))"),"")</f>
        <v/>
      </c>
      <c r="G140" s="32" t="str">
        <f>IFERROR(__xludf.DUMMYFUNCTION("IFERROR(VALUE(REGEXEXTRACT(C140,""(\d+)\s*/\s*\d+"")),"""")"),"")</f>
        <v/>
      </c>
      <c r="H140" s="32" t="str">
        <f>IFERROR(__xludf.DUMMYFUNCTION("IFERROR(VALUE(REGEXEXTRACT(C140,""\d+\s*/\s*(\d+)"")),"""")"),"")</f>
        <v/>
      </c>
      <c r="I140" s="32" t="str">
        <f t="shared" si="2"/>
        <v/>
      </c>
      <c r="J140" s="33" t="str">
        <f t="shared" si="3"/>
        <v/>
      </c>
    </row>
    <row r="141" ht="15.75" customHeight="1">
      <c r="A141" s="22" t="s">
        <v>113</v>
      </c>
      <c r="B141" s="22" t="str">
        <f>IF(MOV_CC_NACIONAL!A141="","",MOV_CC_NACIONAL!A141)</f>
        <v/>
      </c>
      <c r="C141" s="22" t="str">
        <f>IF(MOV_CC_NACIONAL!B141="","",MOV_CC_NACIONAL!B141)</f>
        <v/>
      </c>
      <c r="D141" s="34" t="str">
        <f>IF(MOV_CC_NACIONAL!C141="","",MOV_CC_NACIONAL!C141)</f>
        <v/>
      </c>
      <c r="E141" s="22" t="str">
        <f t="shared" si="1"/>
        <v/>
      </c>
      <c r="F141" s="22" t="str">
        <f>IFERROR(__xludf.DUMMYFUNCTION("IF(C141="""","""", OR(REGEXMATCH(LOWER(C141),""cuota""), REGEXMATCH(C141,""\d+\s*/\s*\d+"")))"),"")</f>
        <v/>
      </c>
      <c r="G141" s="22" t="str">
        <f>IFERROR(__xludf.DUMMYFUNCTION("IFERROR(VALUE(REGEXEXTRACT(C141,""(\d+)\s*/\s*\d+"")),"""")"),"")</f>
        <v/>
      </c>
      <c r="H141" s="22" t="str">
        <f>IFERROR(__xludf.DUMMYFUNCTION("IFERROR(VALUE(REGEXEXTRACT(C141,""\d+\s*/\s*(\d+)"")),"""")"),"")</f>
        <v/>
      </c>
      <c r="I141" s="22" t="str">
        <f t="shared" si="2"/>
        <v/>
      </c>
      <c r="J141" s="34" t="str">
        <f t="shared" si="3"/>
        <v/>
      </c>
    </row>
    <row r="142" ht="15.75" customHeight="1">
      <c r="A142" s="32" t="s">
        <v>113</v>
      </c>
      <c r="B142" s="32" t="str">
        <f>IF(MOV_CC_NACIONAL!A142="","",MOV_CC_NACIONAL!A142)</f>
        <v/>
      </c>
      <c r="C142" s="32" t="str">
        <f>IF(MOV_CC_NACIONAL!B142="","",MOV_CC_NACIONAL!B142)</f>
        <v/>
      </c>
      <c r="D142" s="33" t="str">
        <f>IF(MOV_CC_NACIONAL!C142="","",MOV_CC_NACIONAL!C142)</f>
        <v/>
      </c>
      <c r="E142" s="32" t="str">
        <f t="shared" si="1"/>
        <v/>
      </c>
      <c r="F142" s="32" t="str">
        <f>IFERROR(__xludf.DUMMYFUNCTION("IF(C142="""","""", OR(REGEXMATCH(LOWER(C142),""cuota""), REGEXMATCH(C142,""\d+\s*/\s*\d+"")))"),"")</f>
        <v/>
      </c>
      <c r="G142" s="32" t="str">
        <f>IFERROR(__xludf.DUMMYFUNCTION("IFERROR(VALUE(REGEXEXTRACT(C142,""(\d+)\s*/\s*\d+"")),"""")"),"")</f>
        <v/>
      </c>
      <c r="H142" s="32" t="str">
        <f>IFERROR(__xludf.DUMMYFUNCTION("IFERROR(VALUE(REGEXEXTRACT(C142,""\d+\s*/\s*(\d+)"")),"""")"),"")</f>
        <v/>
      </c>
      <c r="I142" s="32" t="str">
        <f t="shared" si="2"/>
        <v/>
      </c>
      <c r="J142" s="33" t="str">
        <f t="shared" si="3"/>
        <v/>
      </c>
    </row>
    <row r="143" ht="15.75" customHeight="1">
      <c r="A143" s="22" t="s">
        <v>113</v>
      </c>
      <c r="B143" s="22" t="str">
        <f>IF(MOV_CC_NACIONAL!A143="","",MOV_CC_NACIONAL!A143)</f>
        <v/>
      </c>
      <c r="C143" s="22" t="str">
        <f>IF(MOV_CC_NACIONAL!B143="","",MOV_CC_NACIONAL!B143)</f>
        <v/>
      </c>
      <c r="D143" s="34" t="str">
        <f>IF(MOV_CC_NACIONAL!C143="","",MOV_CC_NACIONAL!C143)</f>
        <v/>
      </c>
      <c r="E143" s="22" t="str">
        <f t="shared" si="1"/>
        <v/>
      </c>
      <c r="F143" s="22" t="str">
        <f>IFERROR(__xludf.DUMMYFUNCTION("IF(C143="""","""", OR(REGEXMATCH(LOWER(C143),""cuota""), REGEXMATCH(C143,""\d+\s*/\s*\d+"")))"),"")</f>
        <v/>
      </c>
      <c r="G143" s="22" t="str">
        <f>IFERROR(__xludf.DUMMYFUNCTION("IFERROR(VALUE(REGEXEXTRACT(C143,""(\d+)\s*/\s*\d+"")),"""")"),"")</f>
        <v/>
      </c>
      <c r="H143" s="22" t="str">
        <f>IFERROR(__xludf.DUMMYFUNCTION("IFERROR(VALUE(REGEXEXTRACT(C143,""\d+\s*/\s*(\d+)"")),"""")"),"")</f>
        <v/>
      </c>
      <c r="I143" s="22" t="str">
        <f t="shared" si="2"/>
        <v/>
      </c>
      <c r="J143" s="34" t="str">
        <f t="shared" si="3"/>
        <v/>
      </c>
    </row>
    <row r="144" ht="15.75" customHeight="1">
      <c r="A144" s="32" t="s">
        <v>113</v>
      </c>
      <c r="B144" s="32" t="str">
        <f>IF(MOV_CC_NACIONAL!A144="","",MOV_CC_NACIONAL!A144)</f>
        <v/>
      </c>
      <c r="C144" s="32" t="str">
        <f>IF(MOV_CC_NACIONAL!B144="","",MOV_CC_NACIONAL!B144)</f>
        <v/>
      </c>
      <c r="D144" s="33" t="str">
        <f>IF(MOV_CC_NACIONAL!C144="","",MOV_CC_NACIONAL!C144)</f>
        <v/>
      </c>
      <c r="E144" s="32" t="str">
        <f t="shared" si="1"/>
        <v/>
      </c>
      <c r="F144" s="32" t="str">
        <f>IFERROR(__xludf.DUMMYFUNCTION("IF(C144="""","""", OR(REGEXMATCH(LOWER(C144),""cuota""), REGEXMATCH(C144,""\d+\s*/\s*\d+"")))"),"")</f>
        <v/>
      </c>
      <c r="G144" s="32" t="str">
        <f>IFERROR(__xludf.DUMMYFUNCTION("IFERROR(VALUE(REGEXEXTRACT(C144,""(\d+)\s*/\s*\d+"")),"""")"),"")</f>
        <v/>
      </c>
      <c r="H144" s="32" t="str">
        <f>IFERROR(__xludf.DUMMYFUNCTION("IFERROR(VALUE(REGEXEXTRACT(C144,""\d+\s*/\s*(\d+)"")),"""")"),"")</f>
        <v/>
      </c>
      <c r="I144" s="32" t="str">
        <f t="shared" si="2"/>
        <v/>
      </c>
      <c r="J144" s="33" t="str">
        <f t="shared" si="3"/>
        <v/>
      </c>
    </row>
    <row r="145" ht="15.75" customHeight="1">
      <c r="A145" s="22" t="s">
        <v>113</v>
      </c>
      <c r="B145" s="22" t="str">
        <f>IF(MOV_CC_NACIONAL!A145="","",MOV_CC_NACIONAL!A145)</f>
        <v/>
      </c>
      <c r="C145" s="22" t="str">
        <f>IF(MOV_CC_NACIONAL!B145="","",MOV_CC_NACIONAL!B145)</f>
        <v/>
      </c>
      <c r="D145" s="34" t="str">
        <f>IF(MOV_CC_NACIONAL!C145="","",MOV_CC_NACIONAL!C145)</f>
        <v/>
      </c>
      <c r="E145" s="22" t="str">
        <f t="shared" si="1"/>
        <v/>
      </c>
      <c r="F145" s="22" t="str">
        <f>IFERROR(__xludf.DUMMYFUNCTION("IF(C145="""","""", OR(REGEXMATCH(LOWER(C145),""cuota""), REGEXMATCH(C145,""\d+\s*/\s*\d+"")))"),"")</f>
        <v/>
      </c>
      <c r="G145" s="22" t="str">
        <f>IFERROR(__xludf.DUMMYFUNCTION("IFERROR(VALUE(REGEXEXTRACT(C145,""(\d+)\s*/\s*\d+"")),"""")"),"")</f>
        <v/>
      </c>
      <c r="H145" s="22" t="str">
        <f>IFERROR(__xludf.DUMMYFUNCTION("IFERROR(VALUE(REGEXEXTRACT(C145,""\d+\s*/\s*(\d+)"")),"""")"),"")</f>
        <v/>
      </c>
      <c r="I145" s="22" t="str">
        <f t="shared" si="2"/>
        <v/>
      </c>
      <c r="J145" s="34" t="str">
        <f t="shared" si="3"/>
        <v/>
      </c>
    </row>
    <row r="146" ht="15.75" customHeight="1">
      <c r="A146" s="32" t="s">
        <v>113</v>
      </c>
      <c r="B146" s="32" t="str">
        <f>IF(MOV_CC_NACIONAL!A146="","",MOV_CC_NACIONAL!A146)</f>
        <v/>
      </c>
      <c r="C146" s="32" t="str">
        <f>IF(MOV_CC_NACIONAL!B146="","",MOV_CC_NACIONAL!B146)</f>
        <v/>
      </c>
      <c r="D146" s="33" t="str">
        <f>IF(MOV_CC_NACIONAL!C146="","",MOV_CC_NACIONAL!C146)</f>
        <v/>
      </c>
      <c r="E146" s="32" t="str">
        <f t="shared" si="1"/>
        <v/>
      </c>
      <c r="F146" s="32" t="str">
        <f>IFERROR(__xludf.DUMMYFUNCTION("IF(C146="""","""", OR(REGEXMATCH(LOWER(C146),""cuota""), REGEXMATCH(C146,""\d+\s*/\s*\d+"")))"),"")</f>
        <v/>
      </c>
      <c r="G146" s="32" t="str">
        <f>IFERROR(__xludf.DUMMYFUNCTION("IFERROR(VALUE(REGEXEXTRACT(C146,""(\d+)\s*/\s*\d+"")),"""")"),"")</f>
        <v/>
      </c>
      <c r="H146" s="32" t="str">
        <f>IFERROR(__xludf.DUMMYFUNCTION("IFERROR(VALUE(REGEXEXTRACT(C146,""\d+\s*/\s*(\d+)"")),"""")"),"")</f>
        <v/>
      </c>
      <c r="I146" s="32" t="str">
        <f t="shared" si="2"/>
        <v/>
      </c>
      <c r="J146" s="33" t="str">
        <f t="shared" si="3"/>
        <v/>
      </c>
    </row>
    <row r="147" ht="15.75" customHeight="1">
      <c r="A147" s="22" t="s">
        <v>113</v>
      </c>
      <c r="B147" s="22" t="str">
        <f>IF(MOV_CC_NACIONAL!A147="","",MOV_CC_NACIONAL!A147)</f>
        <v/>
      </c>
      <c r="C147" s="22" t="str">
        <f>IF(MOV_CC_NACIONAL!B147="","",MOV_CC_NACIONAL!B147)</f>
        <v/>
      </c>
      <c r="D147" s="34" t="str">
        <f>IF(MOV_CC_NACIONAL!C147="","",MOV_CC_NACIONAL!C147)</f>
        <v/>
      </c>
      <c r="E147" s="22" t="str">
        <f t="shared" si="1"/>
        <v/>
      </c>
      <c r="F147" s="22" t="str">
        <f>IFERROR(__xludf.DUMMYFUNCTION("IF(C147="""","""", OR(REGEXMATCH(LOWER(C147),""cuota""), REGEXMATCH(C147,""\d+\s*/\s*\d+"")))"),"")</f>
        <v/>
      </c>
      <c r="G147" s="22" t="str">
        <f>IFERROR(__xludf.DUMMYFUNCTION("IFERROR(VALUE(REGEXEXTRACT(C147,""(\d+)\s*/\s*\d+"")),"""")"),"")</f>
        <v/>
      </c>
      <c r="H147" s="22" t="str">
        <f>IFERROR(__xludf.DUMMYFUNCTION("IFERROR(VALUE(REGEXEXTRACT(C147,""\d+\s*/\s*(\d+)"")),"""")"),"")</f>
        <v/>
      </c>
      <c r="I147" s="22" t="str">
        <f t="shared" si="2"/>
        <v/>
      </c>
      <c r="J147" s="34" t="str">
        <f t="shared" si="3"/>
        <v/>
      </c>
    </row>
    <row r="148" ht="15.75" customHeight="1">
      <c r="A148" s="32" t="s">
        <v>113</v>
      </c>
      <c r="B148" s="32" t="str">
        <f>IF(MOV_CC_NACIONAL!A148="","",MOV_CC_NACIONAL!A148)</f>
        <v/>
      </c>
      <c r="C148" s="32" t="str">
        <f>IF(MOV_CC_NACIONAL!B148="","",MOV_CC_NACIONAL!B148)</f>
        <v/>
      </c>
      <c r="D148" s="33" t="str">
        <f>IF(MOV_CC_NACIONAL!C148="","",MOV_CC_NACIONAL!C148)</f>
        <v/>
      </c>
      <c r="E148" s="32" t="str">
        <f t="shared" si="1"/>
        <v/>
      </c>
      <c r="F148" s="32" t="str">
        <f>IFERROR(__xludf.DUMMYFUNCTION("IF(C148="""","""", OR(REGEXMATCH(LOWER(C148),""cuota""), REGEXMATCH(C148,""\d+\s*/\s*\d+"")))"),"")</f>
        <v/>
      </c>
      <c r="G148" s="32" t="str">
        <f>IFERROR(__xludf.DUMMYFUNCTION("IFERROR(VALUE(REGEXEXTRACT(C148,""(\d+)\s*/\s*\d+"")),"""")"),"")</f>
        <v/>
      </c>
      <c r="H148" s="32" t="str">
        <f>IFERROR(__xludf.DUMMYFUNCTION("IFERROR(VALUE(REGEXEXTRACT(C148,""\d+\s*/\s*(\d+)"")),"""")"),"")</f>
        <v/>
      </c>
      <c r="I148" s="32" t="str">
        <f t="shared" si="2"/>
        <v/>
      </c>
      <c r="J148" s="33" t="str">
        <f t="shared" si="3"/>
        <v/>
      </c>
    </row>
    <row r="149" ht="15.75" customHeight="1">
      <c r="A149" s="22" t="s">
        <v>113</v>
      </c>
      <c r="B149" s="22" t="str">
        <f>IF(MOV_CC_NACIONAL!A149="","",MOV_CC_NACIONAL!A149)</f>
        <v/>
      </c>
      <c r="C149" s="22" t="str">
        <f>IF(MOV_CC_NACIONAL!B149="","",MOV_CC_NACIONAL!B149)</f>
        <v/>
      </c>
      <c r="D149" s="34" t="str">
        <f>IF(MOV_CC_NACIONAL!C149="","",MOV_CC_NACIONAL!C149)</f>
        <v/>
      </c>
      <c r="E149" s="22" t="str">
        <f t="shared" si="1"/>
        <v/>
      </c>
      <c r="F149" s="22" t="str">
        <f>IFERROR(__xludf.DUMMYFUNCTION("IF(C149="""","""", OR(REGEXMATCH(LOWER(C149),""cuota""), REGEXMATCH(C149,""\d+\s*/\s*\d+"")))"),"")</f>
        <v/>
      </c>
      <c r="G149" s="22" t="str">
        <f>IFERROR(__xludf.DUMMYFUNCTION("IFERROR(VALUE(REGEXEXTRACT(C149,""(\d+)\s*/\s*\d+"")),"""")"),"")</f>
        <v/>
      </c>
      <c r="H149" s="22" t="str">
        <f>IFERROR(__xludf.DUMMYFUNCTION("IFERROR(VALUE(REGEXEXTRACT(C149,""\d+\s*/\s*(\d+)"")),"""")"),"")</f>
        <v/>
      </c>
      <c r="I149" s="22" t="str">
        <f t="shared" si="2"/>
        <v/>
      </c>
      <c r="J149" s="34" t="str">
        <f t="shared" si="3"/>
        <v/>
      </c>
    </row>
    <row r="150" ht="15.75" customHeight="1">
      <c r="A150" s="32" t="s">
        <v>113</v>
      </c>
      <c r="B150" s="32" t="str">
        <f>IF(MOV_CC_NACIONAL!A150="","",MOV_CC_NACIONAL!A150)</f>
        <v/>
      </c>
      <c r="C150" s="32" t="str">
        <f>IF(MOV_CC_NACIONAL!B150="","",MOV_CC_NACIONAL!B150)</f>
        <v/>
      </c>
      <c r="D150" s="33" t="str">
        <f>IF(MOV_CC_NACIONAL!C150="","",MOV_CC_NACIONAL!C150)</f>
        <v/>
      </c>
      <c r="E150" s="32" t="str">
        <f t="shared" si="1"/>
        <v/>
      </c>
      <c r="F150" s="32" t="str">
        <f>IFERROR(__xludf.DUMMYFUNCTION("IF(C150="""","""", OR(REGEXMATCH(LOWER(C150),""cuota""), REGEXMATCH(C150,""\d+\s*/\s*\d+"")))"),"")</f>
        <v/>
      </c>
      <c r="G150" s="32" t="str">
        <f>IFERROR(__xludf.DUMMYFUNCTION("IFERROR(VALUE(REGEXEXTRACT(C150,""(\d+)\s*/\s*\d+"")),"""")"),"")</f>
        <v/>
      </c>
      <c r="H150" s="32" t="str">
        <f>IFERROR(__xludf.DUMMYFUNCTION("IFERROR(VALUE(REGEXEXTRACT(C150,""\d+\s*/\s*(\d+)"")),"""")"),"")</f>
        <v/>
      </c>
      <c r="I150" s="32" t="str">
        <f t="shared" si="2"/>
        <v/>
      </c>
      <c r="J150" s="33" t="str">
        <f t="shared" si="3"/>
        <v/>
      </c>
    </row>
    <row r="151" ht="15.75" customHeight="1">
      <c r="A151" s="22" t="s">
        <v>113</v>
      </c>
      <c r="B151" s="22" t="str">
        <f>IF(MOV_CC_NACIONAL!A151="","",MOV_CC_NACIONAL!A151)</f>
        <v/>
      </c>
      <c r="C151" s="22" t="str">
        <f>IF(MOV_CC_NACIONAL!B151="","",MOV_CC_NACIONAL!B151)</f>
        <v/>
      </c>
      <c r="D151" s="34" t="str">
        <f>IF(MOV_CC_NACIONAL!C151="","",MOV_CC_NACIONAL!C151)</f>
        <v/>
      </c>
      <c r="E151" s="22" t="str">
        <f t="shared" si="1"/>
        <v/>
      </c>
      <c r="F151" s="22" t="str">
        <f>IFERROR(__xludf.DUMMYFUNCTION("IF(C151="""","""", OR(REGEXMATCH(LOWER(C151),""cuota""), REGEXMATCH(C151,""\d+\s*/\s*\d+"")))"),"")</f>
        <v/>
      </c>
      <c r="G151" s="22" t="str">
        <f>IFERROR(__xludf.DUMMYFUNCTION("IFERROR(VALUE(REGEXEXTRACT(C151,""(\d+)\s*/\s*\d+"")),"""")"),"")</f>
        <v/>
      </c>
      <c r="H151" s="22" t="str">
        <f>IFERROR(__xludf.DUMMYFUNCTION("IFERROR(VALUE(REGEXEXTRACT(C151,""\d+\s*/\s*(\d+)"")),"""")"),"")</f>
        <v/>
      </c>
      <c r="I151" s="22" t="str">
        <f t="shared" si="2"/>
        <v/>
      </c>
      <c r="J151" s="34" t="str">
        <f t="shared" si="3"/>
        <v/>
      </c>
    </row>
    <row r="152" ht="15.75" customHeight="1">
      <c r="A152" s="32" t="s">
        <v>113</v>
      </c>
      <c r="B152" s="32" t="str">
        <f>IF(MOV_CC_NACIONAL!A152="","",MOV_CC_NACIONAL!A152)</f>
        <v/>
      </c>
      <c r="C152" s="32" t="str">
        <f>IF(MOV_CC_NACIONAL!B152="","",MOV_CC_NACIONAL!B152)</f>
        <v/>
      </c>
      <c r="D152" s="33" t="str">
        <f>IF(MOV_CC_NACIONAL!C152="","",MOV_CC_NACIONAL!C152)</f>
        <v/>
      </c>
      <c r="E152" s="32" t="str">
        <f t="shared" si="1"/>
        <v/>
      </c>
      <c r="F152" s="32" t="str">
        <f>IFERROR(__xludf.DUMMYFUNCTION("IF(C152="""","""", OR(REGEXMATCH(LOWER(C152),""cuota""), REGEXMATCH(C152,""\d+\s*/\s*\d+"")))"),"")</f>
        <v/>
      </c>
      <c r="G152" s="32" t="str">
        <f>IFERROR(__xludf.DUMMYFUNCTION("IFERROR(VALUE(REGEXEXTRACT(C152,""(\d+)\s*/\s*\d+"")),"""")"),"")</f>
        <v/>
      </c>
      <c r="H152" s="32" t="str">
        <f>IFERROR(__xludf.DUMMYFUNCTION("IFERROR(VALUE(REGEXEXTRACT(C152,""\d+\s*/\s*(\d+)"")),"""")"),"")</f>
        <v/>
      </c>
      <c r="I152" s="32" t="str">
        <f t="shared" si="2"/>
        <v/>
      </c>
      <c r="J152" s="33" t="str">
        <f t="shared" si="3"/>
        <v/>
      </c>
    </row>
    <row r="153" ht="15.75" customHeight="1">
      <c r="A153" s="22" t="s">
        <v>113</v>
      </c>
      <c r="B153" s="22" t="str">
        <f>IF(MOV_CC_NACIONAL!A153="","",MOV_CC_NACIONAL!A153)</f>
        <v/>
      </c>
      <c r="C153" s="22" t="str">
        <f>IF(MOV_CC_NACIONAL!B153="","",MOV_CC_NACIONAL!B153)</f>
        <v/>
      </c>
      <c r="D153" s="34" t="str">
        <f>IF(MOV_CC_NACIONAL!C153="","",MOV_CC_NACIONAL!C153)</f>
        <v/>
      </c>
      <c r="E153" s="22" t="str">
        <f t="shared" si="1"/>
        <v/>
      </c>
      <c r="F153" s="22" t="str">
        <f>IFERROR(__xludf.DUMMYFUNCTION("IF(C153="""","""", OR(REGEXMATCH(LOWER(C153),""cuota""), REGEXMATCH(C153,""\d+\s*/\s*\d+"")))"),"")</f>
        <v/>
      </c>
      <c r="G153" s="22" t="str">
        <f>IFERROR(__xludf.DUMMYFUNCTION("IFERROR(VALUE(REGEXEXTRACT(C153,""(\d+)\s*/\s*\d+"")),"""")"),"")</f>
        <v/>
      </c>
      <c r="H153" s="22" t="str">
        <f>IFERROR(__xludf.DUMMYFUNCTION("IFERROR(VALUE(REGEXEXTRACT(C153,""\d+\s*/\s*(\d+)"")),"""")"),"")</f>
        <v/>
      </c>
      <c r="I153" s="22" t="str">
        <f t="shared" si="2"/>
        <v/>
      </c>
      <c r="J153" s="34" t="str">
        <f t="shared" si="3"/>
        <v/>
      </c>
    </row>
    <row r="154" ht="15.75" customHeight="1">
      <c r="A154" s="32" t="s">
        <v>113</v>
      </c>
      <c r="B154" s="32" t="str">
        <f>IF(MOV_CC_NACIONAL!A154="","",MOV_CC_NACIONAL!A154)</f>
        <v/>
      </c>
      <c r="C154" s="32" t="str">
        <f>IF(MOV_CC_NACIONAL!B154="","",MOV_CC_NACIONAL!B154)</f>
        <v/>
      </c>
      <c r="D154" s="33" t="str">
        <f>IF(MOV_CC_NACIONAL!C154="","",MOV_CC_NACIONAL!C154)</f>
        <v/>
      </c>
      <c r="E154" s="32" t="str">
        <f t="shared" si="1"/>
        <v/>
      </c>
      <c r="F154" s="32" t="str">
        <f>IFERROR(__xludf.DUMMYFUNCTION("IF(C154="""","""", OR(REGEXMATCH(LOWER(C154),""cuota""), REGEXMATCH(C154,""\d+\s*/\s*\d+"")))"),"")</f>
        <v/>
      </c>
      <c r="G154" s="32" t="str">
        <f>IFERROR(__xludf.DUMMYFUNCTION("IFERROR(VALUE(REGEXEXTRACT(C154,""(\d+)\s*/\s*\d+"")),"""")"),"")</f>
        <v/>
      </c>
      <c r="H154" s="32" t="str">
        <f>IFERROR(__xludf.DUMMYFUNCTION("IFERROR(VALUE(REGEXEXTRACT(C154,""\d+\s*/\s*(\d+)"")),"""")"),"")</f>
        <v/>
      </c>
      <c r="I154" s="32" t="str">
        <f t="shared" si="2"/>
        <v/>
      </c>
      <c r="J154" s="33" t="str">
        <f t="shared" si="3"/>
        <v/>
      </c>
    </row>
    <row r="155" ht="15.75" customHeight="1">
      <c r="A155" s="22" t="s">
        <v>113</v>
      </c>
      <c r="B155" s="22" t="str">
        <f>IF(MOV_CC_NACIONAL!A155="","",MOV_CC_NACIONAL!A155)</f>
        <v/>
      </c>
      <c r="C155" s="22" t="str">
        <f>IF(MOV_CC_NACIONAL!B155="","",MOV_CC_NACIONAL!B155)</f>
        <v/>
      </c>
      <c r="D155" s="34" t="str">
        <f>IF(MOV_CC_NACIONAL!C155="","",MOV_CC_NACIONAL!C155)</f>
        <v/>
      </c>
      <c r="E155" s="22" t="str">
        <f t="shared" si="1"/>
        <v/>
      </c>
      <c r="F155" s="22" t="str">
        <f>IFERROR(__xludf.DUMMYFUNCTION("IF(C155="""","""", OR(REGEXMATCH(LOWER(C155),""cuota""), REGEXMATCH(C155,""\d+\s*/\s*\d+"")))"),"")</f>
        <v/>
      </c>
      <c r="G155" s="22" t="str">
        <f>IFERROR(__xludf.DUMMYFUNCTION("IFERROR(VALUE(REGEXEXTRACT(C155,""(\d+)\s*/\s*\d+"")),"""")"),"")</f>
        <v/>
      </c>
      <c r="H155" s="22" t="str">
        <f>IFERROR(__xludf.DUMMYFUNCTION("IFERROR(VALUE(REGEXEXTRACT(C155,""\d+\s*/\s*(\d+)"")),"""")"),"")</f>
        <v/>
      </c>
      <c r="I155" s="22" t="str">
        <f t="shared" si="2"/>
        <v/>
      </c>
      <c r="J155" s="34" t="str">
        <f t="shared" si="3"/>
        <v/>
      </c>
    </row>
    <row r="156" ht="15.75" customHeight="1">
      <c r="A156" s="32" t="s">
        <v>113</v>
      </c>
      <c r="B156" s="32" t="str">
        <f>IF(MOV_CC_NACIONAL!A156="","",MOV_CC_NACIONAL!A156)</f>
        <v/>
      </c>
      <c r="C156" s="32" t="str">
        <f>IF(MOV_CC_NACIONAL!B156="","",MOV_CC_NACIONAL!B156)</f>
        <v/>
      </c>
      <c r="D156" s="33" t="str">
        <f>IF(MOV_CC_NACIONAL!C156="","",MOV_CC_NACIONAL!C156)</f>
        <v/>
      </c>
      <c r="E156" s="32" t="str">
        <f t="shared" si="1"/>
        <v/>
      </c>
      <c r="F156" s="32" t="str">
        <f>IFERROR(__xludf.DUMMYFUNCTION("IF(C156="""","""", OR(REGEXMATCH(LOWER(C156),""cuota""), REGEXMATCH(C156,""\d+\s*/\s*\d+"")))"),"")</f>
        <v/>
      </c>
      <c r="G156" s="32" t="str">
        <f>IFERROR(__xludf.DUMMYFUNCTION("IFERROR(VALUE(REGEXEXTRACT(C156,""(\d+)\s*/\s*\d+"")),"""")"),"")</f>
        <v/>
      </c>
      <c r="H156" s="32" t="str">
        <f>IFERROR(__xludf.DUMMYFUNCTION("IFERROR(VALUE(REGEXEXTRACT(C156,""\d+\s*/\s*(\d+)"")),"""")"),"")</f>
        <v/>
      </c>
      <c r="I156" s="32" t="str">
        <f t="shared" si="2"/>
        <v/>
      </c>
      <c r="J156" s="33" t="str">
        <f t="shared" si="3"/>
        <v/>
      </c>
    </row>
    <row r="157" ht="15.75" customHeight="1">
      <c r="A157" s="22" t="s">
        <v>113</v>
      </c>
      <c r="B157" s="22" t="str">
        <f>IF(MOV_CC_NACIONAL!A157="","",MOV_CC_NACIONAL!A157)</f>
        <v/>
      </c>
      <c r="C157" s="22" t="str">
        <f>IF(MOV_CC_NACIONAL!B157="","",MOV_CC_NACIONAL!B157)</f>
        <v/>
      </c>
      <c r="D157" s="34" t="str">
        <f>IF(MOV_CC_NACIONAL!C157="","",MOV_CC_NACIONAL!C157)</f>
        <v/>
      </c>
      <c r="E157" s="22" t="str">
        <f t="shared" si="1"/>
        <v/>
      </c>
      <c r="F157" s="22" t="str">
        <f>IFERROR(__xludf.DUMMYFUNCTION("IF(C157="""","""", OR(REGEXMATCH(LOWER(C157),""cuota""), REGEXMATCH(C157,""\d+\s*/\s*\d+"")))"),"")</f>
        <v/>
      </c>
      <c r="G157" s="22" t="str">
        <f>IFERROR(__xludf.DUMMYFUNCTION("IFERROR(VALUE(REGEXEXTRACT(C157,""(\d+)\s*/\s*\d+"")),"""")"),"")</f>
        <v/>
      </c>
      <c r="H157" s="22" t="str">
        <f>IFERROR(__xludf.DUMMYFUNCTION("IFERROR(VALUE(REGEXEXTRACT(C157,""\d+\s*/\s*(\d+)"")),"""")"),"")</f>
        <v/>
      </c>
      <c r="I157" s="22" t="str">
        <f t="shared" si="2"/>
        <v/>
      </c>
      <c r="J157" s="34" t="str">
        <f t="shared" si="3"/>
        <v/>
      </c>
    </row>
    <row r="158" ht="15.75" customHeight="1">
      <c r="A158" s="32" t="s">
        <v>113</v>
      </c>
      <c r="B158" s="32" t="str">
        <f>IF(MOV_CC_NACIONAL!A158="","",MOV_CC_NACIONAL!A158)</f>
        <v/>
      </c>
      <c r="C158" s="32" t="str">
        <f>IF(MOV_CC_NACIONAL!B158="","",MOV_CC_NACIONAL!B158)</f>
        <v/>
      </c>
      <c r="D158" s="33" t="str">
        <f>IF(MOV_CC_NACIONAL!C158="","",MOV_CC_NACIONAL!C158)</f>
        <v/>
      </c>
      <c r="E158" s="32" t="str">
        <f t="shared" si="1"/>
        <v/>
      </c>
      <c r="F158" s="32" t="str">
        <f>IFERROR(__xludf.DUMMYFUNCTION("IF(C158="""","""", OR(REGEXMATCH(LOWER(C158),""cuota""), REGEXMATCH(C158,""\d+\s*/\s*\d+"")))"),"")</f>
        <v/>
      </c>
      <c r="G158" s="32" t="str">
        <f>IFERROR(__xludf.DUMMYFUNCTION("IFERROR(VALUE(REGEXEXTRACT(C158,""(\d+)\s*/\s*\d+"")),"""")"),"")</f>
        <v/>
      </c>
      <c r="H158" s="32" t="str">
        <f>IFERROR(__xludf.DUMMYFUNCTION("IFERROR(VALUE(REGEXEXTRACT(C158,""\d+\s*/\s*(\d+)"")),"""")"),"")</f>
        <v/>
      </c>
      <c r="I158" s="32" t="str">
        <f t="shared" si="2"/>
        <v/>
      </c>
      <c r="J158" s="33" t="str">
        <f t="shared" si="3"/>
        <v/>
      </c>
    </row>
    <row r="159" ht="15.75" customHeight="1">
      <c r="A159" s="22" t="s">
        <v>113</v>
      </c>
      <c r="B159" s="22" t="str">
        <f>IF(MOV_CC_NACIONAL!A159="","",MOV_CC_NACIONAL!A159)</f>
        <v/>
      </c>
      <c r="C159" s="22" t="str">
        <f>IF(MOV_CC_NACIONAL!B159="","",MOV_CC_NACIONAL!B159)</f>
        <v/>
      </c>
      <c r="D159" s="34" t="str">
        <f>IF(MOV_CC_NACIONAL!C159="","",MOV_CC_NACIONAL!C159)</f>
        <v/>
      </c>
      <c r="E159" s="22" t="str">
        <f t="shared" si="1"/>
        <v/>
      </c>
      <c r="F159" s="22" t="str">
        <f>IFERROR(__xludf.DUMMYFUNCTION("IF(C159="""","""", OR(REGEXMATCH(LOWER(C159),""cuota""), REGEXMATCH(C159,""\d+\s*/\s*\d+"")))"),"")</f>
        <v/>
      </c>
      <c r="G159" s="22" t="str">
        <f>IFERROR(__xludf.DUMMYFUNCTION("IFERROR(VALUE(REGEXEXTRACT(C159,""(\d+)\s*/\s*\d+"")),"""")"),"")</f>
        <v/>
      </c>
      <c r="H159" s="22" t="str">
        <f>IFERROR(__xludf.DUMMYFUNCTION("IFERROR(VALUE(REGEXEXTRACT(C159,""\d+\s*/\s*(\d+)"")),"""")"),"")</f>
        <v/>
      </c>
      <c r="I159" s="22" t="str">
        <f t="shared" si="2"/>
        <v/>
      </c>
      <c r="J159" s="34" t="str">
        <f t="shared" si="3"/>
        <v/>
      </c>
    </row>
    <row r="160" ht="15.75" customHeight="1">
      <c r="A160" s="32" t="s">
        <v>113</v>
      </c>
      <c r="B160" s="32" t="str">
        <f>IF(MOV_CC_NACIONAL!A160="","",MOV_CC_NACIONAL!A160)</f>
        <v/>
      </c>
      <c r="C160" s="32" t="str">
        <f>IF(MOV_CC_NACIONAL!B160="","",MOV_CC_NACIONAL!B160)</f>
        <v/>
      </c>
      <c r="D160" s="33" t="str">
        <f>IF(MOV_CC_NACIONAL!C160="","",MOV_CC_NACIONAL!C160)</f>
        <v/>
      </c>
      <c r="E160" s="32" t="str">
        <f t="shared" si="1"/>
        <v/>
      </c>
      <c r="F160" s="32" t="str">
        <f>IFERROR(__xludf.DUMMYFUNCTION("IF(C160="""","""", OR(REGEXMATCH(LOWER(C160),""cuota""), REGEXMATCH(C160,""\d+\s*/\s*\d+"")))"),"")</f>
        <v/>
      </c>
      <c r="G160" s="32" t="str">
        <f>IFERROR(__xludf.DUMMYFUNCTION("IFERROR(VALUE(REGEXEXTRACT(C160,""(\d+)\s*/\s*\d+"")),"""")"),"")</f>
        <v/>
      </c>
      <c r="H160" s="32" t="str">
        <f>IFERROR(__xludf.DUMMYFUNCTION("IFERROR(VALUE(REGEXEXTRACT(C160,""\d+\s*/\s*(\d+)"")),"""")"),"")</f>
        <v/>
      </c>
      <c r="I160" s="32" t="str">
        <f t="shared" si="2"/>
        <v/>
      </c>
      <c r="J160" s="33" t="str">
        <f t="shared" si="3"/>
        <v/>
      </c>
    </row>
    <row r="161" ht="15.75" customHeight="1">
      <c r="A161" s="22" t="s">
        <v>113</v>
      </c>
      <c r="B161" s="22" t="str">
        <f>IF(MOV_CC_NACIONAL!A161="","",MOV_CC_NACIONAL!A161)</f>
        <v/>
      </c>
      <c r="C161" s="22" t="str">
        <f>IF(MOV_CC_NACIONAL!B161="","",MOV_CC_NACIONAL!B161)</f>
        <v/>
      </c>
      <c r="D161" s="34" t="str">
        <f>IF(MOV_CC_NACIONAL!C161="","",MOV_CC_NACIONAL!C161)</f>
        <v/>
      </c>
      <c r="E161" s="22" t="str">
        <f t="shared" si="1"/>
        <v/>
      </c>
      <c r="F161" s="22" t="str">
        <f>IFERROR(__xludf.DUMMYFUNCTION("IF(C161="""","""", OR(REGEXMATCH(LOWER(C161),""cuota""), REGEXMATCH(C161,""\d+\s*/\s*\d+"")))"),"")</f>
        <v/>
      </c>
      <c r="G161" s="22" t="str">
        <f>IFERROR(__xludf.DUMMYFUNCTION("IFERROR(VALUE(REGEXEXTRACT(C161,""(\d+)\s*/\s*\d+"")),"""")"),"")</f>
        <v/>
      </c>
      <c r="H161" s="22" t="str">
        <f>IFERROR(__xludf.DUMMYFUNCTION("IFERROR(VALUE(REGEXEXTRACT(C161,""\d+\s*/\s*(\d+)"")),"""")"),"")</f>
        <v/>
      </c>
      <c r="I161" s="22" t="str">
        <f t="shared" si="2"/>
        <v/>
      </c>
      <c r="J161" s="34" t="str">
        <f t="shared" si="3"/>
        <v/>
      </c>
    </row>
    <row r="162" ht="15.75" customHeight="1">
      <c r="A162" s="32" t="s">
        <v>113</v>
      </c>
      <c r="B162" s="32" t="str">
        <f>IF(MOV_CC_NACIONAL!A162="","",MOV_CC_NACIONAL!A162)</f>
        <v/>
      </c>
      <c r="C162" s="32" t="str">
        <f>IF(MOV_CC_NACIONAL!B162="","",MOV_CC_NACIONAL!B162)</f>
        <v/>
      </c>
      <c r="D162" s="33" t="str">
        <f>IF(MOV_CC_NACIONAL!C162="","",MOV_CC_NACIONAL!C162)</f>
        <v/>
      </c>
      <c r="E162" s="32" t="str">
        <f t="shared" si="1"/>
        <v/>
      </c>
      <c r="F162" s="32" t="str">
        <f>IFERROR(__xludf.DUMMYFUNCTION("IF(C162="""","""", OR(REGEXMATCH(LOWER(C162),""cuota""), REGEXMATCH(C162,""\d+\s*/\s*\d+"")))"),"")</f>
        <v/>
      </c>
      <c r="G162" s="32" t="str">
        <f>IFERROR(__xludf.DUMMYFUNCTION("IFERROR(VALUE(REGEXEXTRACT(C162,""(\d+)\s*/\s*\d+"")),"""")"),"")</f>
        <v/>
      </c>
      <c r="H162" s="32" t="str">
        <f>IFERROR(__xludf.DUMMYFUNCTION("IFERROR(VALUE(REGEXEXTRACT(C162,""\d+\s*/\s*(\d+)"")),"""")"),"")</f>
        <v/>
      </c>
      <c r="I162" s="32" t="str">
        <f t="shared" si="2"/>
        <v/>
      </c>
      <c r="J162" s="33" t="str">
        <f t="shared" si="3"/>
        <v/>
      </c>
    </row>
    <row r="163" ht="15.75" customHeight="1">
      <c r="A163" s="22" t="s">
        <v>113</v>
      </c>
      <c r="B163" s="22" t="str">
        <f>IF(MOV_CC_NACIONAL!A163="","",MOV_CC_NACIONAL!A163)</f>
        <v/>
      </c>
      <c r="C163" s="22" t="str">
        <f>IF(MOV_CC_NACIONAL!B163="","",MOV_CC_NACIONAL!B163)</f>
        <v/>
      </c>
      <c r="D163" s="34" t="str">
        <f>IF(MOV_CC_NACIONAL!C163="","",MOV_CC_NACIONAL!C163)</f>
        <v/>
      </c>
      <c r="E163" s="22" t="str">
        <f t="shared" si="1"/>
        <v/>
      </c>
      <c r="F163" s="22" t="str">
        <f>IFERROR(__xludf.DUMMYFUNCTION("IF(C163="""","""", OR(REGEXMATCH(LOWER(C163),""cuota""), REGEXMATCH(C163,""\d+\s*/\s*\d+"")))"),"")</f>
        <v/>
      </c>
      <c r="G163" s="22" t="str">
        <f>IFERROR(__xludf.DUMMYFUNCTION("IFERROR(VALUE(REGEXEXTRACT(C163,""(\d+)\s*/\s*\d+"")),"""")"),"")</f>
        <v/>
      </c>
      <c r="H163" s="22" t="str">
        <f>IFERROR(__xludf.DUMMYFUNCTION("IFERROR(VALUE(REGEXEXTRACT(C163,""\d+\s*/\s*(\d+)"")),"""")"),"")</f>
        <v/>
      </c>
      <c r="I163" s="22" t="str">
        <f t="shared" si="2"/>
        <v/>
      </c>
      <c r="J163" s="34" t="str">
        <f t="shared" si="3"/>
        <v/>
      </c>
    </row>
    <row r="164" ht="15.75" customHeight="1">
      <c r="A164" s="32" t="s">
        <v>113</v>
      </c>
      <c r="B164" s="32" t="str">
        <f>IF(MOV_CC_NACIONAL!A164="","",MOV_CC_NACIONAL!A164)</f>
        <v/>
      </c>
      <c r="C164" s="32" t="str">
        <f>IF(MOV_CC_NACIONAL!B164="","",MOV_CC_NACIONAL!B164)</f>
        <v/>
      </c>
      <c r="D164" s="33" t="str">
        <f>IF(MOV_CC_NACIONAL!C164="","",MOV_CC_NACIONAL!C164)</f>
        <v/>
      </c>
      <c r="E164" s="32" t="str">
        <f t="shared" si="1"/>
        <v/>
      </c>
      <c r="F164" s="32" t="str">
        <f>IFERROR(__xludf.DUMMYFUNCTION("IF(C164="""","""", OR(REGEXMATCH(LOWER(C164),""cuota""), REGEXMATCH(C164,""\d+\s*/\s*\d+"")))"),"")</f>
        <v/>
      </c>
      <c r="G164" s="32" t="str">
        <f>IFERROR(__xludf.DUMMYFUNCTION("IFERROR(VALUE(REGEXEXTRACT(C164,""(\d+)\s*/\s*\d+"")),"""")"),"")</f>
        <v/>
      </c>
      <c r="H164" s="32" t="str">
        <f>IFERROR(__xludf.DUMMYFUNCTION("IFERROR(VALUE(REGEXEXTRACT(C164,""\d+\s*/\s*(\d+)"")),"""")"),"")</f>
        <v/>
      </c>
      <c r="I164" s="32" t="str">
        <f t="shared" si="2"/>
        <v/>
      </c>
      <c r="J164" s="33" t="str">
        <f t="shared" si="3"/>
        <v/>
      </c>
    </row>
    <row r="165" ht="15.75" customHeight="1">
      <c r="A165" s="22" t="s">
        <v>113</v>
      </c>
      <c r="B165" s="22" t="str">
        <f>IF(MOV_CC_NACIONAL!A165="","",MOV_CC_NACIONAL!A165)</f>
        <v/>
      </c>
      <c r="C165" s="22" t="str">
        <f>IF(MOV_CC_NACIONAL!B165="","",MOV_CC_NACIONAL!B165)</f>
        <v/>
      </c>
      <c r="D165" s="34" t="str">
        <f>IF(MOV_CC_NACIONAL!C165="","",MOV_CC_NACIONAL!C165)</f>
        <v/>
      </c>
      <c r="E165" s="22" t="str">
        <f t="shared" si="1"/>
        <v/>
      </c>
      <c r="F165" s="22" t="str">
        <f>IFERROR(__xludf.DUMMYFUNCTION("IF(C165="""","""", OR(REGEXMATCH(LOWER(C165),""cuota""), REGEXMATCH(C165,""\d+\s*/\s*\d+"")))"),"")</f>
        <v/>
      </c>
      <c r="G165" s="22" t="str">
        <f>IFERROR(__xludf.DUMMYFUNCTION("IFERROR(VALUE(REGEXEXTRACT(C165,""(\d+)\s*/\s*\d+"")),"""")"),"")</f>
        <v/>
      </c>
      <c r="H165" s="22" t="str">
        <f>IFERROR(__xludf.DUMMYFUNCTION("IFERROR(VALUE(REGEXEXTRACT(C165,""\d+\s*/\s*(\d+)"")),"""")"),"")</f>
        <v/>
      </c>
      <c r="I165" s="22" t="str">
        <f t="shared" si="2"/>
        <v/>
      </c>
      <c r="J165" s="34" t="str">
        <f t="shared" si="3"/>
        <v/>
      </c>
    </row>
    <row r="166" ht="15.75" customHeight="1">
      <c r="A166" s="32" t="s">
        <v>113</v>
      </c>
      <c r="B166" s="32" t="str">
        <f>IF(MOV_CC_NACIONAL!A166="","",MOV_CC_NACIONAL!A166)</f>
        <v/>
      </c>
      <c r="C166" s="32" t="str">
        <f>IF(MOV_CC_NACIONAL!B166="","",MOV_CC_NACIONAL!B166)</f>
        <v/>
      </c>
      <c r="D166" s="33" t="str">
        <f>IF(MOV_CC_NACIONAL!C166="","",MOV_CC_NACIONAL!C166)</f>
        <v/>
      </c>
      <c r="E166" s="32" t="str">
        <f t="shared" si="1"/>
        <v/>
      </c>
      <c r="F166" s="32" t="str">
        <f>IFERROR(__xludf.DUMMYFUNCTION("IF(C166="""","""", OR(REGEXMATCH(LOWER(C166),""cuota""), REGEXMATCH(C166,""\d+\s*/\s*\d+"")))"),"")</f>
        <v/>
      </c>
      <c r="G166" s="32" t="str">
        <f>IFERROR(__xludf.DUMMYFUNCTION("IFERROR(VALUE(REGEXEXTRACT(C166,""(\d+)\s*/\s*\d+"")),"""")"),"")</f>
        <v/>
      </c>
      <c r="H166" s="32" t="str">
        <f>IFERROR(__xludf.DUMMYFUNCTION("IFERROR(VALUE(REGEXEXTRACT(C166,""\d+\s*/\s*(\d+)"")),"""")"),"")</f>
        <v/>
      </c>
      <c r="I166" s="32" t="str">
        <f t="shared" si="2"/>
        <v/>
      </c>
      <c r="J166" s="33" t="str">
        <f t="shared" si="3"/>
        <v/>
      </c>
    </row>
    <row r="167" ht="15.75" customHeight="1">
      <c r="A167" s="22" t="s">
        <v>113</v>
      </c>
      <c r="B167" s="22" t="str">
        <f>IF(MOV_CC_NACIONAL!A167="","",MOV_CC_NACIONAL!A167)</f>
        <v/>
      </c>
      <c r="C167" s="22" t="str">
        <f>IF(MOV_CC_NACIONAL!B167="","",MOV_CC_NACIONAL!B167)</f>
        <v/>
      </c>
      <c r="D167" s="34" t="str">
        <f>IF(MOV_CC_NACIONAL!C167="","",MOV_CC_NACIONAL!C167)</f>
        <v/>
      </c>
      <c r="E167" s="22" t="str">
        <f t="shared" si="1"/>
        <v/>
      </c>
      <c r="F167" s="22" t="str">
        <f>IFERROR(__xludf.DUMMYFUNCTION("IF(C167="""","""", OR(REGEXMATCH(LOWER(C167),""cuota""), REGEXMATCH(C167,""\d+\s*/\s*\d+"")))"),"")</f>
        <v/>
      </c>
      <c r="G167" s="22" t="str">
        <f>IFERROR(__xludf.DUMMYFUNCTION("IFERROR(VALUE(REGEXEXTRACT(C167,""(\d+)\s*/\s*\d+"")),"""")"),"")</f>
        <v/>
      </c>
      <c r="H167" s="22" t="str">
        <f>IFERROR(__xludf.DUMMYFUNCTION("IFERROR(VALUE(REGEXEXTRACT(C167,""\d+\s*/\s*(\d+)"")),"""")"),"")</f>
        <v/>
      </c>
      <c r="I167" s="22" t="str">
        <f t="shared" si="2"/>
        <v/>
      </c>
      <c r="J167" s="34" t="str">
        <f t="shared" si="3"/>
        <v/>
      </c>
    </row>
    <row r="168" ht="15.75" customHeight="1">
      <c r="A168" s="32" t="s">
        <v>113</v>
      </c>
      <c r="B168" s="32" t="str">
        <f>IF(MOV_CC_NACIONAL!A168="","",MOV_CC_NACIONAL!A168)</f>
        <v/>
      </c>
      <c r="C168" s="32" t="str">
        <f>IF(MOV_CC_NACIONAL!B168="","",MOV_CC_NACIONAL!B168)</f>
        <v/>
      </c>
      <c r="D168" s="33" t="str">
        <f>IF(MOV_CC_NACIONAL!C168="","",MOV_CC_NACIONAL!C168)</f>
        <v/>
      </c>
      <c r="E168" s="32" t="str">
        <f t="shared" si="1"/>
        <v/>
      </c>
      <c r="F168" s="32" t="str">
        <f>IFERROR(__xludf.DUMMYFUNCTION("IF(C168="""","""", OR(REGEXMATCH(LOWER(C168),""cuota""), REGEXMATCH(C168,""\d+\s*/\s*\d+"")))"),"")</f>
        <v/>
      </c>
      <c r="G168" s="32" t="str">
        <f>IFERROR(__xludf.DUMMYFUNCTION("IFERROR(VALUE(REGEXEXTRACT(C168,""(\d+)\s*/\s*\d+"")),"""")"),"")</f>
        <v/>
      </c>
      <c r="H168" s="32" t="str">
        <f>IFERROR(__xludf.DUMMYFUNCTION("IFERROR(VALUE(REGEXEXTRACT(C168,""\d+\s*/\s*(\d+)"")),"""")"),"")</f>
        <v/>
      </c>
      <c r="I168" s="32" t="str">
        <f t="shared" si="2"/>
        <v/>
      </c>
      <c r="J168" s="33" t="str">
        <f t="shared" si="3"/>
        <v/>
      </c>
    </row>
    <row r="169" ht="15.75" customHeight="1">
      <c r="A169" s="22" t="s">
        <v>113</v>
      </c>
      <c r="B169" s="22" t="str">
        <f>IF(MOV_CC_NACIONAL!A169="","",MOV_CC_NACIONAL!A169)</f>
        <v/>
      </c>
      <c r="C169" s="22" t="str">
        <f>IF(MOV_CC_NACIONAL!B169="","",MOV_CC_NACIONAL!B169)</f>
        <v/>
      </c>
      <c r="D169" s="34" t="str">
        <f>IF(MOV_CC_NACIONAL!C169="","",MOV_CC_NACIONAL!C169)</f>
        <v/>
      </c>
      <c r="E169" s="22" t="str">
        <f t="shared" si="1"/>
        <v/>
      </c>
      <c r="F169" s="22" t="str">
        <f>IFERROR(__xludf.DUMMYFUNCTION("IF(C169="""","""", OR(REGEXMATCH(LOWER(C169),""cuota""), REGEXMATCH(C169,""\d+\s*/\s*\d+"")))"),"")</f>
        <v/>
      </c>
      <c r="G169" s="22" t="str">
        <f>IFERROR(__xludf.DUMMYFUNCTION("IFERROR(VALUE(REGEXEXTRACT(C169,""(\d+)\s*/\s*\d+"")),"""")"),"")</f>
        <v/>
      </c>
      <c r="H169" s="22" t="str">
        <f>IFERROR(__xludf.DUMMYFUNCTION("IFERROR(VALUE(REGEXEXTRACT(C169,""\d+\s*/\s*(\d+)"")),"""")"),"")</f>
        <v/>
      </c>
      <c r="I169" s="22" t="str">
        <f t="shared" si="2"/>
        <v/>
      </c>
      <c r="J169" s="34" t="str">
        <f t="shared" si="3"/>
        <v/>
      </c>
    </row>
    <row r="170" ht="15.75" customHeight="1">
      <c r="A170" s="32" t="s">
        <v>113</v>
      </c>
      <c r="B170" s="32" t="str">
        <f>IF(MOV_CC_NACIONAL!A170="","",MOV_CC_NACIONAL!A170)</f>
        <v/>
      </c>
      <c r="C170" s="32" t="str">
        <f>IF(MOV_CC_NACIONAL!B170="","",MOV_CC_NACIONAL!B170)</f>
        <v/>
      </c>
      <c r="D170" s="33" t="str">
        <f>IF(MOV_CC_NACIONAL!C170="","",MOV_CC_NACIONAL!C170)</f>
        <v/>
      </c>
      <c r="E170" s="32" t="str">
        <f t="shared" si="1"/>
        <v/>
      </c>
      <c r="F170" s="32" t="str">
        <f>IFERROR(__xludf.DUMMYFUNCTION("IF(C170="""","""", OR(REGEXMATCH(LOWER(C170),""cuota""), REGEXMATCH(C170,""\d+\s*/\s*\d+"")))"),"")</f>
        <v/>
      </c>
      <c r="G170" s="32" t="str">
        <f>IFERROR(__xludf.DUMMYFUNCTION("IFERROR(VALUE(REGEXEXTRACT(C170,""(\d+)\s*/\s*\d+"")),"""")"),"")</f>
        <v/>
      </c>
      <c r="H170" s="32" t="str">
        <f>IFERROR(__xludf.DUMMYFUNCTION("IFERROR(VALUE(REGEXEXTRACT(C170,""\d+\s*/\s*(\d+)"")),"""")"),"")</f>
        <v/>
      </c>
      <c r="I170" s="32" t="str">
        <f t="shared" si="2"/>
        <v/>
      </c>
      <c r="J170" s="33" t="str">
        <f t="shared" si="3"/>
        <v/>
      </c>
    </row>
    <row r="171" ht="15.75" customHeight="1">
      <c r="A171" s="22" t="s">
        <v>113</v>
      </c>
      <c r="B171" s="22" t="str">
        <f>IF(MOV_CC_NACIONAL!A171="","",MOV_CC_NACIONAL!A171)</f>
        <v/>
      </c>
      <c r="C171" s="22" t="str">
        <f>IF(MOV_CC_NACIONAL!B171="","",MOV_CC_NACIONAL!B171)</f>
        <v/>
      </c>
      <c r="D171" s="34" t="str">
        <f>IF(MOV_CC_NACIONAL!C171="","",MOV_CC_NACIONAL!C171)</f>
        <v/>
      </c>
      <c r="E171" s="22" t="str">
        <f t="shared" si="1"/>
        <v/>
      </c>
      <c r="F171" s="22" t="str">
        <f>IFERROR(__xludf.DUMMYFUNCTION("IF(C171="""","""", OR(REGEXMATCH(LOWER(C171),""cuota""), REGEXMATCH(C171,""\d+\s*/\s*\d+"")))"),"")</f>
        <v/>
      </c>
      <c r="G171" s="22" t="str">
        <f>IFERROR(__xludf.DUMMYFUNCTION("IFERROR(VALUE(REGEXEXTRACT(C171,""(\d+)\s*/\s*\d+"")),"""")"),"")</f>
        <v/>
      </c>
      <c r="H171" s="22" t="str">
        <f>IFERROR(__xludf.DUMMYFUNCTION("IFERROR(VALUE(REGEXEXTRACT(C171,""\d+\s*/\s*(\d+)"")),"""")"),"")</f>
        <v/>
      </c>
      <c r="I171" s="22" t="str">
        <f t="shared" si="2"/>
        <v/>
      </c>
      <c r="J171" s="34" t="str">
        <f t="shared" si="3"/>
        <v/>
      </c>
    </row>
    <row r="172" ht="15.75" customHeight="1">
      <c r="A172" s="32" t="s">
        <v>113</v>
      </c>
      <c r="B172" s="32" t="str">
        <f>IF(MOV_CC_NACIONAL!A172="","",MOV_CC_NACIONAL!A172)</f>
        <v/>
      </c>
      <c r="C172" s="32" t="str">
        <f>IF(MOV_CC_NACIONAL!B172="","",MOV_CC_NACIONAL!B172)</f>
        <v/>
      </c>
      <c r="D172" s="33" t="str">
        <f>IF(MOV_CC_NACIONAL!C172="","",MOV_CC_NACIONAL!C172)</f>
        <v/>
      </c>
      <c r="E172" s="32" t="str">
        <f t="shared" si="1"/>
        <v/>
      </c>
      <c r="F172" s="32" t="str">
        <f>IFERROR(__xludf.DUMMYFUNCTION("IF(C172="""","""", OR(REGEXMATCH(LOWER(C172),""cuota""), REGEXMATCH(C172,""\d+\s*/\s*\d+"")))"),"")</f>
        <v/>
      </c>
      <c r="G172" s="32" t="str">
        <f>IFERROR(__xludf.DUMMYFUNCTION("IFERROR(VALUE(REGEXEXTRACT(C172,""(\d+)\s*/\s*\d+"")),"""")"),"")</f>
        <v/>
      </c>
      <c r="H172" s="32" t="str">
        <f>IFERROR(__xludf.DUMMYFUNCTION("IFERROR(VALUE(REGEXEXTRACT(C172,""\d+\s*/\s*(\d+)"")),"""")"),"")</f>
        <v/>
      </c>
      <c r="I172" s="32" t="str">
        <f t="shared" si="2"/>
        <v/>
      </c>
      <c r="J172" s="33" t="str">
        <f t="shared" si="3"/>
        <v/>
      </c>
    </row>
    <row r="173" ht="15.75" customHeight="1">
      <c r="A173" s="22" t="s">
        <v>113</v>
      </c>
      <c r="B173" s="22" t="str">
        <f>IF(MOV_CC_NACIONAL!A173="","",MOV_CC_NACIONAL!A173)</f>
        <v/>
      </c>
      <c r="C173" s="22" t="str">
        <f>IF(MOV_CC_NACIONAL!B173="","",MOV_CC_NACIONAL!B173)</f>
        <v/>
      </c>
      <c r="D173" s="34" t="str">
        <f>IF(MOV_CC_NACIONAL!C173="","",MOV_CC_NACIONAL!C173)</f>
        <v/>
      </c>
      <c r="E173" s="22" t="str">
        <f t="shared" si="1"/>
        <v/>
      </c>
      <c r="F173" s="22" t="str">
        <f>IFERROR(__xludf.DUMMYFUNCTION("IF(C173="""","""", OR(REGEXMATCH(LOWER(C173),""cuota""), REGEXMATCH(C173,""\d+\s*/\s*\d+"")))"),"")</f>
        <v/>
      </c>
      <c r="G173" s="22" t="str">
        <f>IFERROR(__xludf.DUMMYFUNCTION("IFERROR(VALUE(REGEXEXTRACT(C173,""(\d+)\s*/\s*\d+"")),"""")"),"")</f>
        <v/>
      </c>
      <c r="H173" s="22" t="str">
        <f>IFERROR(__xludf.DUMMYFUNCTION("IFERROR(VALUE(REGEXEXTRACT(C173,""\d+\s*/\s*(\d+)"")),"""")"),"")</f>
        <v/>
      </c>
      <c r="I173" s="22" t="str">
        <f t="shared" si="2"/>
        <v/>
      </c>
      <c r="J173" s="34" t="str">
        <f t="shared" si="3"/>
        <v/>
      </c>
    </row>
    <row r="174" ht="15.75" customHeight="1">
      <c r="A174" s="32" t="s">
        <v>113</v>
      </c>
      <c r="B174" s="32" t="str">
        <f>IF(MOV_CC_NACIONAL!A174="","",MOV_CC_NACIONAL!A174)</f>
        <v/>
      </c>
      <c r="C174" s="32" t="str">
        <f>IF(MOV_CC_NACIONAL!B174="","",MOV_CC_NACIONAL!B174)</f>
        <v/>
      </c>
      <c r="D174" s="33" t="str">
        <f>IF(MOV_CC_NACIONAL!C174="","",MOV_CC_NACIONAL!C174)</f>
        <v/>
      </c>
      <c r="E174" s="32" t="str">
        <f t="shared" si="1"/>
        <v/>
      </c>
      <c r="F174" s="32" t="str">
        <f>IFERROR(__xludf.DUMMYFUNCTION("IF(C174="""","""", OR(REGEXMATCH(LOWER(C174),""cuota""), REGEXMATCH(C174,""\d+\s*/\s*\d+"")))"),"")</f>
        <v/>
      </c>
      <c r="G174" s="32" t="str">
        <f>IFERROR(__xludf.DUMMYFUNCTION("IFERROR(VALUE(REGEXEXTRACT(C174,""(\d+)\s*/\s*\d+"")),"""")"),"")</f>
        <v/>
      </c>
      <c r="H174" s="32" t="str">
        <f>IFERROR(__xludf.DUMMYFUNCTION("IFERROR(VALUE(REGEXEXTRACT(C174,""\d+\s*/\s*(\d+)"")),"""")"),"")</f>
        <v/>
      </c>
      <c r="I174" s="32" t="str">
        <f t="shared" si="2"/>
        <v/>
      </c>
      <c r="J174" s="33" t="str">
        <f t="shared" si="3"/>
        <v/>
      </c>
    </row>
    <row r="175" ht="15.75" customHeight="1">
      <c r="A175" s="22" t="s">
        <v>113</v>
      </c>
      <c r="B175" s="22" t="str">
        <f>IF(MOV_CC_NACIONAL!A175="","",MOV_CC_NACIONAL!A175)</f>
        <v/>
      </c>
      <c r="C175" s="22" t="str">
        <f>IF(MOV_CC_NACIONAL!B175="","",MOV_CC_NACIONAL!B175)</f>
        <v/>
      </c>
      <c r="D175" s="34" t="str">
        <f>IF(MOV_CC_NACIONAL!C175="","",MOV_CC_NACIONAL!C175)</f>
        <v/>
      </c>
      <c r="E175" s="22" t="str">
        <f t="shared" si="1"/>
        <v/>
      </c>
      <c r="F175" s="22" t="str">
        <f>IFERROR(__xludf.DUMMYFUNCTION("IF(C175="""","""", OR(REGEXMATCH(LOWER(C175),""cuota""), REGEXMATCH(C175,""\d+\s*/\s*\d+"")))"),"")</f>
        <v/>
      </c>
      <c r="G175" s="22" t="str">
        <f>IFERROR(__xludf.DUMMYFUNCTION("IFERROR(VALUE(REGEXEXTRACT(C175,""(\d+)\s*/\s*\d+"")),"""")"),"")</f>
        <v/>
      </c>
      <c r="H175" s="22" t="str">
        <f>IFERROR(__xludf.DUMMYFUNCTION("IFERROR(VALUE(REGEXEXTRACT(C175,""\d+\s*/\s*(\d+)"")),"""")"),"")</f>
        <v/>
      </c>
      <c r="I175" s="22" t="str">
        <f t="shared" si="2"/>
        <v/>
      </c>
      <c r="J175" s="34" t="str">
        <f t="shared" si="3"/>
        <v/>
      </c>
    </row>
    <row r="176" ht="15.75" customHeight="1">
      <c r="A176" s="32" t="s">
        <v>113</v>
      </c>
      <c r="B176" s="32" t="str">
        <f>IF(MOV_CC_NACIONAL!A176="","",MOV_CC_NACIONAL!A176)</f>
        <v/>
      </c>
      <c r="C176" s="32" t="str">
        <f>IF(MOV_CC_NACIONAL!B176="","",MOV_CC_NACIONAL!B176)</f>
        <v/>
      </c>
      <c r="D176" s="33" t="str">
        <f>IF(MOV_CC_NACIONAL!C176="","",MOV_CC_NACIONAL!C176)</f>
        <v/>
      </c>
      <c r="E176" s="32" t="str">
        <f t="shared" si="1"/>
        <v/>
      </c>
      <c r="F176" s="32" t="str">
        <f>IFERROR(__xludf.DUMMYFUNCTION("IF(C176="""","""", OR(REGEXMATCH(LOWER(C176),""cuota""), REGEXMATCH(C176,""\d+\s*/\s*\d+"")))"),"")</f>
        <v/>
      </c>
      <c r="G176" s="32" t="str">
        <f>IFERROR(__xludf.DUMMYFUNCTION("IFERROR(VALUE(REGEXEXTRACT(C176,""(\d+)\s*/\s*\d+"")),"""")"),"")</f>
        <v/>
      </c>
      <c r="H176" s="32" t="str">
        <f>IFERROR(__xludf.DUMMYFUNCTION("IFERROR(VALUE(REGEXEXTRACT(C176,""\d+\s*/\s*(\d+)"")),"""")"),"")</f>
        <v/>
      </c>
      <c r="I176" s="32" t="str">
        <f t="shared" si="2"/>
        <v/>
      </c>
      <c r="J176" s="33" t="str">
        <f t="shared" si="3"/>
        <v/>
      </c>
    </row>
    <row r="177" ht="15.75" customHeight="1">
      <c r="A177" s="22" t="s">
        <v>113</v>
      </c>
      <c r="B177" s="22" t="str">
        <f>IF(MOV_CC_NACIONAL!A177="","",MOV_CC_NACIONAL!A177)</f>
        <v/>
      </c>
      <c r="C177" s="22" t="str">
        <f>IF(MOV_CC_NACIONAL!B177="","",MOV_CC_NACIONAL!B177)</f>
        <v/>
      </c>
      <c r="D177" s="34" t="str">
        <f>IF(MOV_CC_NACIONAL!C177="","",MOV_CC_NACIONAL!C177)</f>
        <v/>
      </c>
      <c r="E177" s="22" t="str">
        <f t="shared" si="1"/>
        <v/>
      </c>
      <c r="F177" s="22" t="str">
        <f>IFERROR(__xludf.DUMMYFUNCTION("IF(C177="""","""", OR(REGEXMATCH(LOWER(C177),""cuota""), REGEXMATCH(C177,""\d+\s*/\s*\d+"")))"),"")</f>
        <v/>
      </c>
      <c r="G177" s="22" t="str">
        <f>IFERROR(__xludf.DUMMYFUNCTION("IFERROR(VALUE(REGEXEXTRACT(C177,""(\d+)\s*/\s*\d+"")),"""")"),"")</f>
        <v/>
      </c>
      <c r="H177" s="22" t="str">
        <f>IFERROR(__xludf.DUMMYFUNCTION("IFERROR(VALUE(REGEXEXTRACT(C177,""\d+\s*/\s*(\d+)"")),"""")"),"")</f>
        <v/>
      </c>
      <c r="I177" s="22" t="str">
        <f t="shared" si="2"/>
        <v/>
      </c>
      <c r="J177" s="34" t="str">
        <f t="shared" si="3"/>
        <v/>
      </c>
    </row>
    <row r="178" ht="15.75" customHeight="1">
      <c r="A178" s="32" t="s">
        <v>113</v>
      </c>
      <c r="B178" s="32" t="str">
        <f>IF(MOV_CC_NACIONAL!A178="","",MOV_CC_NACIONAL!A178)</f>
        <v/>
      </c>
      <c r="C178" s="32" t="str">
        <f>IF(MOV_CC_NACIONAL!B178="","",MOV_CC_NACIONAL!B178)</f>
        <v/>
      </c>
      <c r="D178" s="33" t="str">
        <f>IF(MOV_CC_NACIONAL!C178="","",MOV_CC_NACIONAL!C178)</f>
        <v/>
      </c>
      <c r="E178" s="32" t="str">
        <f t="shared" si="1"/>
        <v/>
      </c>
      <c r="F178" s="32" t="str">
        <f>IFERROR(__xludf.DUMMYFUNCTION("IF(C178="""","""", OR(REGEXMATCH(LOWER(C178),""cuota""), REGEXMATCH(C178,""\d+\s*/\s*\d+"")))"),"")</f>
        <v/>
      </c>
      <c r="G178" s="32" t="str">
        <f>IFERROR(__xludf.DUMMYFUNCTION("IFERROR(VALUE(REGEXEXTRACT(C178,""(\d+)\s*/\s*\d+"")),"""")"),"")</f>
        <v/>
      </c>
      <c r="H178" s="32" t="str">
        <f>IFERROR(__xludf.DUMMYFUNCTION("IFERROR(VALUE(REGEXEXTRACT(C178,""\d+\s*/\s*(\d+)"")),"""")"),"")</f>
        <v/>
      </c>
      <c r="I178" s="32" t="str">
        <f t="shared" si="2"/>
        <v/>
      </c>
      <c r="J178" s="33" t="str">
        <f t="shared" si="3"/>
        <v/>
      </c>
    </row>
    <row r="179" ht="15.75" customHeight="1">
      <c r="A179" s="22" t="s">
        <v>113</v>
      </c>
      <c r="B179" s="22" t="str">
        <f>IF(MOV_CC_NACIONAL!A179="","",MOV_CC_NACIONAL!A179)</f>
        <v/>
      </c>
      <c r="C179" s="22" t="str">
        <f>IF(MOV_CC_NACIONAL!B179="","",MOV_CC_NACIONAL!B179)</f>
        <v/>
      </c>
      <c r="D179" s="34" t="str">
        <f>IF(MOV_CC_NACIONAL!C179="","",MOV_CC_NACIONAL!C179)</f>
        <v/>
      </c>
      <c r="E179" s="22" t="str">
        <f t="shared" si="1"/>
        <v/>
      </c>
      <c r="F179" s="22" t="str">
        <f>IFERROR(__xludf.DUMMYFUNCTION("IF(C179="""","""", OR(REGEXMATCH(LOWER(C179),""cuota""), REGEXMATCH(C179,""\d+\s*/\s*\d+"")))"),"")</f>
        <v/>
      </c>
      <c r="G179" s="22" t="str">
        <f>IFERROR(__xludf.DUMMYFUNCTION("IFERROR(VALUE(REGEXEXTRACT(C179,""(\d+)\s*/\s*\d+"")),"""")"),"")</f>
        <v/>
      </c>
      <c r="H179" s="22" t="str">
        <f>IFERROR(__xludf.DUMMYFUNCTION("IFERROR(VALUE(REGEXEXTRACT(C179,""\d+\s*/\s*(\d+)"")),"""")"),"")</f>
        <v/>
      </c>
      <c r="I179" s="22" t="str">
        <f t="shared" si="2"/>
        <v/>
      </c>
      <c r="J179" s="34" t="str">
        <f t="shared" si="3"/>
        <v/>
      </c>
    </row>
    <row r="180" ht="15.75" customHeight="1">
      <c r="A180" s="32" t="s">
        <v>113</v>
      </c>
      <c r="B180" s="32" t="str">
        <f>IF(MOV_CC_NACIONAL!A180="","",MOV_CC_NACIONAL!A180)</f>
        <v/>
      </c>
      <c r="C180" s="32" t="str">
        <f>IF(MOV_CC_NACIONAL!B180="","",MOV_CC_NACIONAL!B180)</f>
        <v/>
      </c>
      <c r="D180" s="33" t="str">
        <f>IF(MOV_CC_NACIONAL!C180="","",MOV_CC_NACIONAL!C180)</f>
        <v/>
      </c>
      <c r="E180" s="32" t="str">
        <f t="shared" si="1"/>
        <v/>
      </c>
      <c r="F180" s="32" t="str">
        <f>IFERROR(__xludf.DUMMYFUNCTION("IF(C180="""","""", OR(REGEXMATCH(LOWER(C180),""cuota""), REGEXMATCH(C180,""\d+\s*/\s*\d+"")))"),"")</f>
        <v/>
      </c>
      <c r="G180" s="32" t="str">
        <f>IFERROR(__xludf.DUMMYFUNCTION("IFERROR(VALUE(REGEXEXTRACT(C180,""(\d+)\s*/\s*\d+"")),"""")"),"")</f>
        <v/>
      </c>
      <c r="H180" s="32" t="str">
        <f>IFERROR(__xludf.DUMMYFUNCTION("IFERROR(VALUE(REGEXEXTRACT(C180,""\d+\s*/\s*(\d+)"")),"""")"),"")</f>
        <v/>
      </c>
      <c r="I180" s="32" t="str">
        <f t="shared" si="2"/>
        <v/>
      </c>
      <c r="J180" s="33" t="str">
        <f t="shared" si="3"/>
        <v/>
      </c>
    </row>
    <row r="181" ht="15.75" customHeight="1">
      <c r="A181" s="22" t="s">
        <v>113</v>
      </c>
      <c r="B181" s="22" t="str">
        <f>IF(MOV_CC_NACIONAL!A181="","",MOV_CC_NACIONAL!A181)</f>
        <v/>
      </c>
      <c r="C181" s="22" t="str">
        <f>IF(MOV_CC_NACIONAL!B181="","",MOV_CC_NACIONAL!B181)</f>
        <v/>
      </c>
      <c r="D181" s="34" t="str">
        <f>IF(MOV_CC_NACIONAL!C181="","",MOV_CC_NACIONAL!C181)</f>
        <v/>
      </c>
      <c r="E181" s="22" t="str">
        <f t="shared" si="1"/>
        <v/>
      </c>
      <c r="F181" s="22" t="str">
        <f>IFERROR(__xludf.DUMMYFUNCTION("IF(C181="""","""", OR(REGEXMATCH(LOWER(C181),""cuota""), REGEXMATCH(C181,""\d+\s*/\s*\d+"")))"),"")</f>
        <v/>
      </c>
      <c r="G181" s="22" t="str">
        <f>IFERROR(__xludf.DUMMYFUNCTION("IFERROR(VALUE(REGEXEXTRACT(C181,""(\d+)\s*/\s*\d+"")),"""")"),"")</f>
        <v/>
      </c>
      <c r="H181" s="22" t="str">
        <f>IFERROR(__xludf.DUMMYFUNCTION("IFERROR(VALUE(REGEXEXTRACT(C181,""\d+\s*/\s*(\d+)"")),"""")"),"")</f>
        <v/>
      </c>
      <c r="I181" s="22" t="str">
        <f t="shared" si="2"/>
        <v/>
      </c>
      <c r="J181" s="34" t="str">
        <f t="shared" si="3"/>
        <v/>
      </c>
    </row>
    <row r="182" ht="15.75" customHeight="1">
      <c r="A182" s="32" t="s">
        <v>113</v>
      </c>
      <c r="B182" s="32" t="str">
        <f>IF(MOV_CC_NACIONAL!A182="","",MOV_CC_NACIONAL!A182)</f>
        <v/>
      </c>
      <c r="C182" s="32" t="str">
        <f>IF(MOV_CC_NACIONAL!B182="","",MOV_CC_NACIONAL!B182)</f>
        <v/>
      </c>
      <c r="D182" s="33" t="str">
        <f>IF(MOV_CC_NACIONAL!C182="","",MOV_CC_NACIONAL!C182)</f>
        <v/>
      </c>
      <c r="E182" s="32" t="str">
        <f t="shared" si="1"/>
        <v/>
      </c>
      <c r="F182" s="32" t="str">
        <f>IFERROR(__xludf.DUMMYFUNCTION("IF(C182="""","""", OR(REGEXMATCH(LOWER(C182),""cuota""), REGEXMATCH(C182,""\d+\s*/\s*\d+"")))"),"")</f>
        <v/>
      </c>
      <c r="G182" s="32" t="str">
        <f>IFERROR(__xludf.DUMMYFUNCTION("IFERROR(VALUE(REGEXEXTRACT(C182,""(\d+)\s*/\s*\d+"")),"""")"),"")</f>
        <v/>
      </c>
      <c r="H182" s="32" t="str">
        <f>IFERROR(__xludf.DUMMYFUNCTION("IFERROR(VALUE(REGEXEXTRACT(C182,""\d+\s*/\s*(\d+)"")),"""")"),"")</f>
        <v/>
      </c>
      <c r="I182" s="32" t="str">
        <f t="shared" si="2"/>
        <v/>
      </c>
      <c r="J182" s="33" t="str">
        <f t="shared" si="3"/>
        <v/>
      </c>
    </row>
    <row r="183" ht="15.75" customHeight="1">
      <c r="A183" s="22" t="s">
        <v>113</v>
      </c>
      <c r="B183" s="22" t="str">
        <f>IF(MOV_CC_NACIONAL!A183="","",MOV_CC_NACIONAL!A183)</f>
        <v/>
      </c>
      <c r="C183" s="22" t="str">
        <f>IF(MOV_CC_NACIONAL!B183="","",MOV_CC_NACIONAL!B183)</f>
        <v/>
      </c>
      <c r="D183" s="34" t="str">
        <f>IF(MOV_CC_NACIONAL!C183="","",MOV_CC_NACIONAL!C183)</f>
        <v/>
      </c>
      <c r="E183" s="22" t="str">
        <f t="shared" si="1"/>
        <v/>
      </c>
      <c r="F183" s="22" t="str">
        <f>IFERROR(__xludf.DUMMYFUNCTION("IF(C183="""","""", OR(REGEXMATCH(LOWER(C183),""cuota""), REGEXMATCH(C183,""\d+\s*/\s*\d+"")))"),"")</f>
        <v/>
      </c>
      <c r="G183" s="22" t="str">
        <f>IFERROR(__xludf.DUMMYFUNCTION("IFERROR(VALUE(REGEXEXTRACT(C183,""(\d+)\s*/\s*\d+"")),"""")"),"")</f>
        <v/>
      </c>
      <c r="H183" s="22" t="str">
        <f>IFERROR(__xludf.DUMMYFUNCTION("IFERROR(VALUE(REGEXEXTRACT(C183,""\d+\s*/\s*(\d+)"")),"""")"),"")</f>
        <v/>
      </c>
      <c r="I183" s="22" t="str">
        <f t="shared" si="2"/>
        <v/>
      </c>
      <c r="J183" s="34" t="str">
        <f t="shared" si="3"/>
        <v/>
      </c>
    </row>
    <row r="184" ht="15.75" customHeight="1">
      <c r="A184" s="32" t="s">
        <v>113</v>
      </c>
      <c r="B184" s="32" t="str">
        <f>IF(MOV_CC_NACIONAL!A184="","",MOV_CC_NACIONAL!A184)</f>
        <v/>
      </c>
      <c r="C184" s="32" t="str">
        <f>IF(MOV_CC_NACIONAL!B184="","",MOV_CC_NACIONAL!B184)</f>
        <v/>
      </c>
      <c r="D184" s="33" t="str">
        <f>IF(MOV_CC_NACIONAL!C184="","",MOV_CC_NACIONAL!C184)</f>
        <v/>
      </c>
      <c r="E184" s="32" t="str">
        <f t="shared" si="1"/>
        <v/>
      </c>
      <c r="F184" s="32" t="str">
        <f>IFERROR(__xludf.DUMMYFUNCTION("IF(C184="""","""", OR(REGEXMATCH(LOWER(C184),""cuota""), REGEXMATCH(C184,""\d+\s*/\s*\d+"")))"),"")</f>
        <v/>
      </c>
      <c r="G184" s="32" t="str">
        <f>IFERROR(__xludf.DUMMYFUNCTION("IFERROR(VALUE(REGEXEXTRACT(C184,""(\d+)\s*/\s*\d+"")),"""")"),"")</f>
        <v/>
      </c>
      <c r="H184" s="32" t="str">
        <f>IFERROR(__xludf.DUMMYFUNCTION("IFERROR(VALUE(REGEXEXTRACT(C184,""\d+\s*/\s*(\d+)"")),"""")"),"")</f>
        <v/>
      </c>
      <c r="I184" s="32" t="str">
        <f t="shared" si="2"/>
        <v/>
      </c>
      <c r="J184" s="33" t="str">
        <f t="shared" si="3"/>
        <v/>
      </c>
    </row>
    <row r="185" ht="15.75" customHeight="1">
      <c r="A185" s="22" t="s">
        <v>113</v>
      </c>
      <c r="B185" s="22" t="str">
        <f>IF(MOV_CC_NACIONAL!A185="","",MOV_CC_NACIONAL!A185)</f>
        <v/>
      </c>
      <c r="C185" s="22" t="str">
        <f>IF(MOV_CC_NACIONAL!B185="","",MOV_CC_NACIONAL!B185)</f>
        <v/>
      </c>
      <c r="D185" s="34" t="str">
        <f>IF(MOV_CC_NACIONAL!C185="","",MOV_CC_NACIONAL!C185)</f>
        <v/>
      </c>
      <c r="E185" s="22" t="str">
        <f t="shared" si="1"/>
        <v/>
      </c>
      <c r="F185" s="22" t="str">
        <f>IFERROR(__xludf.DUMMYFUNCTION("IF(C185="""","""", OR(REGEXMATCH(LOWER(C185),""cuota""), REGEXMATCH(C185,""\d+\s*/\s*\d+"")))"),"")</f>
        <v/>
      </c>
      <c r="G185" s="22" t="str">
        <f>IFERROR(__xludf.DUMMYFUNCTION("IFERROR(VALUE(REGEXEXTRACT(C185,""(\d+)\s*/\s*\d+"")),"""")"),"")</f>
        <v/>
      </c>
      <c r="H185" s="22" t="str">
        <f>IFERROR(__xludf.DUMMYFUNCTION("IFERROR(VALUE(REGEXEXTRACT(C185,""\d+\s*/\s*(\d+)"")),"""")"),"")</f>
        <v/>
      </c>
      <c r="I185" s="22" t="str">
        <f t="shared" si="2"/>
        <v/>
      </c>
      <c r="J185" s="34" t="str">
        <f t="shared" si="3"/>
        <v/>
      </c>
    </row>
    <row r="186" ht="15.75" customHeight="1">
      <c r="A186" s="32" t="s">
        <v>113</v>
      </c>
      <c r="B186" s="32" t="str">
        <f>IF(MOV_CC_NACIONAL!A186="","",MOV_CC_NACIONAL!A186)</f>
        <v/>
      </c>
      <c r="C186" s="32" t="str">
        <f>IF(MOV_CC_NACIONAL!B186="","",MOV_CC_NACIONAL!B186)</f>
        <v/>
      </c>
      <c r="D186" s="33" t="str">
        <f>IF(MOV_CC_NACIONAL!C186="","",MOV_CC_NACIONAL!C186)</f>
        <v/>
      </c>
      <c r="E186" s="32" t="str">
        <f t="shared" si="1"/>
        <v/>
      </c>
      <c r="F186" s="32" t="str">
        <f>IFERROR(__xludf.DUMMYFUNCTION("IF(C186="""","""", OR(REGEXMATCH(LOWER(C186),""cuota""), REGEXMATCH(C186,""\d+\s*/\s*\d+"")))"),"")</f>
        <v/>
      </c>
      <c r="G186" s="32" t="str">
        <f>IFERROR(__xludf.DUMMYFUNCTION("IFERROR(VALUE(REGEXEXTRACT(C186,""(\d+)\s*/\s*\d+"")),"""")"),"")</f>
        <v/>
      </c>
      <c r="H186" s="32" t="str">
        <f>IFERROR(__xludf.DUMMYFUNCTION("IFERROR(VALUE(REGEXEXTRACT(C186,""\d+\s*/\s*(\d+)"")),"""")"),"")</f>
        <v/>
      </c>
      <c r="I186" s="32" t="str">
        <f t="shared" si="2"/>
        <v/>
      </c>
      <c r="J186" s="33" t="str">
        <f t="shared" si="3"/>
        <v/>
      </c>
    </row>
    <row r="187" ht="15.75" customHeight="1">
      <c r="A187" s="22" t="s">
        <v>113</v>
      </c>
      <c r="B187" s="22" t="str">
        <f>IF(MOV_CC_NACIONAL!A187="","",MOV_CC_NACIONAL!A187)</f>
        <v/>
      </c>
      <c r="C187" s="22" t="str">
        <f>IF(MOV_CC_NACIONAL!B187="","",MOV_CC_NACIONAL!B187)</f>
        <v/>
      </c>
      <c r="D187" s="34" t="str">
        <f>IF(MOV_CC_NACIONAL!C187="","",MOV_CC_NACIONAL!C187)</f>
        <v/>
      </c>
      <c r="E187" s="22" t="str">
        <f t="shared" si="1"/>
        <v/>
      </c>
      <c r="F187" s="22" t="str">
        <f>IFERROR(__xludf.DUMMYFUNCTION("IF(C187="""","""", OR(REGEXMATCH(LOWER(C187),""cuota""), REGEXMATCH(C187,""\d+\s*/\s*\d+"")))"),"")</f>
        <v/>
      </c>
      <c r="G187" s="22" t="str">
        <f>IFERROR(__xludf.DUMMYFUNCTION("IFERROR(VALUE(REGEXEXTRACT(C187,""(\d+)\s*/\s*\d+"")),"""")"),"")</f>
        <v/>
      </c>
      <c r="H187" s="22" t="str">
        <f>IFERROR(__xludf.DUMMYFUNCTION("IFERROR(VALUE(REGEXEXTRACT(C187,""\d+\s*/\s*(\d+)"")),"""")"),"")</f>
        <v/>
      </c>
      <c r="I187" s="22" t="str">
        <f t="shared" si="2"/>
        <v/>
      </c>
      <c r="J187" s="34" t="str">
        <f t="shared" si="3"/>
        <v/>
      </c>
    </row>
    <row r="188" ht="15.75" customHeight="1">
      <c r="A188" s="32" t="s">
        <v>113</v>
      </c>
      <c r="B188" s="32" t="str">
        <f>IF(MOV_CC_NACIONAL!A188="","",MOV_CC_NACIONAL!A188)</f>
        <v/>
      </c>
      <c r="C188" s="32" t="str">
        <f>IF(MOV_CC_NACIONAL!B188="","",MOV_CC_NACIONAL!B188)</f>
        <v/>
      </c>
      <c r="D188" s="33" t="str">
        <f>IF(MOV_CC_NACIONAL!C188="","",MOV_CC_NACIONAL!C188)</f>
        <v/>
      </c>
      <c r="E188" s="32" t="str">
        <f t="shared" si="1"/>
        <v/>
      </c>
      <c r="F188" s="32" t="str">
        <f>IFERROR(__xludf.DUMMYFUNCTION("IF(C188="""","""", OR(REGEXMATCH(LOWER(C188),""cuota""), REGEXMATCH(C188,""\d+\s*/\s*\d+"")))"),"")</f>
        <v/>
      </c>
      <c r="G188" s="32" t="str">
        <f>IFERROR(__xludf.DUMMYFUNCTION("IFERROR(VALUE(REGEXEXTRACT(C188,""(\d+)\s*/\s*\d+"")),"""")"),"")</f>
        <v/>
      </c>
      <c r="H188" s="32" t="str">
        <f>IFERROR(__xludf.DUMMYFUNCTION("IFERROR(VALUE(REGEXEXTRACT(C188,""\d+\s*/\s*(\d+)"")),"""")"),"")</f>
        <v/>
      </c>
      <c r="I188" s="32" t="str">
        <f t="shared" si="2"/>
        <v/>
      </c>
      <c r="J188" s="33" t="str">
        <f t="shared" si="3"/>
        <v/>
      </c>
    </row>
    <row r="189" ht="15.75" customHeight="1">
      <c r="A189" s="22" t="s">
        <v>113</v>
      </c>
      <c r="B189" s="22" t="str">
        <f>IF(MOV_CC_NACIONAL!A189="","",MOV_CC_NACIONAL!A189)</f>
        <v/>
      </c>
      <c r="C189" s="22" t="str">
        <f>IF(MOV_CC_NACIONAL!B189="","",MOV_CC_NACIONAL!B189)</f>
        <v/>
      </c>
      <c r="D189" s="34" t="str">
        <f>IF(MOV_CC_NACIONAL!C189="","",MOV_CC_NACIONAL!C189)</f>
        <v/>
      </c>
      <c r="E189" s="22" t="str">
        <f t="shared" si="1"/>
        <v/>
      </c>
      <c r="F189" s="22" t="str">
        <f>IFERROR(__xludf.DUMMYFUNCTION("IF(C189="""","""", OR(REGEXMATCH(LOWER(C189),""cuota""), REGEXMATCH(C189,""\d+\s*/\s*\d+"")))"),"")</f>
        <v/>
      </c>
      <c r="G189" s="22" t="str">
        <f>IFERROR(__xludf.DUMMYFUNCTION("IFERROR(VALUE(REGEXEXTRACT(C189,""(\d+)\s*/\s*\d+"")),"""")"),"")</f>
        <v/>
      </c>
      <c r="H189" s="22" t="str">
        <f>IFERROR(__xludf.DUMMYFUNCTION("IFERROR(VALUE(REGEXEXTRACT(C189,""\d+\s*/\s*(\d+)"")),"""")"),"")</f>
        <v/>
      </c>
      <c r="I189" s="22" t="str">
        <f t="shared" si="2"/>
        <v/>
      </c>
      <c r="J189" s="34" t="str">
        <f t="shared" si="3"/>
        <v/>
      </c>
    </row>
    <row r="190" ht="15.75" customHeight="1">
      <c r="A190" s="32" t="s">
        <v>113</v>
      </c>
      <c r="B190" s="32" t="str">
        <f>IF(MOV_CC_NACIONAL!A190="","",MOV_CC_NACIONAL!A190)</f>
        <v/>
      </c>
      <c r="C190" s="32" t="str">
        <f>IF(MOV_CC_NACIONAL!B190="","",MOV_CC_NACIONAL!B190)</f>
        <v/>
      </c>
      <c r="D190" s="33" t="str">
        <f>IF(MOV_CC_NACIONAL!C190="","",MOV_CC_NACIONAL!C190)</f>
        <v/>
      </c>
      <c r="E190" s="32" t="str">
        <f t="shared" si="1"/>
        <v/>
      </c>
      <c r="F190" s="32" t="str">
        <f>IFERROR(__xludf.DUMMYFUNCTION("IF(C190="""","""", OR(REGEXMATCH(LOWER(C190),""cuota""), REGEXMATCH(C190,""\d+\s*/\s*\d+"")))"),"")</f>
        <v/>
      </c>
      <c r="G190" s="32" t="str">
        <f>IFERROR(__xludf.DUMMYFUNCTION("IFERROR(VALUE(REGEXEXTRACT(C190,""(\d+)\s*/\s*\d+"")),"""")"),"")</f>
        <v/>
      </c>
      <c r="H190" s="32" t="str">
        <f>IFERROR(__xludf.DUMMYFUNCTION("IFERROR(VALUE(REGEXEXTRACT(C190,""\d+\s*/\s*(\d+)"")),"""")"),"")</f>
        <v/>
      </c>
      <c r="I190" s="32" t="str">
        <f t="shared" si="2"/>
        <v/>
      </c>
      <c r="J190" s="33" t="str">
        <f t="shared" si="3"/>
        <v/>
      </c>
    </row>
    <row r="191" ht="15.75" customHeight="1">
      <c r="A191" s="22" t="s">
        <v>113</v>
      </c>
      <c r="B191" s="22" t="str">
        <f>IF(MOV_CC_NACIONAL!A191="","",MOV_CC_NACIONAL!A191)</f>
        <v/>
      </c>
      <c r="C191" s="22" t="str">
        <f>IF(MOV_CC_NACIONAL!B191="","",MOV_CC_NACIONAL!B191)</f>
        <v/>
      </c>
      <c r="D191" s="34" t="str">
        <f>IF(MOV_CC_NACIONAL!C191="","",MOV_CC_NACIONAL!C191)</f>
        <v/>
      </c>
      <c r="E191" s="22" t="str">
        <f t="shared" si="1"/>
        <v/>
      </c>
      <c r="F191" s="22" t="str">
        <f>IFERROR(__xludf.DUMMYFUNCTION("IF(C191="""","""", OR(REGEXMATCH(LOWER(C191),""cuota""), REGEXMATCH(C191,""\d+\s*/\s*\d+"")))"),"")</f>
        <v/>
      </c>
      <c r="G191" s="22" t="str">
        <f>IFERROR(__xludf.DUMMYFUNCTION("IFERROR(VALUE(REGEXEXTRACT(C191,""(\d+)\s*/\s*\d+"")),"""")"),"")</f>
        <v/>
      </c>
      <c r="H191" s="22" t="str">
        <f>IFERROR(__xludf.DUMMYFUNCTION("IFERROR(VALUE(REGEXEXTRACT(C191,""\d+\s*/\s*(\d+)"")),"""")"),"")</f>
        <v/>
      </c>
      <c r="I191" s="22" t="str">
        <f t="shared" si="2"/>
        <v/>
      </c>
      <c r="J191" s="34" t="str">
        <f t="shared" si="3"/>
        <v/>
      </c>
    </row>
    <row r="192" ht="15.75" customHeight="1">
      <c r="A192" s="32" t="s">
        <v>113</v>
      </c>
      <c r="B192" s="32" t="str">
        <f>IF(MOV_CC_NACIONAL!A192="","",MOV_CC_NACIONAL!A192)</f>
        <v/>
      </c>
      <c r="C192" s="32" t="str">
        <f>IF(MOV_CC_NACIONAL!B192="","",MOV_CC_NACIONAL!B192)</f>
        <v/>
      </c>
      <c r="D192" s="33" t="str">
        <f>IF(MOV_CC_NACIONAL!C192="","",MOV_CC_NACIONAL!C192)</f>
        <v/>
      </c>
      <c r="E192" s="32" t="str">
        <f t="shared" si="1"/>
        <v/>
      </c>
      <c r="F192" s="32" t="str">
        <f>IFERROR(__xludf.DUMMYFUNCTION("IF(C192="""","""", OR(REGEXMATCH(LOWER(C192),""cuota""), REGEXMATCH(C192,""\d+\s*/\s*\d+"")))"),"")</f>
        <v/>
      </c>
      <c r="G192" s="32" t="str">
        <f>IFERROR(__xludf.DUMMYFUNCTION("IFERROR(VALUE(REGEXEXTRACT(C192,""(\d+)\s*/\s*\d+"")),"""")"),"")</f>
        <v/>
      </c>
      <c r="H192" s="32" t="str">
        <f>IFERROR(__xludf.DUMMYFUNCTION("IFERROR(VALUE(REGEXEXTRACT(C192,""\d+\s*/\s*(\d+)"")),"""")"),"")</f>
        <v/>
      </c>
      <c r="I192" s="32" t="str">
        <f t="shared" si="2"/>
        <v/>
      </c>
      <c r="J192" s="33" t="str">
        <f t="shared" si="3"/>
        <v/>
      </c>
    </row>
    <row r="193" ht="15.75" customHeight="1">
      <c r="A193" s="22" t="s">
        <v>113</v>
      </c>
      <c r="B193" s="22" t="str">
        <f>IF(MOV_CC_NACIONAL!A193="","",MOV_CC_NACIONAL!A193)</f>
        <v/>
      </c>
      <c r="C193" s="22" t="str">
        <f>IF(MOV_CC_NACIONAL!B193="","",MOV_CC_NACIONAL!B193)</f>
        <v/>
      </c>
      <c r="D193" s="34" t="str">
        <f>IF(MOV_CC_NACIONAL!C193="","",MOV_CC_NACIONAL!C193)</f>
        <v/>
      </c>
      <c r="E193" s="22" t="str">
        <f t="shared" si="1"/>
        <v/>
      </c>
      <c r="F193" s="22" t="str">
        <f>IFERROR(__xludf.DUMMYFUNCTION("IF(C193="""","""", OR(REGEXMATCH(LOWER(C193),""cuota""), REGEXMATCH(C193,""\d+\s*/\s*\d+"")))"),"")</f>
        <v/>
      </c>
      <c r="G193" s="22" t="str">
        <f>IFERROR(__xludf.DUMMYFUNCTION("IFERROR(VALUE(REGEXEXTRACT(C193,""(\d+)\s*/\s*\d+"")),"""")"),"")</f>
        <v/>
      </c>
      <c r="H193" s="22" t="str">
        <f>IFERROR(__xludf.DUMMYFUNCTION("IFERROR(VALUE(REGEXEXTRACT(C193,""\d+\s*/\s*(\d+)"")),"""")"),"")</f>
        <v/>
      </c>
      <c r="I193" s="22" t="str">
        <f t="shared" si="2"/>
        <v/>
      </c>
      <c r="J193" s="34" t="str">
        <f t="shared" si="3"/>
        <v/>
      </c>
    </row>
    <row r="194" ht="15.75" customHeight="1">
      <c r="A194" s="32" t="s">
        <v>113</v>
      </c>
      <c r="B194" s="32" t="str">
        <f>IF(MOV_CC_NACIONAL!A194="","",MOV_CC_NACIONAL!A194)</f>
        <v/>
      </c>
      <c r="C194" s="32" t="str">
        <f>IF(MOV_CC_NACIONAL!B194="","",MOV_CC_NACIONAL!B194)</f>
        <v/>
      </c>
      <c r="D194" s="33" t="str">
        <f>IF(MOV_CC_NACIONAL!C194="","",MOV_CC_NACIONAL!C194)</f>
        <v/>
      </c>
      <c r="E194" s="32" t="str">
        <f t="shared" si="1"/>
        <v/>
      </c>
      <c r="F194" s="32" t="str">
        <f>IFERROR(__xludf.DUMMYFUNCTION("IF(C194="""","""", OR(REGEXMATCH(LOWER(C194),""cuota""), REGEXMATCH(C194,""\d+\s*/\s*\d+"")))"),"")</f>
        <v/>
      </c>
      <c r="G194" s="32" t="str">
        <f>IFERROR(__xludf.DUMMYFUNCTION("IFERROR(VALUE(REGEXEXTRACT(C194,""(\d+)\s*/\s*\d+"")),"""")"),"")</f>
        <v/>
      </c>
      <c r="H194" s="32" t="str">
        <f>IFERROR(__xludf.DUMMYFUNCTION("IFERROR(VALUE(REGEXEXTRACT(C194,""\d+\s*/\s*(\d+)"")),"""")"),"")</f>
        <v/>
      </c>
      <c r="I194" s="32" t="str">
        <f t="shared" si="2"/>
        <v/>
      </c>
      <c r="J194" s="33" t="str">
        <f t="shared" si="3"/>
        <v/>
      </c>
    </row>
    <row r="195" ht="15.75" customHeight="1">
      <c r="A195" s="22" t="s">
        <v>113</v>
      </c>
      <c r="B195" s="22" t="str">
        <f>IF(MOV_CC_NACIONAL!A195="","",MOV_CC_NACIONAL!A195)</f>
        <v/>
      </c>
      <c r="C195" s="22" t="str">
        <f>IF(MOV_CC_NACIONAL!B195="","",MOV_CC_NACIONAL!B195)</f>
        <v/>
      </c>
      <c r="D195" s="34" t="str">
        <f>IF(MOV_CC_NACIONAL!C195="","",MOV_CC_NACIONAL!C195)</f>
        <v/>
      </c>
      <c r="E195" s="22" t="str">
        <f t="shared" si="1"/>
        <v/>
      </c>
      <c r="F195" s="22" t="str">
        <f>IFERROR(__xludf.DUMMYFUNCTION("IF(C195="""","""", OR(REGEXMATCH(LOWER(C195),""cuota""), REGEXMATCH(C195,""\d+\s*/\s*\d+"")))"),"")</f>
        <v/>
      </c>
      <c r="G195" s="22" t="str">
        <f>IFERROR(__xludf.DUMMYFUNCTION("IFERROR(VALUE(REGEXEXTRACT(C195,""(\d+)\s*/\s*\d+"")),"""")"),"")</f>
        <v/>
      </c>
      <c r="H195" s="22" t="str">
        <f>IFERROR(__xludf.DUMMYFUNCTION("IFERROR(VALUE(REGEXEXTRACT(C195,""\d+\s*/\s*(\d+)"")),"""")"),"")</f>
        <v/>
      </c>
      <c r="I195" s="22" t="str">
        <f t="shared" si="2"/>
        <v/>
      </c>
      <c r="J195" s="34" t="str">
        <f t="shared" si="3"/>
        <v/>
      </c>
    </row>
    <row r="196" ht="15.75" customHeight="1">
      <c r="A196" s="32" t="s">
        <v>113</v>
      </c>
      <c r="B196" s="32" t="str">
        <f>IF(MOV_CC_NACIONAL!A196="","",MOV_CC_NACIONAL!A196)</f>
        <v/>
      </c>
      <c r="C196" s="32" t="str">
        <f>IF(MOV_CC_NACIONAL!B196="","",MOV_CC_NACIONAL!B196)</f>
        <v/>
      </c>
      <c r="D196" s="33" t="str">
        <f>IF(MOV_CC_NACIONAL!C196="","",MOV_CC_NACIONAL!C196)</f>
        <v/>
      </c>
      <c r="E196" s="32" t="str">
        <f t="shared" si="1"/>
        <v/>
      </c>
      <c r="F196" s="32" t="str">
        <f>IFERROR(__xludf.DUMMYFUNCTION("IF(C196="""","""", OR(REGEXMATCH(LOWER(C196),""cuota""), REGEXMATCH(C196,""\d+\s*/\s*\d+"")))"),"")</f>
        <v/>
      </c>
      <c r="G196" s="32" t="str">
        <f>IFERROR(__xludf.DUMMYFUNCTION("IFERROR(VALUE(REGEXEXTRACT(C196,""(\d+)\s*/\s*\d+"")),"""")"),"")</f>
        <v/>
      </c>
      <c r="H196" s="32" t="str">
        <f>IFERROR(__xludf.DUMMYFUNCTION("IFERROR(VALUE(REGEXEXTRACT(C196,""\d+\s*/\s*(\d+)"")),"""")"),"")</f>
        <v/>
      </c>
      <c r="I196" s="32" t="str">
        <f t="shared" si="2"/>
        <v/>
      </c>
      <c r="J196" s="33" t="str">
        <f t="shared" si="3"/>
        <v/>
      </c>
    </row>
    <row r="197" ht="15.75" customHeight="1">
      <c r="A197" s="22" t="s">
        <v>113</v>
      </c>
      <c r="B197" s="22" t="str">
        <f>IF(MOV_CC_NACIONAL!A197="","",MOV_CC_NACIONAL!A197)</f>
        <v/>
      </c>
      <c r="C197" s="22" t="str">
        <f>IF(MOV_CC_NACIONAL!B197="","",MOV_CC_NACIONAL!B197)</f>
        <v/>
      </c>
      <c r="D197" s="34" t="str">
        <f>IF(MOV_CC_NACIONAL!C197="","",MOV_CC_NACIONAL!C197)</f>
        <v/>
      </c>
      <c r="E197" s="22" t="str">
        <f t="shared" si="1"/>
        <v/>
      </c>
      <c r="F197" s="22" t="str">
        <f>IFERROR(__xludf.DUMMYFUNCTION("IF(C197="""","""", OR(REGEXMATCH(LOWER(C197),""cuota""), REGEXMATCH(C197,""\d+\s*/\s*\d+"")))"),"")</f>
        <v/>
      </c>
      <c r="G197" s="22" t="str">
        <f>IFERROR(__xludf.DUMMYFUNCTION("IFERROR(VALUE(REGEXEXTRACT(C197,""(\d+)\s*/\s*\d+"")),"""")"),"")</f>
        <v/>
      </c>
      <c r="H197" s="22" t="str">
        <f>IFERROR(__xludf.DUMMYFUNCTION("IFERROR(VALUE(REGEXEXTRACT(C197,""\d+\s*/\s*(\d+)"")),"""")"),"")</f>
        <v/>
      </c>
      <c r="I197" s="22" t="str">
        <f t="shared" si="2"/>
        <v/>
      </c>
      <c r="J197" s="34" t="str">
        <f t="shared" si="3"/>
        <v/>
      </c>
    </row>
    <row r="198" ht="15.75" customHeight="1">
      <c r="A198" s="32" t="s">
        <v>113</v>
      </c>
      <c r="B198" s="32" t="str">
        <f>IF(MOV_CC_NACIONAL!A198="","",MOV_CC_NACIONAL!A198)</f>
        <v/>
      </c>
      <c r="C198" s="32" t="str">
        <f>IF(MOV_CC_NACIONAL!B198="","",MOV_CC_NACIONAL!B198)</f>
        <v/>
      </c>
      <c r="D198" s="33" t="str">
        <f>IF(MOV_CC_NACIONAL!C198="","",MOV_CC_NACIONAL!C198)</f>
        <v/>
      </c>
      <c r="E198" s="32" t="str">
        <f t="shared" si="1"/>
        <v/>
      </c>
      <c r="F198" s="32" t="str">
        <f>IFERROR(__xludf.DUMMYFUNCTION("IF(C198="""","""", OR(REGEXMATCH(LOWER(C198),""cuota""), REGEXMATCH(C198,""\d+\s*/\s*\d+"")))"),"")</f>
        <v/>
      </c>
      <c r="G198" s="32" t="str">
        <f>IFERROR(__xludf.DUMMYFUNCTION("IFERROR(VALUE(REGEXEXTRACT(C198,""(\d+)\s*/\s*\d+"")),"""")"),"")</f>
        <v/>
      </c>
      <c r="H198" s="32" t="str">
        <f>IFERROR(__xludf.DUMMYFUNCTION("IFERROR(VALUE(REGEXEXTRACT(C198,""\d+\s*/\s*(\d+)"")),"""")"),"")</f>
        <v/>
      </c>
      <c r="I198" s="32" t="str">
        <f t="shared" si="2"/>
        <v/>
      </c>
      <c r="J198" s="33" t="str">
        <f t="shared" si="3"/>
        <v/>
      </c>
    </row>
    <row r="199" ht="15.75" customHeight="1">
      <c r="A199" s="22" t="s">
        <v>113</v>
      </c>
      <c r="B199" s="22" t="str">
        <f>IF(MOV_CC_NACIONAL!A199="","",MOV_CC_NACIONAL!A199)</f>
        <v/>
      </c>
      <c r="C199" s="22" t="str">
        <f>IF(MOV_CC_NACIONAL!B199="","",MOV_CC_NACIONAL!B199)</f>
        <v/>
      </c>
      <c r="D199" s="34" t="str">
        <f>IF(MOV_CC_NACIONAL!C199="","",MOV_CC_NACIONAL!C199)</f>
        <v/>
      </c>
      <c r="E199" s="22" t="str">
        <f t="shared" si="1"/>
        <v/>
      </c>
      <c r="F199" s="22" t="str">
        <f>IFERROR(__xludf.DUMMYFUNCTION("IF(C199="""","""", OR(REGEXMATCH(LOWER(C199),""cuota""), REGEXMATCH(C199,""\d+\s*/\s*\d+"")))"),"")</f>
        <v/>
      </c>
      <c r="G199" s="22" t="str">
        <f>IFERROR(__xludf.DUMMYFUNCTION("IFERROR(VALUE(REGEXEXTRACT(C199,""(\d+)\s*/\s*\d+"")),"""")"),"")</f>
        <v/>
      </c>
      <c r="H199" s="22" t="str">
        <f>IFERROR(__xludf.DUMMYFUNCTION("IFERROR(VALUE(REGEXEXTRACT(C199,""\d+\s*/\s*(\d+)"")),"""")"),"")</f>
        <v/>
      </c>
      <c r="I199" s="22" t="str">
        <f t="shared" si="2"/>
        <v/>
      </c>
      <c r="J199" s="34" t="str">
        <f t="shared" si="3"/>
        <v/>
      </c>
    </row>
    <row r="200" ht="15.75" customHeight="1">
      <c r="A200" s="32" t="s">
        <v>113</v>
      </c>
      <c r="B200" s="32" t="str">
        <f>IF(MOV_CC_NACIONAL!A200="","",MOV_CC_NACIONAL!A200)</f>
        <v/>
      </c>
      <c r="C200" s="32" t="str">
        <f>IF(MOV_CC_NACIONAL!B200="","",MOV_CC_NACIONAL!B200)</f>
        <v/>
      </c>
      <c r="D200" s="33" t="str">
        <f>IF(MOV_CC_NACIONAL!C200="","",MOV_CC_NACIONAL!C200)</f>
        <v/>
      </c>
      <c r="E200" s="32" t="str">
        <f t="shared" si="1"/>
        <v/>
      </c>
      <c r="F200" s="32" t="str">
        <f>IFERROR(__xludf.DUMMYFUNCTION("IF(C200="""","""", OR(REGEXMATCH(LOWER(C200),""cuota""), REGEXMATCH(C200,""\d+\s*/\s*\d+"")))"),"")</f>
        <v/>
      </c>
      <c r="G200" s="32" t="str">
        <f>IFERROR(__xludf.DUMMYFUNCTION("IFERROR(VALUE(REGEXEXTRACT(C200,""(\d+)\s*/\s*\d+"")),"""")"),"")</f>
        <v/>
      </c>
      <c r="H200" s="32" t="str">
        <f>IFERROR(__xludf.DUMMYFUNCTION("IFERROR(VALUE(REGEXEXTRACT(C200,""\d+\s*/\s*(\d+)"")),"""")"),"")</f>
        <v/>
      </c>
      <c r="I200" s="32" t="str">
        <f t="shared" si="2"/>
        <v/>
      </c>
      <c r="J200" s="33" t="str">
        <f t="shared" si="3"/>
        <v/>
      </c>
    </row>
    <row r="201" ht="15.75" customHeight="1">
      <c r="A201" s="22" t="s">
        <v>113</v>
      </c>
      <c r="B201" s="22" t="str">
        <f>IF(MOV_CC_NACIONAL!A201="","",MOV_CC_NACIONAL!A201)</f>
        <v/>
      </c>
      <c r="C201" s="22" t="str">
        <f>IF(MOV_CC_NACIONAL!B201="","",MOV_CC_NACIONAL!B201)</f>
        <v/>
      </c>
      <c r="D201" s="34" t="str">
        <f>IF(MOV_CC_NACIONAL!C201="","",MOV_CC_NACIONAL!C201)</f>
        <v/>
      </c>
      <c r="E201" s="22" t="str">
        <f t="shared" si="1"/>
        <v/>
      </c>
      <c r="F201" s="22" t="str">
        <f>IFERROR(__xludf.DUMMYFUNCTION("IF(C201="""","""", OR(REGEXMATCH(LOWER(C201),""cuota""), REGEXMATCH(C201,""\d+\s*/\s*\d+"")))"),"")</f>
        <v/>
      </c>
      <c r="G201" s="22" t="str">
        <f>IFERROR(__xludf.DUMMYFUNCTION("IFERROR(VALUE(REGEXEXTRACT(C201,""(\d+)\s*/\s*\d+"")),"""")"),"")</f>
        <v/>
      </c>
      <c r="H201" s="22" t="str">
        <f>IFERROR(__xludf.DUMMYFUNCTION("IFERROR(VALUE(REGEXEXTRACT(C201,""\d+\s*/\s*(\d+)"")),"""")"),"")</f>
        <v/>
      </c>
      <c r="I201" s="22" t="str">
        <f t="shared" si="2"/>
        <v/>
      </c>
      <c r="J201" s="34" t="str">
        <f t="shared" si="3"/>
        <v/>
      </c>
    </row>
    <row r="202" ht="15.75" customHeight="1">
      <c r="A202" s="32" t="s">
        <v>113</v>
      </c>
      <c r="B202" s="32" t="str">
        <f>IF(MOV_CC_NACIONAL!A202="","",MOV_CC_NACIONAL!A202)</f>
        <v/>
      </c>
      <c r="C202" s="32" t="str">
        <f>IF(MOV_CC_NACIONAL!B202="","",MOV_CC_NACIONAL!B202)</f>
        <v/>
      </c>
      <c r="D202" s="33" t="str">
        <f>IF(MOV_CC_NACIONAL!C202="","",MOV_CC_NACIONAL!C202)</f>
        <v/>
      </c>
      <c r="E202" s="32" t="str">
        <f t="shared" si="1"/>
        <v/>
      </c>
      <c r="F202" s="32" t="str">
        <f>IFERROR(__xludf.DUMMYFUNCTION("IF(C202="""","""", OR(REGEXMATCH(LOWER(C202),""cuota""), REGEXMATCH(C202,""\d+\s*/\s*\d+"")))"),"")</f>
        <v/>
      </c>
      <c r="G202" s="32" t="str">
        <f>IFERROR(__xludf.DUMMYFUNCTION("IFERROR(VALUE(REGEXEXTRACT(C202,""(\d+)\s*/\s*\d+"")),"""")"),"")</f>
        <v/>
      </c>
      <c r="H202" s="32" t="str">
        <f>IFERROR(__xludf.DUMMYFUNCTION("IFERROR(VALUE(REGEXEXTRACT(C202,""\d+\s*/\s*(\d+)"")),"""")"),"")</f>
        <v/>
      </c>
      <c r="I202" s="32" t="str">
        <f t="shared" si="2"/>
        <v/>
      </c>
      <c r="J202" s="33" t="str">
        <f t="shared" si="3"/>
        <v/>
      </c>
    </row>
    <row r="203" ht="15.75" customHeight="1">
      <c r="A203" s="22" t="s">
        <v>113</v>
      </c>
      <c r="B203" s="22" t="str">
        <f>IF(MOV_CC_NACIONAL!A203="","",MOV_CC_NACIONAL!A203)</f>
        <v/>
      </c>
      <c r="C203" s="22" t="str">
        <f>IF(MOV_CC_NACIONAL!B203="","",MOV_CC_NACIONAL!B203)</f>
        <v/>
      </c>
      <c r="D203" s="34" t="str">
        <f>IF(MOV_CC_NACIONAL!C203="","",MOV_CC_NACIONAL!C203)</f>
        <v/>
      </c>
      <c r="E203" s="22" t="str">
        <f t="shared" si="1"/>
        <v/>
      </c>
      <c r="F203" s="22" t="str">
        <f>IFERROR(__xludf.DUMMYFUNCTION("IF(C203="""","""", OR(REGEXMATCH(LOWER(C203),""cuota""), REGEXMATCH(C203,""\d+\s*/\s*\d+"")))"),"")</f>
        <v/>
      </c>
      <c r="G203" s="22" t="str">
        <f>IFERROR(__xludf.DUMMYFUNCTION("IFERROR(VALUE(REGEXEXTRACT(C203,""(\d+)\s*/\s*\d+"")),"""")"),"")</f>
        <v/>
      </c>
      <c r="H203" s="22" t="str">
        <f>IFERROR(__xludf.DUMMYFUNCTION("IFERROR(VALUE(REGEXEXTRACT(C203,""\d+\s*/\s*(\d+)"")),"""")"),"")</f>
        <v/>
      </c>
      <c r="I203" s="22" t="str">
        <f t="shared" si="2"/>
        <v/>
      </c>
      <c r="J203" s="34" t="str">
        <f t="shared" si="3"/>
        <v/>
      </c>
    </row>
    <row r="204" ht="15.75" customHeight="1">
      <c r="A204" s="32" t="s">
        <v>113</v>
      </c>
      <c r="B204" s="32" t="str">
        <f>IF(MOV_CC_NACIONAL!A204="","",MOV_CC_NACIONAL!A204)</f>
        <v/>
      </c>
      <c r="C204" s="32" t="str">
        <f>IF(MOV_CC_NACIONAL!B204="","",MOV_CC_NACIONAL!B204)</f>
        <v/>
      </c>
      <c r="D204" s="33" t="str">
        <f>IF(MOV_CC_NACIONAL!C204="","",MOV_CC_NACIONAL!C204)</f>
        <v/>
      </c>
      <c r="E204" s="32" t="str">
        <f t="shared" si="1"/>
        <v/>
      </c>
      <c r="F204" s="32" t="str">
        <f>IFERROR(__xludf.DUMMYFUNCTION("IF(C204="""","""", OR(REGEXMATCH(LOWER(C204),""cuota""), REGEXMATCH(C204,""\d+\s*/\s*\d+"")))"),"")</f>
        <v/>
      </c>
      <c r="G204" s="32" t="str">
        <f>IFERROR(__xludf.DUMMYFUNCTION("IFERROR(VALUE(REGEXEXTRACT(C204,""(\d+)\s*/\s*\d+"")),"""")"),"")</f>
        <v/>
      </c>
      <c r="H204" s="32" t="str">
        <f>IFERROR(__xludf.DUMMYFUNCTION("IFERROR(VALUE(REGEXEXTRACT(C204,""\d+\s*/\s*(\d+)"")),"""")"),"")</f>
        <v/>
      </c>
      <c r="I204" s="32" t="str">
        <f t="shared" si="2"/>
        <v/>
      </c>
      <c r="J204" s="33" t="str">
        <f t="shared" si="3"/>
        <v/>
      </c>
    </row>
    <row r="205" ht="15.75" customHeight="1">
      <c r="A205" s="22" t="s">
        <v>113</v>
      </c>
      <c r="B205" s="22" t="str">
        <f>IF(MOV_CC_NACIONAL!A205="","",MOV_CC_NACIONAL!A205)</f>
        <v/>
      </c>
      <c r="C205" s="22" t="str">
        <f>IF(MOV_CC_NACIONAL!B205="","",MOV_CC_NACIONAL!B205)</f>
        <v/>
      </c>
      <c r="D205" s="34" t="str">
        <f>IF(MOV_CC_NACIONAL!C205="","",MOV_CC_NACIONAL!C205)</f>
        <v/>
      </c>
      <c r="E205" s="22" t="str">
        <f t="shared" si="1"/>
        <v/>
      </c>
      <c r="F205" s="22" t="str">
        <f>IFERROR(__xludf.DUMMYFUNCTION("IF(C205="""","""", OR(REGEXMATCH(LOWER(C205),""cuota""), REGEXMATCH(C205,""\d+\s*/\s*\d+"")))"),"")</f>
        <v/>
      </c>
      <c r="G205" s="22" t="str">
        <f>IFERROR(__xludf.DUMMYFUNCTION("IFERROR(VALUE(REGEXEXTRACT(C205,""(\d+)\s*/\s*\d+"")),"""")"),"")</f>
        <v/>
      </c>
      <c r="H205" s="22" t="str">
        <f>IFERROR(__xludf.DUMMYFUNCTION("IFERROR(VALUE(REGEXEXTRACT(C205,""\d+\s*/\s*(\d+)"")),"""")"),"")</f>
        <v/>
      </c>
      <c r="I205" s="22" t="str">
        <f t="shared" si="2"/>
        <v/>
      </c>
      <c r="J205" s="34" t="str">
        <f t="shared" si="3"/>
        <v/>
      </c>
    </row>
    <row r="206" ht="15.75" customHeight="1">
      <c r="A206" s="32" t="s">
        <v>113</v>
      </c>
      <c r="B206" s="32" t="str">
        <f>IF(MOV_CC_NACIONAL!A206="","",MOV_CC_NACIONAL!A206)</f>
        <v/>
      </c>
      <c r="C206" s="32" t="str">
        <f>IF(MOV_CC_NACIONAL!B206="","",MOV_CC_NACIONAL!B206)</f>
        <v/>
      </c>
      <c r="D206" s="33" t="str">
        <f>IF(MOV_CC_NACIONAL!C206="","",MOV_CC_NACIONAL!C206)</f>
        <v/>
      </c>
      <c r="E206" s="32" t="str">
        <f t="shared" si="1"/>
        <v/>
      </c>
      <c r="F206" s="32" t="str">
        <f>IFERROR(__xludf.DUMMYFUNCTION("IF(C206="""","""", OR(REGEXMATCH(LOWER(C206),""cuota""), REGEXMATCH(C206,""\d+\s*/\s*\d+"")))"),"")</f>
        <v/>
      </c>
      <c r="G206" s="32" t="str">
        <f>IFERROR(__xludf.DUMMYFUNCTION("IFERROR(VALUE(REGEXEXTRACT(C206,""(\d+)\s*/\s*\d+"")),"""")"),"")</f>
        <v/>
      </c>
      <c r="H206" s="32" t="str">
        <f>IFERROR(__xludf.DUMMYFUNCTION("IFERROR(VALUE(REGEXEXTRACT(C206,""\d+\s*/\s*(\d+)"")),"""")"),"")</f>
        <v/>
      </c>
      <c r="I206" s="32" t="str">
        <f t="shared" si="2"/>
        <v/>
      </c>
      <c r="J206" s="33" t="str">
        <f t="shared" si="3"/>
        <v/>
      </c>
    </row>
    <row r="207" ht="15.75" customHeight="1">
      <c r="A207" s="22" t="s">
        <v>113</v>
      </c>
      <c r="B207" s="22" t="str">
        <f>IF(MOV_CC_NACIONAL!A207="","",MOV_CC_NACIONAL!A207)</f>
        <v/>
      </c>
      <c r="C207" s="22" t="str">
        <f>IF(MOV_CC_NACIONAL!B207="","",MOV_CC_NACIONAL!B207)</f>
        <v/>
      </c>
      <c r="D207" s="34" t="str">
        <f>IF(MOV_CC_NACIONAL!C207="","",MOV_CC_NACIONAL!C207)</f>
        <v/>
      </c>
      <c r="E207" s="22" t="str">
        <f t="shared" si="1"/>
        <v/>
      </c>
      <c r="F207" s="22" t="str">
        <f>IFERROR(__xludf.DUMMYFUNCTION("IF(C207="""","""", OR(REGEXMATCH(LOWER(C207),""cuota""), REGEXMATCH(C207,""\d+\s*/\s*\d+"")))"),"")</f>
        <v/>
      </c>
      <c r="G207" s="22" t="str">
        <f>IFERROR(__xludf.DUMMYFUNCTION("IFERROR(VALUE(REGEXEXTRACT(C207,""(\d+)\s*/\s*\d+"")),"""")"),"")</f>
        <v/>
      </c>
      <c r="H207" s="22" t="str">
        <f>IFERROR(__xludf.DUMMYFUNCTION("IFERROR(VALUE(REGEXEXTRACT(C207,""\d+\s*/\s*(\d+)"")),"""")"),"")</f>
        <v/>
      </c>
      <c r="I207" s="22" t="str">
        <f t="shared" si="2"/>
        <v/>
      </c>
      <c r="J207" s="34" t="str">
        <f t="shared" si="3"/>
        <v/>
      </c>
    </row>
    <row r="208" ht="15.75" customHeight="1">
      <c r="A208" s="32" t="s">
        <v>113</v>
      </c>
      <c r="B208" s="32" t="str">
        <f>IF(MOV_CC_NACIONAL!A208="","",MOV_CC_NACIONAL!A208)</f>
        <v/>
      </c>
      <c r="C208" s="32" t="str">
        <f>IF(MOV_CC_NACIONAL!B208="","",MOV_CC_NACIONAL!B208)</f>
        <v/>
      </c>
      <c r="D208" s="33" t="str">
        <f>IF(MOV_CC_NACIONAL!C208="","",MOV_CC_NACIONAL!C208)</f>
        <v/>
      </c>
      <c r="E208" s="32" t="str">
        <f t="shared" si="1"/>
        <v/>
      </c>
      <c r="F208" s="32" t="str">
        <f>IFERROR(__xludf.DUMMYFUNCTION("IF(C208="""","""", OR(REGEXMATCH(LOWER(C208),""cuota""), REGEXMATCH(C208,""\d+\s*/\s*\d+"")))"),"")</f>
        <v/>
      </c>
      <c r="G208" s="32" t="str">
        <f>IFERROR(__xludf.DUMMYFUNCTION("IFERROR(VALUE(REGEXEXTRACT(C208,""(\d+)\s*/\s*\d+"")),"""")"),"")</f>
        <v/>
      </c>
      <c r="H208" s="32" t="str">
        <f>IFERROR(__xludf.DUMMYFUNCTION("IFERROR(VALUE(REGEXEXTRACT(C208,""\d+\s*/\s*(\d+)"")),"""")"),"")</f>
        <v/>
      </c>
      <c r="I208" s="32" t="str">
        <f t="shared" si="2"/>
        <v/>
      </c>
      <c r="J208" s="33" t="str">
        <f t="shared" si="3"/>
        <v/>
      </c>
    </row>
    <row r="209" ht="15.75" customHeight="1">
      <c r="A209" s="22" t="s">
        <v>113</v>
      </c>
      <c r="B209" s="22" t="str">
        <f>IF(MOV_CC_NACIONAL!A209="","",MOV_CC_NACIONAL!A209)</f>
        <v/>
      </c>
      <c r="C209" s="22" t="str">
        <f>IF(MOV_CC_NACIONAL!B209="","",MOV_CC_NACIONAL!B209)</f>
        <v/>
      </c>
      <c r="D209" s="34" t="str">
        <f>IF(MOV_CC_NACIONAL!C209="","",MOV_CC_NACIONAL!C209)</f>
        <v/>
      </c>
      <c r="E209" s="22" t="str">
        <f t="shared" si="1"/>
        <v/>
      </c>
      <c r="F209" s="22" t="str">
        <f>IFERROR(__xludf.DUMMYFUNCTION("IF(C209="""","""", OR(REGEXMATCH(LOWER(C209),""cuota""), REGEXMATCH(C209,""\d+\s*/\s*\d+"")))"),"")</f>
        <v/>
      </c>
      <c r="G209" s="22" t="str">
        <f>IFERROR(__xludf.DUMMYFUNCTION("IFERROR(VALUE(REGEXEXTRACT(C209,""(\d+)\s*/\s*\d+"")),"""")"),"")</f>
        <v/>
      </c>
      <c r="H209" s="22" t="str">
        <f>IFERROR(__xludf.DUMMYFUNCTION("IFERROR(VALUE(REGEXEXTRACT(C209,""\d+\s*/\s*(\d+)"")),"""")"),"")</f>
        <v/>
      </c>
      <c r="I209" s="22" t="str">
        <f t="shared" si="2"/>
        <v/>
      </c>
      <c r="J209" s="34" t="str">
        <f t="shared" si="3"/>
        <v/>
      </c>
    </row>
    <row r="210" ht="15.75" customHeight="1">
      <c r="A210" s="32" t="s">
        <v>113</v>
      </c>
      <c r="B210" s="32" t="str">
        <f>IF(MOV_CC_NACIONAL!A210="","",MOV_CC_NACIONAL!A210)</f>
        <v/>
      </c>
      <c r="C210" s="32" t="str">
        <f>IF(MOV_CC_NACIONAL!B210="","",MOV_CC_NACIONAL!B210)</f>
        <v/>
      </c>
      <c r="D210" s="33" t="str">
        <f>IF(MOV_CC_NACIONAL!C210="","",MOV_CC_NACIONAL!C210)</f>
        <v/>
      </c>
      <c r="E210" s="32" t="str">
        <f t="shared" si="1"/>
        <v/>
      </c>
      <c r="F210" s="32" t="str">
        <f>IFERROR(__xludf.DUMMYFUNCTION("IF(C210="""","""", OR(REGEXMATCH(LOWER(C210),""cuota""), REGEXMATCH(C210,""\d+\s*/\s*\d+"")))"),"")</f>
        <v/>
      </c>
      <c r="G210" s="32" t="str">
        <f>IFERROR(__xludf.DUMMYFUNCTION("IFERROR(VALUE(REGEXEXTRACT(C210,""(\d+)\s*/\s*\d+"")),"""")"),"")</f>
        <v/>
      </c>
      <c r="H210" s="32" t="str">
        <f>IFERROR(__xludf.DUMMYFUNCTION("IFERROR(VALUE(REGEXEXTRACT(C210,""\d+\s*/\s*(\d+)"")),"""")"),"")</f>
        <v/>
      </c>
      <c r="I210" s="32" t="str">
        <f t="shared" si="2"/>
        <v/>
      </c>
      <c r="J210" s="33" t="str">
        <f t="shared" si="3"/>
        <v/>
      </c>
    </row>
    <row r="211" ht="15.75" customHeight="1">
      <c r="A211" s="22" t="s">
        <v>113</v>
      </c>
      <c r="B211" s="22" t="str">
        <f>IF(MOV_CC_NACIONAL!A211="","",MOV_CC_NACIONAL!A211)</f>
        <v/>
      </c>
      <c r="C211" s="22" t="str">
        <f>IF(MOV_CC_NACIONAL!B211="","",MOV_CC_NACIONAL!B211)</f>
        <v/>
      </c>
      <c r="D211" s="34" t="str">
        <f>IF(MOV_CC_NACIONAL!C211="","",MOV_CC_NACIONAL!C211)</f>
        <v/>
      </c>
      <c r="E211" s="22" t="str">
        <f t="shared" si="1"/>
        <v/>
      </c>
      <c r="F211" s="22" t="str">
        <f>IFERROR(__xludf.DUMMYFUNCTION("IF(C211="""","""", OR(REGEXMATCH(LOWER(C211),""cuota""), REGEXMATCH(C211,""\d+\s*/\s*\d+"")))"),"")</f>
        <v/>
      </c>
      <c r="G211" s="22" t="str">
        <f>IFERROR(__xludf.DUMMYFUNCTION("IFERROR(VALUE(REGEXEXTRACT(C211,""(\d+)\s*/\s*\d+"")),"""")"),"")</f>
        <v/>
      </c>
      <c r="H211" s="22" t="str">
        <f>IFERROR(__xludf.DUMMYFUNCTION("IFERROR(VALUE(REGEXEXTRACT(C211,""\d+\s*/\s*(\d+)"")),"""")"),"")</f>
        <v/>
      </c>
      <c r="I211" s="22" t="str">
        <f t="shared" si="2"/>
        <v/>
      </c>
      <c r="J211" s="34" t="str">
        <f t="shared" si="3"/>
        <v/>
      </c>
    </row>
    <row r="212" ht="15.75" customHeight="1">
      <c r="A212" s="32" t="s">
        <v>113</v>
      </c>
      <c r="B212" s="32" t="str">
        <f>IF(MOV_CC_NACIONAL!A212="","",MOV_CC_NACIONAL!A212)</f>
        <v/>
      </c>
      <c r="C212" s="32" t="str">
        <f>IF(MOV_CC_NACIONAL!B212="","",MOV_CC_NACIONAL!B212)</f>
        <v/>
      </c>
      <c r="D212" s="33" t="str">
        <f>IF(MOV_CC_NACIONAL!C212="","",MOV_CC_NACIONAL!C212)</f>
        <v/>
      </c>
      <c r="E212" s="32" t="str">
        <f t="shared" si="1"/>
        <v/>
      </c>
      <c r="F212" s="32" t="str">
        <f>IFERROR(__xludf.DUMMYFUNCTION("IF(C212="""","""", OR(REGEXMATCH(LOWER(C212),""cuota""), REGEXMATCH(C212,""\d+\s*/\s*\d+"")))"),"")</f>
        <v/>
      </c>
      <c r="G212" s="32" t="str">
        <f>IFERROR(__xludf.DUMMYFUNCTION("IFERROR(VALUE(REGEXEXTRACT(C212,""(\d+)\s*/\s*\d+"")),"""")"),"")</f>
        <v/>
      </c>
      <c r="H212" s="32" t="str">
        <f>IFERROR(__xludf.DUMMYFUNCTION("IFERROR(VALUE(REGEXEXTRACT(C212,""\d+\s*/\s*(\d+)"")),"""")"),"")</f>
        <v/>
      </c>
      <c r="I212" s="32" t="str">
        <f t="shared" si="2"/>
        <v/>
      </c>
      <c r="J212" s="33" t="str">
        <f t="shared" si="3"/>
        <v/>
      </c>
    </row>
    <row r="213" ht="15.75" customHeight="1">
      <c r="A213" s="22" t="s">
        <v>113</v>
      </c>
      <c r="B213" s="22" t="str">
        <f>IF(MOV_CC_NACIONAL!A213="","",MOV_CC_NACIONAL!A213)</f>
        <v/>
      </c>
      <c r="C213" s="22" t="str">
        <f>IF(MOV_CC_NACIONAL!B213="","",MOV_CC_NACIONAL!B213)</f>
        <v/>
      </c>
      <c r="D213" s="34" t="str">
        <f>IF(MOV_CC_NACIONAL!C213="","",MOV_CC_NACIONAL!C213)</f>
        <v/>
      </c>
      <c r="E213" s="22" t="str">
        <f t="shared" si="1"/>
        <v/>
      </c>
      <c r="F213" s="22" t="str">
        <f>IFERROR(__xludf.DUMMYFUNCTION("IF(C213="""","""", OR(REGEXMATCH(LOWER(C213),""cuota""), REGEXMATCH(C213,""\d+\s*/\s*\d+"")))"),"")</f>
        <v/>
      </c>
      <c r="G213" s="22" t="str">
        <f>IFERROR(__xludf.DUMMYFUNCTION("IFERROR(VALUE(REGEXEXTRACT(C213,""(\d+)\s*/\s*\d+"")),"""")"),"")</f>
        <v/>
      </c>
      <c r="H213" s="22" t="str">
        <f>IFERROR(__xludf.DUMMYFUNCTION("IFERROR(VALUE(REGEXEXTRACT(C213,""\d+\s*/\s*(\d+)"")),"""")"),"")</f>
        <v/>
      </c>
      <c r="I213" s="22" t="str">
        <f t="shared" si="2"/>
        <v/>
      </c>
      <c r="J213" s="34" t="str">
        <f t="shared" si="3"/>
        <v/>
      </c>
    </row>
    <row r="214" ht="15.75" customHeight="1">
      <c r="A214" s="32" t="s">
        <v>113</v>
      </c>
      <c r="B214" s="32" t="str">
        <f>IF(MOV_CC_NACIONAL!A214="","",MOV_CC_NACIONAL!A214)</f>
        <v/>
      </c>
      <c r="C214" s="32" t="str">
        <f>IF(MOV_CC_NACIONAL!B214="","",MOV_CC_NACIONAL!B214)</f>
        <v/>
      </c>
      <c r="D214" s="33" t="str">
        <f>IF(MOV_CC_NACIONAL!C214="","",MOV_CC_NACIONAL!C214)</f>
        <v/>
      </c>
      <c r="E214" s="32" t="str">
        <f t="shared" si="1"/>
        <v/>
      </c>
      <c r="F214" s="32" t="str">
        <f>IFERROR(__xludf.DUMMYFUNCTION("IF(C214="""","""", OR(REGEXMATCH(LOWER(C214),""cuota""), REGEXMATCH(C214,""\d+\s*/\s*\d+"")))"),"")</f>
        <v/>
      </c>
      <c r="G214" s="32" t="str">
        <f>IFERROR(__xludf.DUMMYFUNCTION("IFERROR(VALUE(REGEXEXTRACT(C214,""(\d+)\s*/\s*\d+"")),"""")"),"")</f>
        <v/>
      </c>
      <c r="H214" s="32" t="str">
        <f>IFERROR(__xludf.DUMMYFUNCTION("IFERROR(VALUE(REGEXEXTRACT(C214,""\d+\s*/\s*(\d+)"")),"""")"),"")</f>
        <v/>
      </c>
      <c r="I214" s="32" t="str">
        <f t="shared" si="2"/>
        <v/>
      </c>
      <c r="J214" s="33" t="str">
        <f t="shared" si="3"/>
        <v/>
      </c>
    </row>
    <row r="215" ht="15.75" customHeight="1">
      <c r="A215" s="22" t="s">
        <v>113</v>
      </c>
      <c r="B215" s="22" t="str">
        <f>IF(MOV_CC_NACIONAL!A215="","",MOV_CC_NACIONAL!A215)</f>
        <v/>
      </c>
      <c r="C215" s="22" t="str">
        <f>IF(MOV_CC_NACIONAL!B215="","",MOV_CC_NACIONAL!B215)</f>
        <v/>
      </c>
      <c r="D215" s="34" t="str">
        <f>IF(MOV_CC_NACIONAL!C215="","",MOV_CC_NACIONAL!C215)</f>
        <v/>
      </c>
      <c r="E215" s="22" t="str">
        <f t="shared" si="1"/>
        <v/>
      </c>
      <c r="F215" s="22" t="str">
        <f>IFERROR(__xludf.DUMMYFUNCTION("IF(C215="""","""", OR(REGEXMATCH(LOWER(C215),""cuota""), REGEXMATCH(C215,""\d+\s*/\s*\d+"")))"),"")</f>
        <v/>
      </c>
      <c r="G215" s="22" t="str">
        <f>IFERROR(__xludf.DUMMYFUNCTION("IFERROR(VALUE(REGEXEXTRACT(C215,""(\d+)\s*/\s*\d+"")),"""")"),"")</f>
        <v/>
      </c>
      <c r="H215" s="22" t="str">
        <f>IFERROR(__xludf.DUMMYFUNCTION("IFERROR(VALUE(REGEXEXTRACT(C215,""\d+\s*/\s*(\d+)"")),"""")"),"")</f>
        <v/>
      </c>
      <c r="I215" s="22" t="str">
        <f t="shared" si="2"/>
        <v/>
      </c>
      <c r="J215" s="34" t="str">
        <f t="shared" si="3"/>
        <v/>
      </c>
    </row>
    <row r="216" ht="15.75" customHeight="1">
      <c r="A216" s="32" t="s">
        <v>113</v>
      </c>
      <c r="B216" s="32" t="str">
        <f>IF(MOV_CC_NACIONAL!A216="","",MOV_CC_NACIONAL!A216)</f>
        <v/>
      </c>
      <c r="C216" s="32" t="str">
        <f>IF(MOV_CC_NACIONAL!B216="","",MOV_CC_NACIONAL!B216)</f>
        <v/>
      </c>
      <c r="D216" s="33" t="str">
        <f>IF(MOV_CC_NACIONAL!C216="","",MOV_CC_NACIONAL!C216)</f>
        <v/>
      </c>
      <c r="E216" s="32" t="str">
        <f t="shared" si="1"/>
        <v/>
      </c>
      <c r="F216" s="32" t="str">
        <f>IFERROR(__xludf.DUMMYFUNCTION("IF(C216="""","""", OR(REGEXMATCH(LOWER(C216),""cuota""), REGEXMATCH(C216,""\d+\s*/\s*\d+"")))"),"")</f>
        <v/>
      </c>
      <c r="G216" s="32" t="str">
        <f>IFERROR(__xludf.DUMMYFUNCTION("IFERROR(VALUE(REGEXEXTRACT(C216,""(\d+)\s*/\s*\d+"")),"""")"),"")</f>
        <v/>
      </c>
      <c r="H216" s="32" t="str">
        <f>IFERROR(__xludf.DUMMYFUNCTION("IFERROR(VALUE(REGEXEXTRACT(C216,""\d+\s*/\s*(\d+)"")),"""")"),"")</f>
        <v/>
      </c>
      <c r="I216" s="32" t="str">
        <f t="shared" si="2"/>
        <v/>
      </c>
      <c r="J216" s="33" t="str">
        <f t="shared" si="3"/>
        <v/>
      </c>
    </row>
    <row r="217" ht="15.75" customHeight="1">
      <c r="A217" s="22" t="s">
        <v>113</v>
      </c>
      <c r="B217" s="22" t="str">
        <f>IF(MOV_CC_NACIONAL!A217="","",MOV_CC_NACIONAL!A217)</f>
        <v/>
      </c>
      <c r="C217" s="22" t="str">
        <f>IF(MOV_CC_NACIONAL!B217="","",MOV_CC_NACIONAL!B217)</f>
        <v/>
      </c>
      <c r="D217" s="34" t="str">
        <f>IF(MOV_CC_NACIONAL!C217="","",MOV_CC_NACIONAL!C217)</f>
        <v/>
      </c>
      <c r="E217" s="22" t="str">
        <f t="shared" si="1"/>
        <v/>
      </c>
      <c r="F217" s="22" t="str">
        <f>IFERROR(__xludf.DUMMYFUNCTION("IF(C217="""","""", OR(REGEXMATCH(LOWER(C217),""cuota""), REGEXMATCH(C217,""\d+\s*/\s*\d+"")))"),"")</f>
        <v/>
      </c>
      <c r="G217" s="22" t="str">
        <f>IFERROR(__xludf.DUMMYFUNCTION("IFERROR(VALUE(REGEXEXTRACT(C217,""(\d+)\s*/\s*\d+"")),"""")"),"")</f>
        <v/>
      </c>
      <c r="H217" s="22" t="str">
        <f>IFERROR(__xludf.DUMMYFUNCTION("IFERROR(VALUE(REGEXEXTRACT(C217,""\d+\s*/\s*(\d+)"")),"""")"),"")</f>
        <v/>
      </c>
      <c r="I217" s="22" t="str">
        <f t="shared" si="2"/>
        <v/>
      </c>
      <c r="J217" s="34" t="str">
        <f t="shared" si="3"/>
        <v/>
      </c>
    </row>
    <row r="218" ht="15.75" customHeight="1">
      <c r="A218" s="32" t="s">
        <v>113</v>
      </c>
      <c r="B218" s="32" t="str">
        <f>IF(MOV_CC_NACIONAL!A218="","",MOV_CC_NACIONAL!A218)</f>
        <v/>
      </c>
      <c r="C218" s="32" t="str">
        <f>IF(MOV_CC_NACIONAL!B218="","",MOV_CC_NACIONAL!B218)</f>
        <v/>
      </c>
      <c r="D218" s="33" t="str">
        <f>IF(MOV_CC_NACIONAL!C218="","",MOV_CC_NACIONAL!C218)</f>
        <v/>
      </c>
      <c r="E218" s="32" t="str">
        <f t="shared" si="1"/>
        <v/>
      </c>
      <c r="F218" s="32" t="str">
        <f>IFERROR(__xludf.DUMMYFUNCTION("IF(C218="""","""", OR(REGEXMATCH(LOWER(C218),""cuota""), REGEXMATCH(C218,""\d+\s*/\s*\d+"")))"),"")</f>
        <v/>
      </c>
      <c r="G218" s="32" t="str">
        <f>IFERROR(__xludf.DUMMYFUNCTION("IFERROR(VALUE(REGEXEXTRACT(C218,""(\d+)\s*/\s*\d+"")),"""")"),"")</f>
        <v/>
      </c>
      <c r="H218" s="32" t="str">
        <f>IFERROR(__xludf.DUMMYFUNCTION("IFERROR(VALUE(REGEXEXTRACT(C218,""\d+\s*/\s*(\d+)"")),"""")"),"")</f>
        <v/>
      </c>
      <c r="I218" s="32" t="str">
        <f t="shared" si="2"/>
        <v/>
      </c>
      <c r="J218" s="33" t="str">
        <f t="shared" si="3"/>
        <v/>
      </c>
    </row>
    <row r="219" ht="15.75" customHeight="1">
      <c r="A219" s="22" t="s">
        <v>113</v>
      </c>
      <c r="B219" s="22" t="str">
        <f>IF(MOV_CC_NACIONAL!A219="","",MOV_CC_NACIONAL!A219)</f>
        <v/>
      </c>
      <c r="C219" s="22" t="str">
        <f>IF(MOV_CC_NACIONAL!B219="","",MOV_CC_NACIONAL!B219)</f>
        <v/>
      </c>
      <c r="D219" s="34" t="str">
        <f>IF(MOV_CC_NACIONAL!C219="","",MOV_CC_NACIONAL!C219)</f>
        <v/>
      </c>
      <c r="E219" s="22" t="str">
        <f t="shared" si="1"/>
        <v/>
      </c>
      <c r="F219" s="22" t="str">
        <f>IFERROR(__xludf.DUMMYFUNCTION("IF(C219="""","""", OR(REGEXMATCH(LOWER(C219),""cuota""), REGEXMATCH(C219,""\d+\s*/\s*\d+"")))"),"")</f>
        <v/>
      </c>
      <c r="G219" s="22" t="str">
        <f>IFERROR(__xludf.DUMMYFUNCTION("IFERROR(VALUE(REGEXEXTRACT(C219,""(\d+)\s*/\s*\d+"")),"""")"),"")</f>
        <v/>
      </c>
      <c r="H219" s="22" t="str">
        <f>IFERROR(__xludf.DUMMYFUNCTION("IFERROR(VALUE(REGEXEXTRACT(C219,""\d+\s*/\s*(\d+)"")),"""")"),"")</f>
        <v/>
      </c>
      <c r="I219" s="22" t="str">
        <f t="shared" si="2"/>
        <v/>
      </c>
      <c r="J219" s="34" t="str">
        <f t="shared" si="3"/>
        <v/>
      </c>
    </row>
    <row r="220" ht="15.75" customHeight="1">
      <c r="A220" s="32" t="s">
        <v>113</v>
      </c>
      <c r="B220" s="32" t="str">
        <f>IF(MOV_CC_NACIONAL!A220="","",MOV_CC_NACIONAL!A220)</f>
        <v/>
      </c>
      <c r="C220" s="32" t="str">
        <f>IF(MOV_CC_NACIONAL!B220="","",MOV_CC_NACIONAL!B220)</f>
        <v/>
      </c>
      <c r="D220" s="33" t="str">
        <f>IF(MOV_CC_NACIONAL!C220="","",MOV_CC_NACIONAL!C220)</f>
        <v/>
      </c>
      <c r="E220" s="32" t="str">
        <f t="shared" si="1"/>
        <v/>
      </c>
      <c r="F220" s="32" t="str">
        <f>IFERROR(__xludf.DUMMYFUNCTION("IF(C220="""","""", OR(REGEXMATCH(LOWER(C220),""cuota""), REGEXMATCH(C220,""\d+\s*/\s*\d+"")))"),"")</f>
        <v/>
      </c>
      <c r="G220" s="32" t="str">
        <f>IFERROR(__xludf.DUMMYFUNCTION("IFERROR(VALUE(REGEXEXTRACT(C220,""(\d+)\s*/\s*\d+"")),"""")"),"")</f>
        <v/>
      </c>
      <c r="H220" s="32" t="str">
        <f>IFERROR(__xludf.DUMMYFUNCTION("IFERROR(VALUE(REGEXEXTRACT(C220,""\d+\s*/\s*(\d+)"")),"""")"),"")</f>
        <v/>
      </c>
      <c r="I220" s="32" t="str">
        <f t="shared" si="2"/>
        <v/>
      </c>
      <c r="J220" s="33" t="str">
        <f t="shared" si="3"/>
        <v/>
      </c>
    </row>
    <row r="221" ht="15.75" customHeight="1">
      <c r="A221" s="22" t="s">
        <v>113</v>
      </c>
      <c r="B221" s="22" t="str">
        <f>IF(MOV_CC_NACIONAL!A221="","",MOV_CC_NACIONAL!A221)</f>
        <v/>
      </c>
      <c r="C221" s="22" t="str">
        <f>IF(MOV_CC_NACIONAL!B221="","",MOV_CC_NACIONAL!B221)</f>
        <v/>
      </c>
      <c r="D221" s="34" t="str">
        <f>IF(MOV_CC_NACIONAL!C221="","",MOV_CC_NACIONAL!C221)</f>
        <v/>
      </c>
      <c r="E221" s="22" t="str">
        <f t="shared" si="1"/>
        <v/>
      </c>
      <c r="F221" s="22" t="str">
        <f>IFERROR(__xludf.DUMMYFUNCTION("IF(C221="""","""", OR(REGEXMATCH(LOWER(C221),""cuota""), REGEXMATCH(C221,""\d+\s*/\s*\d+"")))"),"")</f>
        <v/>
      </c>
      <c r="G221" s="22" t="str">
        <f>IFERROR(__xludf.DUMMYFUNCTION("IFERROR(VALUE(REGEXEXTRACT(C221,""(\d+)\s*/\s*\d+"")),"""")"),"")</f>
        <v/>
      </c>
      <c r="H221" s="22" t="str">
        <f>IFERROR(__xludf.DUMMYFUNCTION("IFERROR(VALUE(REGEXEXTRACT(C221,""\d+\s*/\s*(\d+)"")),"""")"),"")</f>
        <v/>
      </c>
      <c r="I221" s="22" t="str">
        <f t="shared" si="2"/>
        <v/>
      </c>
      <c r="J221" s="34" t="str">
        <f t="shared" si="3"/>
        <v/>
      </c>
    </row>
    <row r="222" ht="15.75" customHeight="1">
      <c r="A222" s="32" t="s">
        <v>113</v>
      </c>
      <c r="B222" s="32" t="str">
        <f>IF(MOV_CC_NACIONAL!A222="","",MOV_CC_NACIONAL!A222)</f>
        <v/>
      </c>
      <c r="C222" s="32" t="str">
        <f>IF(MOV_CC_NACIONAL!B222="","",MOV_CC_NACIONAL!B222)</f>
        <v/>
      </c>
      <c r="D222" s="33" t="str">
        <f>IF(MOV_CC_NACIONAL!C222="","",MOV_CC_NACIONAL!C222)</f>
        <v/>
      </c>
      <c r="E222" s="32" t="str">
        <f t="shared" si="1"/>
        <v/>
      </c>
      <c r="F222" s="32" t="str">
        <f>IFERROR(__xludf.DUMMYFUNCTION("IF(C222="""","""", OR(REGEXMATCH(LOWER(C222),""cuota""), REGEXMATCH(C222,""\d+\s*/\s*\d+"")))"),"")</f>
        <v/>
      </c>
      <c r="G222" s="32" t="str">
        <f>IFERROR(__xludf.DUMMYFUNCTION("IFERROR(VALUE(REGEXEXTRACT(C222,""(\d+)\s*/\s*\d+"")),"""")"),"")</f>
        <v/>
      </c>
      <c r="H222" s="32" t="str">
        <f>IFERROR(__xludf.DUMMYFUNCTION("IFERROR(VALUE(REGEXEXTRACT(C222,""\d+\s*/\s*(\d+)"")),"""")"),"")</f>
        <v/>
      </c>
      <c r="I222" s="32" t="str">
        <f t="shared" si="2"/>
        <v/>
      </c>
      <c r="J222" s="33" t="str">
        <f t="shared" si="3"/>
        <v/>
      </c>
    </row>
    <row r="223" ht="15.75" customHeight="1">
      <c r="A223" s="22" t="s">
        <v>113</v>
      </c>
      <c r="B223" s="22" t="str">
        <f>IF(MOV_CC_NACIONAL!A223="","",MOV_CC_NACIONAL!A223)</f>
        <v/>
      </c>
      <c r="C223" s="22" t="str">
        <f>IF(MOV_CC_NACIONAL!B223="","",MOV_CC_NACIONAL!B223)</f>
        <v/>
      </c>
      <c r="D223" s="34" t="str">
        <f>IF(MOV_CC_NACIONAL!C223="","",MOV_CC_NACIONAL!C223)</f>
        <v/>
      </c>
      <c r="E223" s="22" t="str">
        <f t="shared" si="1"/>
        <v/>
      </c>
      <c r="F223" s="22" t="str">
        <f>IFERROR(__xludf.DUMMYFUNCTION("IF(C223="""","""", OR(REGEXMATCH(LOWER(C223),""cuota""), REGEXMATCH(C223,""\d+\s*/\s*\d+"")))"),"")</f>
        <v/>
      </c>
      <c r="G223" s="22" t="str">
        <f>IFERROR(__xludf.DUMMYFUNCTION("IFERROR(VALUE(REGEXEXTRACT(C223,""(\d+)\s*/\s*\d+"")),"""")"),"")</f>
        <v/>
      </c>
      <c r="H223" s="22" t="str">
        <f>IFERROR(__xludf.DUMMYFUNCTION("IFERROR(VALUE(REGEXEXTRACT(C223,""\d+\s*/\s*(\d+)"")),"""")"),"")</f>
        <v/>
      </c>
      <c r="I223" s="22" t="str">
        <f t="shared" si="2"/>
        <v/>
      </c>
      <c r="J223" s="34" t="str">
        <f t="shared" si="3"/>
        <v/>
      </c>
    </row>
    <row r="224" ht="15.75" customHeight="1">
      <c r="A224" s="32" t="s">
        <v>113</v>
      </c>
      <c r="B224" s="32" t="str">
        <f>IF(MOV_CC_NACIONAL!A224="","",MOV_CC_NACIONAL!A224)</f>
        <v/>
      </c>
      <c r="C224" s="32" t="str">
        <f>IF(MOV_CC_NACIONAL!B224="","",MOV_CC_NACIONAL!B224)</f>
        <v/>
      </c>
      <c r="D224" s="33" t="str">
        <f>IF(MOV_CC_NACIONAL!C224="","",MOV_CC_NACIONAL!C224)</f>
        <v/>
      </c>
      <c r="E224" s="32" t="str">
        <f t="shared" si="1"/>
        <v/>
      </c>
      <c r="F224" s="32" t="str">
        <f>IFERROR(__xludf.DUMMYFUNCTION("IF(C224="""","""", OR(REGEXMATCH(LOWER(C224),""cuota""), REGEXMATCH(C224,""\d+\s*/\s*\d+"")))"),"")</f>
        <v/>
      </c>
      <c r="G224" s="32" t="str">
        <f>IFERROR(__xludf.DUMMYFUNCTION("IFERROR(VALUE(REGEXEXTRACT(C224,""(\d+)\s*/\s*\d+"")),"""")"),"")</f>
        <v/>
      </c>
      <c r="H224" s="32" t="str">
        <f>IFERROR(__xludf.DUMMYFUNCTION("IFERROR(VALUE(REGEXEXTRACT(C224,""\d+\s*/\s*(\d+)"")),"""")"),"")</f>
        <v/>
      </c>
      <c r="I224" s="32" t="str">
        <f t="shared" si="2"/>
        <v/>
      </c>
      <c r="J224" s="33" t="str">
        <f t="shared" si="3"/>
        <v/>
      </c>
    </row>
    <row r="225" ht="15.75" customHeight="1">
      <c r="A225" s="22" t="s">
        <v>113</v>
      </c>
      <c r="B225" s="22" t="str">
        <f>IF(MOV_CC_NACIONAL!A225="","",MOV_CC_NACIONAL!A225)</f>
        <v/>
      </c>
      <c r="C225" s="22" t="str">
        <f>IF(MOV_CC_NACIONAL!B225="","",MOV_CC_NACIONAL!B225)</f>
        <v/>
      </c>
      <c r="D225" s="34" t="str">
        <f>IF(MOV_CC_NACIONAL!C225="","",MOV_CC_NACIONAL!C225)</f>
        <v/>
      </c>
      <c r="E225" s="22" t="str">
        <f t="shared" si="1"/>
        <v/>
      </c>
      <c r="F225" s="22" t="str">
        <f>IFERROR(__xludf.DUMMYFUNCTION("IF(C225="""","""", OR(REGEXMATCH(LOWER(C225),""cuota""), REGEXMATCH(C225,""\d+\s*/\s*\d+"")))"),"")</f>
        <v/>
      </c>
      <c r="G225" s="22" t="str">
        <f>IFERROR(__xludf.DUMMYFUNCTION("IFERROR(VALUE(REGEXEXTRACT(C225,""(\d+)\s*/\s*\d+"")),"""")"),"")</f>
        <v/>
      </c>
      <c r="H225" s="22" t="str">
        <f>IFERROR(__xludf.DUMMYFUNCTION("IFERROR(VALUE(REGEXEXTRACT(C225,""\d+\s*/\s*(\d+)"")),"""")"),"")</f>
        <v/>
      </c>
      <c r="I225" s="22" t="str">
        <f t="shared" si="2"/>
        <v/>
      </c>
      <c r="J225" s="34" t="str">
        <f t="shared" si="3"/>
        <v/>
      </c>
    </row>
    <row r="226" ht="15.75" customHeight="1">
      <c r="A226" s="32" t="s">
        <v>113</v>
      </c>
      <c r="B226" s="32" t="str">
        <f>IF(MOV_CC_NACIONAL!A226="","",MOV_CC_NACIONAL!A226)</f>
        <v/>
      </c>
      <c r="C226" s="32" t="str">
        <f>IF(MOV_CC_NACIONAL!B226="","",MOV_CC_NACIONAL!B226)</f>
        <v/>
      </c>
      <c r="D226" s="33" t="str">
        <f>IF(MOV_CC_NACIONAL!C226="","",MOV_CC_NACIONAL!C226)</f>
        <v/>
      </c>
      <c r="E226" s="32" t="str">
        <f t="shared" si="1"/>
        <v/>
      </c>
      <c r="F226" s="32" t="str">
        <f>IFERROR(__xludf.DUMMYFUNCTION("IF(C226="""","""", OR(REGEXMATCH(LOWER(C226),""cuota""), REGEXMATCH(C226,""\d+\s*/\s*\d+"")))"),"")</f>
        <v/>
      </c>
      <c r="G226" s="32" t="str">
        <f>IFERROR(__xludf.DUMMYFUNCTION("IFERROR(VALUE(REGEXEXTRACT(C226,""(\d+)\s*/\s*\d+"")),"""")"),"")</f>
        <v/>
      </c>
      <c r="H226" s="32" t="str">
        <f>IFERROR(__xludf.DUMMYFUNCTION("IFERROR(VALUE(REGEXEXTRACT(C226,""\d+\s*/\s*(\d+)"")),"""")"),"")</f>
        <v/>
      </c>
      <c r="I226" s="32" t="str">
        <f t="shared" si="2"/>
        <v/>
      </c>
      <c r="J226" s="33" t="str">
        <f t="shared" si="3"/>
        <v/>
      </c>
    </row>
    <row r="227" ht="15.75" customHeight="1">
      <c r="A227" s="22" t="s">
        <v>113</v>
      </c>
      <c r="B227" s="22" t="str">
        <f>IF(MOV_CC_NACIONAL!A227="","",MOV_CC_NACIONAL!A227)</f>
        <v/>
      </c>
      <c r="C227" s="22" t="str">
        <f>IF(MOV_CC_NACIONAL!B227="","",MOV_CC_NACIONAL!B227)</f>
        <v/>
      </c>
      <c r="D227" s="34" t="str">
        <f>IF(MOV_CC_NACIONAL!C227="","",MOV_CC_NACIONAL!C227)</f>
        <v/>
      </c>
      <c r="E227" s="22" t="str">
        <f t="shared" si="1"/>
        <v/>
      </c>
      <c r="F227" s="22" t="str">
        <f>IFERROR(__xludf.DUMMYFUNCTION("IF(C227="""","""", OR(REGEXMATCH(LOWER(C227),""cuota""), REGEXMATCH(C227,""\d+\s*/\s*\d+"")))"),"")</f>
        <v/>
      </c>
      <c r="G227" s="22" t="str">
        <f>IFERROR(__xludf.DUMMYFUNCTION("IFERROR(VALUE(REGEXEXTRACT(C227,""(\d+)\s*/\s*\d+"")),"""")"),"")</f>
        <v/>
      </c>
      <c r="H227" s="22" t="str">
        <f>IFERROR(__xludf.DUMMYFUNCTION("IFERROR(VALUE(REGEXEXTRACT(C227,""\d+\s*/\s*(\d+)"")),"""")"),"")</f>
        <v/>
      </c>
      <c r="I227" s="22" t="str">
        <f t="shared" si="2"/>
        <v/>
      </c>
      <c r="J227" s="34" t="str">
        <f t="shared" si="3"/>
        <v/>
      </c>
    </row>
    <row r="228" ht="15.75" customHeight="1">
      <c r="A228" s="32" t="s">
        <v>113</v>
      </c>
      <c r="B228" s="32" t="str">
        <f>IF(MOV_CC_NACIONAL!A228="","",MOV_CC_NACIONAL!A228)</f>
        <v/>
      </c>
      <c r="C228" s="32" t="str">
        <f>IF(MOV_CC_NACIONAL!B228="","",MOV_CC_NACIONAL!B228)</f>
        <v/>
      </c>
      <c r="D228" s="33" t="str">
        <f>IF(MOV_CC_NACIONAL!C228="","",MOV_CC_NACIONAL!C228)</f>
        <v/>
      </c>
      <c r="E228" s="32" t="str">
        <f t="shared" si="1"/>
        <v/>
      </c>
      <c r="F228" s="32" t="str">
        <f>IFERROR(__xludf.DUMMYFUNCTION("IF(C228="""","""", OR(REGEXMATCH(LOWER(C228),""cuota""), REGEXMATCH(C228,""\d+\s*/\s*\d+"")))"),"")</f>
        <v/>
      </c>
      <c r="G228" s="32" t="str">
        <f>IFERROR(__xludf.DUMMYFUNCTION("IFERROR(VALUE(REGEXEXTRACT(C228,""(\d+)\s*/\s*\d+"")),"""")"),"")</f>
        <v/>
      </c>
      <c r="H228" s="32" t="str">
        <f>IFERROR(__xludf.DUMMYFUNCTION("IFERROR(VALUE(REGEXEXTRACT(C228,""\d+\s*/\s*(\d+)"")),"""")"),"")</f>
        <v/>
      </c>
      <c r="I228" s="32" t="str">
        <f t="shared" si="2"/>
        <v/>
      </c>
      <c r="J228" s="33" t="str">
        <f t="shared" si="3"/>
        <v/>
      </c>
    </row>
    <row r="229" ht="15.75" customHeight="1">
      <c r="A229" s="22" t="s">
        <v>113</v>
      </c>
      <c r="B229" s="22" t="str">
        <f>IF(MOV_CC_NACIONAL!A229="","",MOV_CC_NACIONAL!A229)</f>
        <v/>
      </c>
      <c r="C229" s="22" t="str">
        <f>IF(MOV_CC_NACIONAL!B229="","",MOV_CC_NACIONAL!B229)</f>
        <v/>
      </c>
      <c r="D229" s="34" t="str">
        <f>IF(MOV_CC_NACIONAL!C229="","",MOV_CC_NACIONAL!C229)</f>
        <v/>
      </c>
      <c r="E229" s="22" t="str">
        <f t="shared" si="1"/>
        <v/>
      </c>
      <c r="F229" s="22" t="str">
        <f>IFERROR(__xludf.DUMMYFUNCTION("IF(C229="""","""", OR(REGEXMATCH(LOWER(C229),""cuota""), REGEXMATCH(C229,""\d+\s*/\s*\d+"")))"),"")</f>
        <v/>
      </c>
      <c r="G229" s="22" t="str">
        <f>IFERROR(__xludf.DUMMYFUNCTION("IFERROR(VALUE(REGEXEXTRACT(C229,""(\d+)\s*/\s*\d+"")),"""")"),"")</f>
        <v/>
      </c>
      <c r="H229" s="22" t="str">
        <f>IFERROR(__xludf.DUMMYFUNCTION("IFERROR(VALUE(REGEXEXTRACT(C229,""\d+\s*/\s*(\d+)"")),"""")"),"")</f>
        <v/>
      </c>
      <c r="I229" s="22" t="str">
        <f t="shared" si="2"/>
        <v/>
      </c>
      <c r="J229" s="34" t="str">
        <f t="shared" si="3"/>
        <v/>
      </c>
    </row>
    <row r="230" ht="15.75" customHeight="1">
      <c r="A230" s="32" t="s">
        <v>113</v>
      </c>
      <c r="B230" s="32" t="str">
        <f>IF(MOV_CC_NACIONAL!A230="","",MOV_CC_NACIONAL!A230)</f>
        <v/>
      </c>
      <c r="C230" s="32" t="str">
        <f>IF(MOV_CC_NACIONAL!B230="","",MOV_CC_NACIONAL!B230)</f>
        <v/>
      </c>
      <c r="D230" s="33" t="str">
        <f>IF(MOV_CC_NACIONAL!C230="","",MOV_CC_NACIONAL!C230)</f>
        <v/>
      </c>
      <c r="E230" s="32" t="str">
        <f t="shared" si="1"/>
        <v/>
      </c>
      <c r="F230" s="32" t="str">
        <f>IFERROR(__xludf.DUMMYFUNCTION("IF(C230="""","""", OR(REGEXMATCH(LOWER(C230),""cuota""), REGEXMATCH(C230,""\d+\s*/\s*\d+"")))"),"")</f>
        <v/>
      </c>
      <c r="G230" s="32" t="str">
        <f>IFERROR(__xludf.DUMMYFUNCTION("IFERROR(VALUE(REGEXEXTRACT(C230,""(\d+)\s*/\s*\d+"")),"""")"),"")</f>
        <v/>
      </c>
      <c r="H230" s="32" t="str">
        <f>IFERROR(__xludf.DUMMYFUNCTION("IFERROR(VALUE(REGEXEXTRACT(C230,""\d+\s*/\s*(\d+)"")),"""")"),"")</f>
        <v/>
      </c>
      <c r="I230" s="32" t="str">
        <f t="shared" si="2"/>
        <v/>
      </c>
      <c r="J230" s="33" t="str">
        <f t="shared" si="3"/>
        <v/>
      </c>
    </row>
    <row r="231" ht="15.75" customHeight="1">
      <c r="A231" s="22" t="s">
        <v>113</v>
      </c>
      <c r="B231" s="22" t="str">
        <f>IF(MOV_CC_NACIONAL!A231="","",MOV_CC_NACIONAL!A231)</f>
        <v/>
      </c>
      <c r="C231" s="22" t="str">
        <f>IF(MOV_CC_NACIONAL!B231="","",MOV_CC_NACIONAL!B231)</f>
        <v/>
      </c>
      <c r="D231" s="34" t="str">
        <f>IF(MOV_CC_NACIONAL!C231="","",MOV_CC_NACIONAL!C231)</f>
        <v/>
      </c>
      <c r="E231" s="22" t="str">
        <f t="shared" si="1"/>
        <v/>
      </c>
      <c r="F231" s="22" t="str">
        <f>IFERROR(__xludf.DUMMYFUNCTION("IF(C231="""","""", OR(REGEXMATCH(LOWER(C231),""cuota""), REGEXMATCH(C231,""\d+\s*/\s*\d+"")))"),"")</f>
        <v/>
      </c>
      <c r="G231" s="22" t="str">
        <f>IFERROR(__xludf.DUMMYFUNCTION("IFERROR(VALUE(REGEXEXTRACT(C231,""(\d+)\s*/\s*\d+"")),"""")"),"")</f>
        <v/>
      </c>
      <c r="H231" s="22" t="str">
        <f>IFERROR(__xludf.DUMMYFUNCTION("IFERROR(VALUE(REGEXEXTRACT(C231,""\d+\s*/\s*(\d+)"")),"""")"),"")</f>
        <v/>
      </c>
      <c r="I231" s="22" t="str">
        <f t="shared" si="2"/>
        <v/>
      </c>
      <c r="J231" s="34" t="str">
        <f t="shared" si="3"/>
        <v/>
      </c>
    </row>
    <row r="232" ht="15.75" customHeight="1">
      <c r="A232" s="32" t="s">
        <v>113</v>
      </c>
      <c r="B232" s="32" t="str">
        <f>IF(MOV_CC_NACIONAL!A232="","",MOV_CC_NACIONAL!A232)</f>
        <v/>
      </c>
      <c r="C232" s="32" t="str">
        <f>IF(MOV_CC_NACIONAL!B232="","",MOV_CC_NACIONAL!B232)</f>
        <v/>
      </c>
      <c r="D232" s="33" t="str">
        <f>IF(MOV_CC_NACIONAL!C232="","",MOV_CC_NACIONAL!C232)</f>
        <v/>
      </c>
      <c r="E232" s="32" t="str">
        <f t="shared" si="1"/>
        <v/>
      </c>
      <c r="F232" s="32" t="str">
        <f>IFERROR(__xludf.DUMMYFUNCTION("IF(C232="""","""", OR(REGEXMATCH(LOWER(C232),""cuota""), REGEXMATCH(C232,""\d+\s*/\s*\d+"")))"),"")</f>
        <v/>
      </c>
      <c r="G232" s="32" t="str">
        <f>IFERROR(__xludf.DUMMYFUNCTION("IFERROR(VALUE(REGEXEXTRACT(C232,""(\d+)\s*/\s*\d+"")),"""")"),"")</f>
        <v/>
      </c>
      <c r="H232" s="32" t="str">
        <f>IFERROR(__xludf.DUMMYFUNCTION("IFERROR(VALUE(REGEXEXTRACT(C232,""\d+\s*/\s*(\d+)"")),"""")"),"")</f>
        <v/>
      </c>
      <c r="I232" s="32" t="str">
        <f t="shared" si="2"/>
        <v/>
      </c>
      <c r="J232" s="33" t="str">
        <f t="shared" si="3"/>
        <v/>
      </c>
    </row>
    <row r="233" ht="15.75" customHeight="1">
      <c r="A233" s="22" t="s">
        <v>113</v>
      </c>
      <c r="B233" s="22" t="str">
        <f>IF(MOV_CC_NACIONAL!A233="","",MOV_CC_NACIONAL!A233)</f>
        <v/>
      </c>
      <c r="C233" s="22" t="str">
        <f>IF(MOV_CC_NACIONAL!B233="","",MOV_CC_NACIONAL!B233)</f>
        <v/>
      </c>
      <c r="D233" s="34" t="str">
        <f>IF(MOV_CC_NACIONAL!C233="","",MOV_CC_NACIONAL!C233)</f>
        <v/>
      </c>
      <c r="E233" s="22" t="str">
        <f t="shared" si="1"/>
        <v/>
      </c>
      <c r="F233" s="22" t="str">
        <f>IFERROR(__xludf.DUMMYFUNCTION("IF(C233="""","""", OR(REGEXMATCH(LOWER(C233),""cuota""), REGEXMATCH(C233,""\d+\s*/\s*\d+"")))"),"")</f>
        <v/>
      </c>
      <c r="G233" s="22" t="str">
        <f>IFERROR(__xludf.DUMMYFUNCTION("IFERROR(VALUE(REGEXEXTRACT(C233,""(\d+)\s*/\s*\d+"")),"""")"),"")</f>
        <v/>
      </c>
      <c r="H233" s="22" t="str">
        <f>IFERROR(__xludf.DUMMYFUNCTION("IFERROR(VALUE(REGEXEXTRACT(C233,""\d+\s*/\s*(\d+)"")),"""")"),"")</f>
        <v/>
      </c>
      <c r="I233" s="22" t="str">
        <f t="shared" si="2"/>
        <v/>
      </c>
      <c r="J233" s="34" t="str">
        <f t="shared" si="3"/>
        <v/>
      </c>
    </row>
    <row r="234" ht="15.75" customHeight="1">
      <c r="A234" s="32" t="s">
        <v>113</v>
      </c>
      <c r="B234" s="32" t="str">
        <f>IF(MOV_CC_NACIONAL!A234="","",MOV_CC_NACIONAL!A234)</f>
        <v/>
      </c>
      <c r="C234" s="32" t="str">
        <f>IF(MOV_CC_NACIONAL!B234="","",MOV_CC_NACIONAL!B234)</f>
        <v/>
      </c>
      <c r="D234" s="33" t="str">
        <f>IF(MOV_CC_NACIONAL!C234="","",MOV_CC_NACIONAL!C234)</f>
        <v/>
      </c>
      <c r="E234" s="32" t="str">
        <f t="shared" si="1"/>
        <v/>
      </c>
      <c r="F234" s="32" t="str">
        <f>IFERROR(__xludf.DUMMYFUNCTION("IF(C234="""","""", OR(REGEXMATCH(LOWER(C234),""cuota""), REGEXMATCH(C234,""\d+\s*/\s*\d+"")))"),"")</f>
        <v/>
      </c>
      <c r="G234" s="32" t="str">
        <f>IFERROR(__xludf.DUMMYFUNCTION("IFERROR(VALUE(REGEXEXTRACT(C234,""(\d+)\s*/\s*\d+"")),"""")"),"")</f>
        <v/>
      </c>
      <c r="H234" s="32" t="str">
        <f>IFERROR(__xludf.DUMMYFUNCTION("IFERROR(VALUE(REGEXEXTRACT(C234,""\d+\s*/\s*(\d+)"")),"""")"),"")</f>
        <v/>
      </c>
      <c r="I234" s="32" t="str">
        <f t="shared" si="2"/>
        <v/>
      </c>
      <c r="J234" s="33" t="str">
        <f t="shared" si="3"/>
        <v/>
      </c>
    </row>
    <row r="235" ht="15.75" customHeight="1">
      <c r="A235" s="22" t="s">
        <v>113</v>
      </c>
      <c r="B235" s="22" t="str">
        <f>IF(MOV_CC_NACIONAL!A235="","",MOV_CC_NACIONAL!A235)</f>
        <v/>
      </c>
      <c r="C235" s="22" t="str">
        <f>IF(MOV_CC_NACIONAL!B235="","",MOV_CC_NACIONAL!B235)</f>
        <v/>
      </c>
      <c r="D235" s="34" t="str">
        <f>IF(MOV_CC_NACIONAL!C235="","",MOV_CC_NACIONAL!C235)</f>
        <v/>
      </c>
      <c r="E235" s="22" t="str">
        <f t="shared" si="1"/>
        <v/>
      </c>
      <c r="F235" s="22" t="str">
        <f>IFERROR(__xludf.DUMMYFUNCTION("IF(C235="""","""", OR(REGEXMATCH(LOWER(C235),""cuota""), REGEXMATCH(C235,""\d+\s*/\s*\d+"")))"),"")</f>
        <v/>
      </c>
      <c r="G235" s="22" t="str">
        <f>IFERROR(__xludf.DUMMYFUNCTION("IFERROR(VALUE(REGEXEXTRACT(C235,""(\d+)\s*/\s*\d+"")),"""")"),"")</f>
        <v/>
      </c>
      <c r="H235" s="22" t="str">
        <f>IFERROR(__xludf.DUMMYFUNCTION("IFERROR(VALUE(REGEXEXTRACT(C235,""\d+\s*/\s*(\d+)"")),"""")"),"")</f>
        <v/>
      </c>
      <c r="I235" s="22" t="str">
        <f t="shared" si="2"/>
        <v/>
      </c>
      <c r="J235" s="34" t="str">
        <f t="shared" si="3"/>
        <v/>
      </c>
    </row>
    <row r="236" ht="15.75" customHeight="1">
      <c r="A236" s="32" t="s">
        <v>113</v>
      </c>
      <c r="B236" s="32" t="str">
        <f>IF(MOV_CC_NACIONAL!A236="","",MOV_CC_NACIONAL!A236)</f>
        <v/>
      </c>
      <c r="C236" s="32" t="str">
        <f>IF(MOV_CC_NACIONAL!B236="","",MOV_CC_NACIONAL!B236)</f>
        <v/>
      </c>
      <c r="D236" s="33" t="str">
        <f>IF(MOV_CC_NACIONAL!C236="","",MOV_CC_NACIONAL!C236)</f>
        <v/>
      </c>
      <c r="E236" s="32" t="str">
        <f t="shared" si="1"/>
        <v/>
      </c>
      <c r="F236" s="32" t="str">
        <f>IFERROR(__xludf.DUMMYFUNCTION("IF(C236="""","""", OR(REGEXMATCH(LOWER(C236),""cuota""), REGEXMATCH(C236,""\d+\s*/\s*\d+"")))"),"")</f>
        <v/>
      </c>
      <c r="G236" s="32" t="str">
        <f>IFERROR(__xludf.DUMMYFUNCTION("IFERROR(VALUE(REGEXEXTRACT(C236,""(\d+)\s*/\s*\d+"")),"""")"),"")</f>
        <v/>
      </c>
      <c r="H236" s="32" t="str">
        <f>IFERROR(__xludf.DUMMYFUNCTION("IFERROR(VALUE(REGEXEXTRACT(C236,""\d+\s*/\s*(\d+)"")),"""")"),"")</f>
        <v/>
      </c>
      <c r="I236" s="32" t="str">
        <f t="shared" si="2"/>
        <v/>
      </c>
      <c r="J236" s="33" t="str">
        <f t="shared" si="3"/>
        <v/>
      </c>
    </row>
    <row r="237" ht="15.75" customHeight="1">
      <c r="A237" s="22" t="s">
        <v>113</v>
      </c>
      <c r="B237" s="22" t="str">
        <f>IF(MOV_CC_NACIONAL!A237="","",MOV_CC_NACIONAL!A237)</f>
        <v/>
      </c>
      <c r="C237" s="22" t="str">
        <f>IF(MOV_CC_NACIONAL!B237="","",MOV_CC_NACIONAL!B237)</f>
        <v/>
      </c>
      <c r="D237" s="34" t="str">
        <f>IF(MOV_CC_NACIONAL!C237="","",MOV_CC_NACIONAL!C237)</f>
        <v/>
      </c>
      <c r="E237" s="22" t="str">
        <f t="shared" si="1"/>
        <v/>
      </c>
      <c r="F237" s="22" t="str">
        <f>IFERROR(__xludf.DUMMYFUNCTION("IF(C237="""","""", OR(REGEXMATCH(LOWER(C237),""cuota""), REGEXMATCH(C237,""\d+\s*/\s*\d+"")))"),"")</f>
        <v/>
      </c>
      <c r="G237" s="22" t="str">
        <f>IFERROR(__xludf.DUMMYFUNCTION("IFERROR(VALUE(REGEXEXTRACT(C237,""(\d+)\s*/\s*\d+"")),"""")"),"")</f>
        <v/>
      </c>
      <c r="H237" s="22" t="str">
        <f>IFERROR(__xludf.DUMMYFUNCTION("IFERROR(VALUE(REGEXEXTRACT(C237,""\d+\s*/\s*(\d+)"")),"""")"),"")</f>
        <v/>
      </c>
      <c r="I237" s="22" t="str">
        <f t="shared" si="2"/>
        <v/>
      </c>
      <c r="J237" s="34" t="str">
        <f t="shared" si="3"/>
        <v/>
      </c>
    </row>
    <row r="238" ht="15.75" customHeight="1">
      <c r="A238" s="32" t="s">
        <v>113</v>
      </c>
      <c r="B238" s="32" t="str">
        <f>IF(MOV_CC_NACIONAL!A238="","",MOV_CC_NACIONAL!A238)</f>
        <v/>
      </c>
      <c r="C238" s="32" t="str">
        <f>IF(MOV_CC_NACIONAL!B238="","",MOV_CC_NACIONAL!B238)</f>
        <v/>
      </c>
      <c r="D238" s="33" t="str">
        <f>IF(MOV_CC_NACIONAL!C238="","",MOV_CC_NACIONAL!C238)</f>
        <v/>
      </c>
      <c r="E238" s="32" t="str">
        <f t="shared" si="1"/>
        <v/>
      </c>
      <c r="F238" s="32" t="str">
        <f>IFERROR(__xludf.DUMMYFUNCTION("IF(C238="""","""", OR(REGEXMATCH(LOWER(C238),""cuota""), REGEXMATCH(C238,""\d+\s*/\s*\d+"")))"),"")</f>
        <v/>
      </c>
      <c r="G238" s="32" t="str">
        <f>IFERROR(__xludf.DUMMYFUNCTION("IFERROR(VALUE(REGEXEXTRACT(C238,""(\d+)\s*/\s*\d+"")),"""")"),"")</f>
        <v/>
      </c>
      <c r="H238" s="32" t="str">
        <f>IFERROR(__xludf.DUMMYFUNCTION("IFERROR(VALUE(REGEXEXTRACT(C238,""\d+\s*/\s*(\d+)"")),"""")"),"")</f>
        <v/>
      </c>
      <c r="I238" s="32" t="str">
        <f t="shared" si="2"/>
        <v/>
      </c>
      <c r="J238" s="33" t="str">
        <f t="shared" si="3"/>
        <v/>
      </c>
    </row>
    <row r="239" ht="15.75" customHeight="1">
      <c r="A239" s="22" t="s">
        <v>113</v>
      </c>
      <c r="B239" s="22" t="str">
        <f>IF(MOV_CC_NACIONAL!A239="","",MOV_CC_NACIONAL!A239)</f>
        <v/>
      </c>
      <c r="C239" s="22" t="str">
        <f>IF(MOV_CC_NACIONAL!B239="","",MOV_CC_NACIONAL!B239)</f>
        <v/>
      </c>
      <c r="D239" s="34" t="str">
        <f>IF(MOV_CC_NACIONAL!C239="","",MOV_CC_NACIONAL!C239)</f>
        <v/>
      </c>
      <c r="E239" s="22" t="str">
        <f t="shared" si="1"/>
        <v/>
      </c>
      <c r="F239" s="22" t="str">
        <f>IFERROR(__xludf.DUMMYFUNCTION("IF(C239="""","""", OR(REGEXMATCH(LOWER(C239),""cuota""), REGEXMATCH(C239,""\d+\s*/\s*\d+"")))"),"")</f>
        <v/>
      </c>
      <c r="G239" s="22" t="str">
        <f>IFERROR(__xludf.DUMMYFUNCTION("IFERROR(VALUE(REGEXEXTRACT(C239,""(\d+)\s*/\s*\d+"")),"""")"),"")</f>
        <v/>
      </c>
      <c r="H239" s="22" t="str">
        <f>IFERROR(__xludf.DUMMYFUNCTION("IFERROR(VALUE(REGEXEXTRACT(C239,""\d+\s*/\s*(\d+)"")),"""")"),"")</f>
        <v/>
      </c>
      <c r="I239" s="22" t="str">
        <f t="shared" si="2"/>
        <v/>
      </c>
      <c r="J239" s="34" t="str">
        <f t="shared" si="3"/>
        <v/>
      </c>
    </row>
    <row r="240" ht="15.75" customHeight="1">
      <c r="A240" s="32" t="s">
        <v>113</v>
      </c>
      <c r="B240" s="32" t="str">
        <f>IF(MOV_CC_NACIONAL!A240="","",MOV_CC_NACIONAL!A240)</f>
        <v/>
      </c>
      <c r="C240" s="32" t="str">
        <f>IF(MOV_CC_NACIONAL!B240="","",MOV_CC_NACIONAL!B240)</f>
        <v/>
      </c>
      <c r="D240" s="33" t="str">
        <f>IF(MOV_CC_NACIONAL!C240="","",MOV_CC_NACIONAL!C240)</f>
        <v/>
      </c>
      <c r="E240" s="32" t="str">
        <f t="shared" si="1"/>
        <v/>
      </c>
      <c r="F240" s="32" t="str">
        <f>IFERROR(__xludf.DUMMYFUNCTION("IF(C240="""","""", OR(REGEXMATCH(LOWER(C240),""cuota""), REGEXMATCH(C240,""\d+\s*/\s*\d+"")))"),"")</f>
        <v/>
      </c>
      <c r="G240" s="32" t="str">
        <f>IFERROR(__xludf.DUMMYFUNCTION("IFERROR(VALUE(REGEXEXTRACT(C240,""(\d+)\s*/\s*\d+"")),"""")"),"")</f>
        <v/>
      </c>
      <c r="H240" s="32" t="str">
        <f>IFERROR(__xludf.DUMMYFUNCTION("IFERROR(VALUE(REGEXEXTRACT(C240,""\d+\s*/\s*(\d+)"")),"""")"),"")</f>
        <v/>
      </c>
      <c r="I240" s="32" t="str">
        <f t="shared" si="2"/>
        <v/>
      </c>
      <c r="J240" s="33" t="str">
        <f t="shared" si="3"/>
        <v/>
      </c>
    </row>
    <row r="241" ht="15.75" customHeight="1">
      <c r="A241" s="22" t="s">
        <v>113</v>
      </c>
      <c r="B241" s="22" t="str">
        <f>IF(MOV_CC_NACIONAL!A241="","",MOV_CC_NACIONAL!A241)</f>
        <v/>
      </c>
      <c r="C241" s="22" t="str">
        <f>IF(MOV_CC_NACIONAL!B241="","",MOV_CC_NACIONAL!B241)</f>
        <v/>
      </c>
      <c r="D241" s="34" t="str">
        <f>IF(MOV_CC_NACIONAL!C241="","",MOV_CC_NACIONAL!C241)</f>
        <v/>
      </c>
      <c r="E241" s="22" t="str">
        <f t="shared" si="1"/>
        <v/>
      </c>
      <c r="F241" s="22" t="str">
        <f>IFERROR(__xludf.DUMMYFUNCTION("IF(C241="""","""", OR(REGEXMATCH(LOWER(C241),""cuota""), REGEXMATCH(C241,""\d+\s*/\s*\d+"")))"),"")</f>
        <v/>
      </c>
      <c r="G241" s="22" t="str">
        <f>IFERROR(__xludf.DUMMYFUNCTION("IFERROR(VALUE(REGEXEXTRACT(C241,""(\d+)\s*/\s*\d+"")),"""")"),"")</f>
        <v/>
      </c>
      <c r="H241" s="22" t="str">
        <f>IFERROR(__xludf.DUMMYFUNCTION("IFERROR(VALUE(REGEXEXTRACT(C241,""\d+\s*/\s*(\d+)"")),"""")"),"")</f>
        <v/>
      </c>
      <c r="I241" s="22" t="str">
        <f t="shared" si="2"/>
        <v/>
      </c>
      <c r="J241" s="34" t="str">
        <f t="shared" si="3"/>
        <v/>
      </c>
    </row>
    <row r="242" ht="15.75" customHeight="1">
      <c r="A242" s="32" t="s">
        <v>113</v>
      </c>
      <c r="B242" s="32" t="str">
        <f>IF(MOV_CC_NACIONAL!A242="","",MOV_CC_NACIONAL!A242)</f>
        <v/>
      </c>
      <c r="C242" s="32" t="str">
        <f>IF(MOV_CC_NACIONAL!B242="","",MOV_CC_NACIONAL!B242)</f>
        <v/>
      </c>
      <c r="D242" s="33" t="str">
        <f>IF(MOV_CC_NACIONAL!C242="","",MOV_CC_NACIONAL!C242)</f>
        <v/>
      </c>
      <c r="E242" s="32" t="str">
        <f t="shared" si="1"/>
        <v/>
      </c>
      <c r="F242" s="32" t="str">
        <f>IFERROR(__xludf.DUMMYFUNCTION("IF(C242="""","""", OR(REGEXMATCH(LOWER(C242),""cuota""), REGEXMATCH(C242,""\d+\s*/\s*\d+"")))"),"")</f>
        <v/>
      </c>
      <c r="G242" s="32" t="str">
        <f>IFERROR(__xludf.DUMMYFUNCTION("IFERROR(VALUE(REGEXEXTRACT(C242,""(\d+)\s*/\s*\d+"")),"""")"),"")</f>
        <v/>
      </c>
      <c r="H242" s="32" t="str">
        <f>IFERROR(__xludf.DUMMYFUNCTION("IFERROR(VALUE(REGEXEXTRACT(C242,""\d+\s*/\s*(\d+)"")),"""")"),"")</f>
        <v/>
      </c>
      <c r="I242" s="32" t="str">
        <f t="shared" si="2"/>
        <v/>
      </c>
      <c r="J242" s="33" t="str">
        <f t="shared" si="3"/>
        <v/>
      </c>
    </row>
    <row r="243" ht="15.75" customHeight="1">
      <c r="A243" s="22" t="s">
        <v>113</v>
      </c>
      <c r="B243" s="22" t="str">
        <f>IF(MOV_CC_NACIONAL!A243="","",MOV_CC_NACIONAL!A243)</f>
        <v/>
      </c>
      <c r="C243" s="22" t="str">
        <f>IF(MOV_CC_NACIONAL!B243="","",MOV_CC_NACIONAL!B243)</f>
        <v/>
      </c>
      <c r="D243" s="34" t="str">
        <f>IF(MOV_CC_NACIONAL!C243="","",MOV_CC_NACIONAL!C243)</f>
        <v/>
      </c>
      <c r="E243" s="22" t="str">
        <f t="shared" si="1"/>
        <v/>
      </c>
      <c r="F243" s="22" t="str">
        <f>IFERROR(__xludf.DUMMYFUNCTION("IF(C243="""","""", OR(REGEXMATCH(LOWER(C243),""cuota""), REGEXMATCH(C243,""\d+\s*/\s*\d+"")))"),"")</f>
        <v/>
      </c>
      <c r="G243" s="22" t="str">
        <f>IFERROR(__xludf.DUMMYFUNCTION("IFERROR(VALUE(REGEXEXTRACT(C243,""(\d+)\s*/\s*\d+"")),"""")"),"")</f>
        <v/>
      </c>
      <c r="H243" s="22" t="str">
        <f>IFERROR(__xludf.DUMMYFUNCTION("IFERROR(VALUE(REGEXEXTRACT(C243,""\d+\s*/\s*(\d+)"")),"""")"),"")</f>
        <v/>
      </c>
      <c r="I243" s="22" t="str">
        <f t="shared" si="2"/>
        <v/>
      </c>
      <c r="J243" s="34" t="str">
        <f t="shared" si="3"/>
        <v/>
      </c>
    </row>
    <row r="244" ht="15.75" customHeight="1">
      <c r="A244" s="32" t="s">
        <v>113</v>
      </c>
      <c r="B244" s="32" t="str">
        <f>IF(MOV_CC_NACIONAL!A244="","",MOV_CC_NACIONAL!A244)</f>
        <v/>
      </c>
      <c r="C244" s="32" t="str">
        <f>IF(MOV_CC_NACIONAL!B244="","",MOV_CC_NACIONAL!B244)</f>
        <v/>
      </c>
      <c r="D244" s="33" t="str">
        <f>IF(MOV_CC_NACIONAL!C244="","",MOV_CC_NACIONAL!C244)</f>
        <v/>
      </c>
      <c r="E244" s="32" t="str">
        <f t="shared" si="1"/>
        <v/>
      </c>
      <c r="F244" s="32" t="str">
        <f>IFERROR(__xludf.DUMMYFUNCTION("IF(C244="""","""", OR(REGEXMATCH(LOWER(C244),""cuota""), REGEXMATCH(C244,""\d+\s*/\s*\d+"")))"),"")</f>
        <v/>
      </c>
      <c r="G244" s="32" t="str">
        <f>IFERROR(__xludf.DUMMYFUNCTION("IFERROR(VALUE(REGEXEXTRACT(C244,""(\d+)\s*/\s*\d+"")),"""")"),"")</f>
        <v/>
      </c>
      <c r="H244" s="32" t="str">
        <f>IFERROR(__xludf.DUMMYFUNCTION("IFERROR(VALUE(REGEXEXTRACT(C244,""\d+\s*/\s*(\d+)"")),"""")"),"")</f>
        <v/>
      </c>
      <c r="I244" s="32" t="str">
        <f t="shared" si="2"/>
        <v/>
      </c>
      <c r="J244" s="33" t="str">
        <f t="shared" si="3"/>
        <v/>
      </c>
    </row>
    <row r="245" ht="15.75" customHeight="1">
      <c r="A245" s="22" t="s">
        <v>113</v>
      </c>
      <c r="B245" s="22" t="str">
        <f>IF(MOV_CC_NACIONAL!A245="","",MOV_CC_NACIONAL!A245)</f>
        <v/>
      </c>
      <c r="C245" s="22" t="str">
        <f>IF(MOV_CC_NACIONAL!B245="","",MOV_CC_NACIONAL!B245)</f>
        <v/>
      </c>
      <c r="D245" s="34" t="str">
        <f>IF(MOV_CC_NACIONAL!C245="","",MOV_CC_NACIONAL!C245)</f>
        <v/>
      </c>
      <c r="E245" s="22" t="str">
        <f t="shared" si="1"/>
        <v/>
      </c>
      <c r="F245" s="22" t="str">
        <f>IFERROR(__xludf.DUMMYFUNCTION("IF(C245="""","""", OR(REGEXMATCH(LOWER(C245),""cuota""), REGEXMATCH(C245,""\d+\s*/\s*\d+"")))"),"")</f>
        <v/>
      </c>
      <c r="G245" s="22" t="str">
        <f>IFERROR(__xludf.DUMMYFUNCTION("IFERROR(VALUE(REGEXEXTRACT(C245,""(\d+)\s*/\s*\d+"")),"""")"),"")</f>
        <v/>
      </c>
      <c r="H245" s="22" t="str">
        <f>IFERROR(__xludf.DUMMYFUNCTION("IFERROR(VALUE(REGEXEXTRACT(C245,""\d+\s*/\s*(\d+)"")),"""")"),"")</f>
        <v/>
      </c>
      <c r="I245" s="22" t="str">
        <f t="shared" si="2"/>
        <v/>
      </c>
      <c r="J245" s="34" t="str">
        <f t="shared" si="3"/>
        <v/>
      </c>
    </row>
    <row r="246" ht="15.75" customHeight="1">
      <c r="A246" s="32" t="s">
        <v>113</v>
      </c>
      <c r="B246" s="32" t="str">
        <f>IF(MOV_CC_NACIONAL!A246="","",MOV_CC_NACIONAL!A246)</f>
        <v/>
      </c>
      <c r="C246" s="32" t="str">
        <f>IF(MOV_CC_NACIONAL!B246="","",MOV_CC_NACIONAL!B246)</f>
        <v/>
      </c>
      <c r="D246" s="33" t="str">
        <f>IF(MOV_CC_NACIONAL!C246="","",MOV_CC_NACIONAL!C246)</f>
        <v/>
      </c>
      <c r="E246" s="32" t="str">
        <f t="shared" si="1"/>
        <v/>
      </c>
      <c r="F246" s="32" t="str">
        <f>IFERROR(__xludf.DUMMYFUNCTION("IF(C246="""","""", OR(REGEXMATCH(LOWER(C246),""cuota""), REGEXMATCH(C246,""\d+\s*/\s*\d+"")))"),"")</f>
        <v/>
      </c>
      <c r="G246" s="32" t="str">
        <f>IFERROR(__xludf.DUMMYFUNCTION("IFERROR(VALUE(REGEXEXTRACT(C246,""(\d+)\s*/\s*\d+"")),"""")"),"")</f>
        <v/>
      </c>
      <c r="H246" s="32" t="str">
        <f>IFERROR(__xludf.DUMMYFUNCTION("IFERROR(VALUE(REGEXEXTRACT(C246,""\d+\s*/\s*(\d+)"")),"""")"),"")</f>
        <v/>
      </c>
      <c r="I246" s="32" t="str">
        <f t="shared" si="2"/>
        <v/>
      </c>
      <c r="J246" s="33" t="str">
        <f t="shared" si="3"/>
        <v/>
      </c>
    </row>
    <row r="247" ht="15.75" customHeight="1">
      <c r="A247" s="22" t="s">
        <v>113</v>
      </c>
      <c r="B247" s="22" t="str">
        <f>IF(MOV_CC_NACIONAL!A247="","",MOV_CC_NACIONAL!A247)</f>
        <v/>
      </c>
      <c r="C247" s="22" t="str">
        <f>IF(MOV_CC_NACIONAL!B247="","",MOV_CC_NACIONAL!B247)</f>
        <v/>
      </c>
      <c r="D247" s="34" t="str">
        <f>IF(MOV_CC_NACIONAL!C247="","",MOV_CC_NACIONAL!C247)</f>
        <v/>
      </c>
      <c r="E247" s="22" t="str">
        <f t="shared" si="1"/>
        <v/>
      </c>
      <c r="F247" s="22" t="str">
        <f>IFERROR(__xludf.DUMMYFUNCTION("IF(C247="""","""", OR(REGEXMATCH(LOWER(C247),""cuota""), REGEXMATCH(C247,""\d+\s*/\s*\d+"")))"),"")</f>
        <v/>
      </c>
      <c r="G247" s="22" t="str">
        <f>IFERROR(__xludf.DUMMYFUNCTION("IFERROR(VALUE(REGEXEXTRACT(C247,""(\d+)\s*/\s*\d+"")),"""")"),"")</f>
        <v/>
      </c>
      <c r="H247" s="22" t="str">
        <f>IFERROR(__xludf.DUMMYFUNCTION("IFERROR(VALUE(REGEXEXTRACT(C247,""\d+\s*/\s*(\d+)"")),"""")"),"")</f>
        <v/>
      </c>
      <c r="I247" s="22" t="str">
        <f t="shared" si="2"/>
        <v/>
      </c>
      <c r="J247" s="34" t="str">
        <f t="shared" si="3"/>
        <v/>
      </c>
    </row>
    <row r="248" ht="15.75" customHeight="1">
      <c r="A248" s="32" t="s">
        <v>113</v>
      </c>
      <c r="B248" s="32" t="str">
        <f>IF(MOV_CC_NACIONAL!A248="","",MOV_CC_NACIONAL!A248)</f>
        <v/>
      </c>
      <c r="C248" s="32" t="str">
        <f>IF(MOV_CC_NACIONAL!B248="","",MOV_CC_NACIONAL!B248)</f>
        <v/>
      </c>
      <c r="D248" s="33" t="str">
        <f>IF(MOV_CC_NACIONAL!C248="","",MOV_CC_NACIONAL!C248)</f>
        <v/>
      </c>
      <c r="E248" s="32" t="str">
        <f t="shared" si="1"/>
        <v/>
      </c>
      <c r="F248" s="32" t="str">
        <f>IFERROR(__xludf.DUMMYFUNCTION("IF(C248="""","""", OR(REGEXMATCH(LOWER(C248),""cuota""), REGEXMATCH(C248,""\d+\s*/\s*\d+"")))"),"")</f>
        <v/>
      </c>
      <c r="G248" s="32" t="str">
        <f>IFERROR(__xludf.DUMMYFUNCTION("IFERROR(VALUE(REGEXEXTRACT(C248,""(\d+)\s*/\s*\d+"")),"""")"),"")</f>
        <v/>
      </c>
      <c r="H248" s="32" t="str">
        <f>IFERROR(__xludf.DUMMYFUNCTION("IFERROR(VALUE(REGEXEXTRACT(C248,""\d+\s*/\s*(\d+)"")),"""")"),"")</f>
        <v/>
      </c>
      <c r="I248" s="32" t="str">
        <f t="shared" si="2"/>
        <v/>
      </c>
      <c r="J248" s="33" t="str">
        <f t="shared" si="3"/>
        <v/>
      </c>
    </row>
    <row r="249" ht="15.75" customHeight="1">
      <c r="A249" s="22" t="s">
        <v>113</v>
      </c>
      <c r="B249" s="22" t="str">
        <f>IF(MOV_CC_NACIONAL!A249="","",MOV_CC_NACIONAL!A249)</f>
        <v/>
      </c>
      <c r="C249" s="22" t="str">
        <f>IF(MOV_CC_NACIONAL!B249="","",MOV_CC_NACIONAL!B249)</f>
        <v/>
      </c>
      <c r="D249" s="34" t="str">
        <f>IF(MOV_CC_NACIONAL!C249="","",MOV_CC_NACIONAL!C249)</f>
        <v/>
      </c>
      <c r="E249" s="22" t="str">
        <f t="shared" si="1"/>
        <v/>
      </c>
      <c r="F249" s="22" t="str">
        <f>IFERROR(__xludf.DUMMYFUNCTION("IF(C249="""","""", OR(REGEXMATCH(LOWER(C249),""cuota""), REGEXMATCH(C249,""\d+\s*/\s*\d+"")))"),"")</f>
        <v/>
      </c>
      <c r="G249" s="22" t="str">
        <f>IFERROR(__xludf.DUMMYFUNCTION("IFERROR(VALUE(REGEXEXTRACT(C249,""(\d+)\s*/\s*\d+"")),"""")"),"")</f>
        <v/>
      </c>
      <c r="H249" s="22" t="str">
        <f>IFERROR(__xludf.DUMMYFUNCTION("IFERROR(VALUE(REGEXEXTRACT(C249,""\d+\s*/\s*(\d+)"")),"""")"),"")</f>
        <v/>
      </c>
      <c r="I249" s="22" t="str">
        <f t="shared" si="2"/>
        <v/>
      </c>
      <c r="J249" s="34" t="str">
        <f t="shared" si="3"/>
        <v/>
      </c>
    </row>
    <row r="250" ht="15.75" customHeight="1">
      <c r="A250" s="32" t="s">
        <v>113</v>
      </c>
      <c r="B250" s="32" t="str">
        <f>IF(MOV_CC_NACIONAL!A250="","",MOV_CC_NACIONAL!A250)</f>
        <v/>
      </c>
      <c r="C250" s="32" t="str">
        <f>IF(MOV_CC_NACIONAL!B250="","",MOV_CC_NACIONAL!B250)</f>
        <v/>
      </c>
      <c r="D250" s="33" t="str">
        <f>IF(MOV_CC_NACIONAL!C250="","",MOV_CC_NACIONAL!C250)</f>
        <v/>
      </c>
      <c r="E250" s="32" t="str">
        <f t="shared" si="1"/>
        <v/>
      </c>
      <c r="F250" s="32" t="str">
        <f>IFERROR(__xludf.DUMMYFUNCTION("IF(C250="""","""", OR(REGEXMATCH(LOWER(C250),""cuota""), REGEXMATCH(C250,""\d+\s*/\s*\d+"")))"),"")</f>
        <v/>
      </c>
      <c r="G250" s="32" t="str">
        <f>IFERROR(__xludf.DUMMYFUNCTION("IFERROR(VALUE(REGEXEXTRACT(C250,""(\d+)\s*/\s*\d+"")),"""")"),"")</f>
        <v/>
      </c>
      <c r="H250" s="32" t="str">
        <f>IFERROR(__xludf.DUMMYFUNCTION("IFERROR(VALUE(REGEXEXTRACT(C250,""\d+\s*/\s*(\d+)"")),"""")"),"")</f>
        <v/>
      </c>
      <c r="I250" s="32" t="str">
        <f t="shared" si="2"/>
        <v/>
      </c>
      <c r="J250" s="33" t="str">
        <f t="shared" si="3"/>
        <v/>
      </c>
    </row>
    <row r="251" ht="15.75" customHeight="1">
      <c r="A251" s="22" t="s">
        <v>113</v>
      </c>
      <c r="B251" s="22" t="str">
        <f>IF(MOV_CC_NACIONAL!A251="","",MOV_CC_NACIONAL!A251)</f>
        <v/>
      </c>
      <c r="C251" s="22" t="str">
        <f>IF(MOV_CC_NACIONAL!B251="","",MOV_CC_NACIONAL!B251)</f>
        <v/>
      </c>
      <c r="D251" s="34" t="str">
        <f>IF(MOV_CC_NACIONAL!C251="","",MOV_CC_NACIONAL!C251)</f>
        <v/>
      </c>
      <c r="E251" s="22" t="str">
        <f t="shared" si="1"/>
        <v/>
      </c>
      <c r="F251" s="22" t="str">
        <f>IFERROR(__xludf.DUMMYFUNCTION("IF(C251="""","""", OR(REGEXMATCH(LOWER(C251),""cuota""), REGEXMATCH(C251,""\d+\s*/\s*\d+"")))"),"")</f>
        <v/>
      </c>
      <c r="G251" s="22" t="str">
        <f>IFERROR(__xludf.DUMMYFUNCTION("IFERROR(VALUE(REGEXEXTRACT(C251,""(\d+)\s*/\s*\d+"")),"""")"),"")</f>
        <v/>
      </c>
      <c r="H251" s="22" t="str">
        <f>IFERROR(__xludf.DUMMYFUNCTION("IFERROR(VALUE(REGEXEXTRACT(C251,""\d+\s*/\s*(\d+)"")),"""")"),"")</f>
        <v/>
      </c>
      <c r="I251" s="22" t="str">
        <f t="shared" si="2"/>
        <v/>
      </c>
      <c r="J251" s="34" t="str">
        <f t="shared" si="3"/>
        <v/>
      </c>
    </row>
    <row r="252" ht="15.75" customHeight="1">
      <c r="A252" s="32" t="s">
        <v>113</v>
      </c>
      <c r="B252" s="32" t="str">
        <f>IF(MOV_CC_NACIONAL!A252="","",MOV_CC_NACIONAL!A252)</f>
        <v/>
      </c>
      <c r="C252" s="32" t="str">
        <f>IF(MOV_CC_NACIONAL!B252="","",MOV_CC_NACIONAL!B252)</f>
        <v/>
      </c>
      <c r="D252" s="33" t="str">
        <f>IF(MOV_CC_NACIONAL!C252="","",MOV_CC_NACIONAL!C252)</f>
        <v/>
      </c>
      <c r="E252" s="32" t="str">
        <f t="shared" si="1"/>
        <v/>
      </c>
      <c r="F252" s="32" t="str">
        <f>IFERROR(__xludf.DUMMYFUNCTION("IF(C252="""","""", OR(REGEXMATCH(LOWER(C252),""cuota""), REGEXMATCH(C252,""\d+\s*/\s*\d+"")))"),"")</f>
        <v/>
      </c>
      <c r="G252" s="32" t="str">
        <f>IFERROR(__xludf.DUMMYFUNCTION("IFERROR(VALUE(REGEXEXTRACT(C252,""(\d+)\s*/\s*\d+"")),"""")"),"")</f>
        <v/>
      </c>
      <c r="H252" s="32" t="str">
        <f>IFERROR(__xludf.DUMMYFUNCTION("IFERROR(VALUE(REGEXEXTRACT(C252,""\d+\s*/\s*(\d+)"")),"""")"),"")</f>
        <v/>
      </c>
      <c r="I252" s="32" t="str">
        <f t="shared" si="2"/>
        <v/>
      </c>
      <c r="J252" s="33" t="str">
        <f t="shared" si="3"/>
        <v/>
      </c>
    </row>
    <row r="253" ht="15.75" customHeight="1">
      <c r="A253" s="22" t="s">
        <v>113</v>
      </c>
      <c r="B253" s="22" t="str">
        <f>IF(MOV_CC_NACIONAL!A253="","",MOV_CC_NACIONAL!A253)</f>
        <v/>
      </c>
      <c r="C253" s="22" t="str">
        <f>IF(MOV_CC_NACIONAL!B253="","",MOV_CC_NACIONAL!B253)</f>
        <v/>
      </c>
      <c r="D253" s="34" t="str">
        <f>IF(MOV_CC_NACIONAL!C253="","",MOV_CC_NACIONAL!C253)</f>
        <v/>
      </c>
      <c r="E253" s="22" t="str">
        <f t="shared" si="1"/>
        <v/>
      </c>
      <c r="F253" s="22" t="str">
        <f>IFERROR(__xludf.DUMMYFUNCTION("IF(C253="""","""", OR(REGEXMATCH(LOWER(C253),""cuota""), REGEXMATCH(C253,""\d+\s*/\s*\d+"")))"),"")</f>
        <v/>
      </c>
      <c r="G253" s="22" t="str">
        <f>IFERROR(__xludf.DUMMYFUNCTION("IFERROR(VALUE(REGEXEXTRACT(C253,""(\d+)\s*/\s*\d+"")),"""")"),"")</f>
        <v/>
      </c>
      <c r="H253" s="22" t="str">
        <f>IFERROR(__xludf.DUMMYFUNCTION("IFERROR(VALUE(REGEXEXTRACT(C253,""\d+\s*/\s*(\d+)"")),"""")"),"")</f>
        <v/>
      </c>
      <c r="I253" s="22" t="str">
        <f t="shared" si="2"/>
        <v/>
      </c>
      <c r="J253" s="34" t="str">
        <f t="shared" si="3"/>
        <v/>
      </c>
    </row>
    <row r="254" ht="15.75" customHeight="1">
      <c r="A254" s="32" t="s">
        <v>113</v>
      </c>
      <c r="B254" s="32" t="str">
        <f>IF(MOV_CC_NACIONAL!A254="","",MOV_CC_NACIONAL!A254)</f>
        <v/>
      </c>
      <c r="C254" s="32" t="str">
        <f>IF(MOV_CC_NACIONAL!B254="","",MOV_CC_NACIONAL!B254)</f>
        <v/>
      </c>
      <c r="D254" s="33" t="str">
        <f>IF(MOV_CC_NACIONAL!C254="","",MOV_CC_NACIONAL!C254)</f>
        <v/>
      </c>
      <c r="E254" s="32" t="str">
        <f t="shared" si="1"/>
        <v/>
      </c>
      <c r="F254" s="32" t="str">
        <f>IFERROR(__xludf.DUMMYFUNCTION("IF(C254="""","""", OR(REGEXMATCH(LOWER(C254),""cuota""), REGEXMATCH(C254,""\d+\s*/\s*\d+"")))"),"")</f>
        <v/>
      </c>
      <c r="G254" s="32" t="str">
        <f>IFERROR(__xludf.DUMMYFUNCTION("IFERROR(VALUE(REGEXEXTRACT(C254,""(\d+)\s*/\s*\d+"")),"""")"),"")</f>
        <v/>
      </c>
      <c r="H254" s="32" t="str">
        <f>IFERROR(__xludf.DUMMYFUNCTION("IFERROR(VALUE(REGEXEXTRACT(C254,""\d+\s*/\s*(\d+)"")),"""")"),"")</f>
        <v/>
      </c>
      <c r="I254" s="32" t="str">
        <f t="shared" si="2"/>
        <v/>
      </c>
      <c r="J254" s="33" t="str">
        <f t="shared" si="3"/>
        <v/>
      </c>
    </row>
    <row r="255" ht="15.75" customHeight="1">
      <c r="A255" s="22" t="s">
        <v>113</v>
      </c>
      <c r="B255" s="22" t="str">
        <f>IF(MOV_CC_NACIONAL!A255="","",MOV_CC_NACIONAL!A255)</f>
        <v/>
      </c>
      <c r="C255" s="22" t="str">
        <f>IF(MOV_CC_NACIONAL!B255="","",MOV_CC_NACIONAL!B255)</f>
        <v/>
      </c>
      <c r="D255" s="34" t="str">
        <f>IF(MOV_CC_NACIONAL!C255="","",MOV_CC_NACIONAL!C255)</f>
        <v/>
      </c>
      <c r="E255" s="22" t="str">
        <f t="shared" si="1"/>
        <v/>
      </c>
      <c r="F255" s="22" t="str">
        <f>IFERROR(__xludf.DUMMYFUNCTION("IF(C255="""","""", OR(REGEXMATCH(LOWER(C255),""cuota""), REGEXMATCH(C255,""\d+\s*/\s*\d+"")))"),"")</f>
        <v/>
      </c>
      <c r="G255" s="22" t="str">
        <f>IFERROR(__xludf.DUMMYFUNCTION("IFERROR(VALUE(REGEXEXTRACT(C255,""(\d+)\s*/\s*\d+"")),"""")"),"")</f>
        <v/>
      </c>
      <c r="H255" s="22" t="str">
        <f>IFERROR(__xludf.DUMMYFUNCTION("IFERROR(VALUE(REGEXEXTRACT(C255,""\d+\s*/\s*(\d+)"")),"""")"),"")</f>
        <v/>
      </c>
      <c r="I255" s="22" t="str">
        <f t="shared" si="2"/>
        <v/>
      </c>
      <c r="J255" s="34" t="str">
        <f t="shared" si="3"/>
        <v/>
      </c>
    </row>
    <row r="256" ht="15.75" customHeight="1">
      <c r="A256" s="32" t="s">
        <v>113</v>
      </c>
      <c r="B256" s="32" t="str">
        <f>IF(MOV_CC_NACIONAL!A256="","",MOV_CC_NACIONAL!A256)</f>
        <v/>
      </c>
      <c r="C256" s="32" t="str">
        <f>IF(MOV_CC_NACIONAL!B256="","",MOV_CC_NACIONAL!B256)</f>
        <v/>
      </c>
      <c r="D256" s="33" t="str">
        <f>IF(MOV_CC_NACIONAL!C256="","",MOV_CC_NACIONAL!C256)</f>
        <v/>
      </c>
      <c r="E256" s="32" t="str">
        <f t="shared" si="1"/>
        <v/>
      </c>
      <c r="F256" s="32" t="str">
        <f>IFERROR(__xludf.DUMMYFUNCTION("IF(C256="""","""", OR(REGEXMATCH(LOWER(C256),""cuota""), REGEXMATCH(C256,""\d+\s*/\s*\d+"")))"),"")</f>
        <v/>
      </c>
      <c r="G256" s="32" t="str">
        <f>IFERROR(__xludf.DUMMYFUNCTION("IFERROR(VALUE(REGEXEXTRACT(C256,""(\d+)\s*/\s*\d+"")),"""")"),"")</f>
        <v/>
      </c>
      <c r="H256" s="32" t="str">
        <f>IFERROR(__xludf.DUMMYFUNCTION("IFERROR(VALUE(REGEXEXTRACT(C256,""\d+\s*/\s*(\d+)"")),"""")"),"")</f>
        <v/>
      </c>
      <c r="I256" s="32" t="str">
        <f t="shared" si="2"/>
        <v/>
      </c>
      <c r="J256" s="33" t="str">
        <f t="shared" si="3"/>
        <v/>
      </c>
    </row>
    <row r="257" ht="15.75" customHeight="1">
      <c r="A257" s="22" t="s">
        <v>113</v>
      </c>
      <c r="B257" s="22" t="str">
        <f>IF(MOV_CC_NACIONAL!A257="","",MOV_CC_NACIONAL!A257)</f>
        <v/>
      </c>
      <c r="C257" s="22" t="str">
        <f>IF(MOV_CC_NACIONAL!B257="","",MOV_CC_NACIONAL!B257)</f>
        <v/>
      </c>
      <c r="D257" s="34" t="str">
        <f>IF(MOV_CC_NACIONAL!C257="","",MOV_CC_NACIONAL!C257)</f>
        <v/>
      </c>
      <c r="E257" s="22" t="str">
        <f t="shared" si="1"/>
        <v/>
      </c>
      <c r="F257" s="22" t="str">
        <f>IFERROR(__xludf.DUMMYFUNCTION("IF(C257="""","""", OR(REGEXMATCH(LOWER(C257),""cuota""), REGEXMATCH(C257,""\d+\s*/\s*\d+"")))"),"")</f>
        <v/>
      </c>
      <c r="G257" s="22" t="str">
        <f>IFERROR(__xludf.DUMMYFUNCTION("IFERROR(VALUE(REGEXEXTRACT(C257,""(\d+)\s*/\s*\d+"")),"""")"),"")</f>
        <v/>
      </c>
      <c r="H257" s="22" t="str">
        <f>IFERROR(__xludf.DUMMYFUNCTION("IFERROR(VALUE(REGEXEXTRACT(C257,""\d+\s*/\s*(\d+)"")),"""")"),"")</f>
        <v/>
      </c>
      <c r="I257" s="22" t="str">
        <f t="shared" si="2"/>
        <v/>
      </c>
      <c r="J257" s="34" t="str">
        <f t="shared" si="3"/>
        <v/>
      </c>
    </row>
    <row r="258" ht="15.75" customHeight="1">
      <c r="A258" s="32" t="s">
        <v>113</v>
      </c>
      <c r="B258" s="32" t="str">
        <f>IF(MOV_CC_NACIONAL!A258="","",MOV_CC_NACIONAL!A258)</f>
        <v/>
      </c>
      <c r="C258" s="32" t="str">
        <f>IF(MOV_CC_NACIONAL!B258="","",MOV_CC_NACIONAL!B258)</f>
        <v/>
      </c>
      <c r="D258" s="33" t="str">
        <f>IF(MOV_CC_NACIONAL!C258="","",MOV_CC_NACIONAL!C258)</f>
        <v/>
      </c>
      <c r="E258" s="32" t="str">
        <f t="shared" si="1"/>
        <v/>
      </c>
      <c r="F258" s="32" t="str">
        <f>IFERROR(__xludf.DUMMYFUNCTION("IF(C258="""","""", OR(REGEXMATCH(LOWER(C258),""cuota""), REGEXMATCH(C258,""\d+\s*/\s*\d+"")))"),"")</f>
        <v/>
      </c>
      <c r="G258" s="32" t="str">
        <f>IFERROR(__xludf.DUMMYFUNCTION("IFERROR(VALUE(REGEXEXTRACT(C258,""(\d+)\s*/\s*\d+"")),"""")"),"")</f>
        <v/>
      </c>
      <c r="H258" s="32" t="str">
        <f>IFERROR(__xludf.DUMMYFUNCTION("IFERROR(VALUE(REGEXEXTRACT(C258,""\d+\s*/\s*(\d+)"")),"""")"),"")</f>
        <v/>
      </c>
      <c r="I258" s="32" t="str">
        <f t="shared" si="2"/>
        <v/>
      </c>
      <c r="J258" s="33" t="str">
        <f t="shared" si="3"/>
        <v/>
      </c>
    </row>
    <row r="259" ht="15.75" customHeight="1">
      <c r="A259" s="22" t="s">
        <v>113</v>
      </c>
      <c r="B259" s="22" t="str">
        <f>IF(MOV_CC_NACIONAL!A259="","",MOV_CC_NACIONAL!A259)</f>
        <v/>
      </c>
      <c r="C259" s="22" t="str">
        <f>IF(MOV_CC_NACIONAL!B259="","",MOV_CC_NACIONAL!B259)</f>
        <v/>
      </c>
      <c r="D259" s="34" t="str">
        <f>IF(MOV_CC_NACIONAL!C259="","",MOV_CC_NACIONAL!C259)</f>
        <v/>
      </c>
      <c r="E259" s="22" t="str">
        <f t="shared" si="1"/>
        <v/>
      </c>
      <c r="F259" s="22" t="str">
        <f>IFERROR(__xludf.DUMMYFUNCTION("IF(C259="""","""", OR(REGEXMATCH(LOWER(C259),""cuota""), REGEXMATCH(C259,""\d+\s*/\s*\d+"")))"),"")</f>
        <v/>
      </c>
      <c r="G259" s="22" t="str">
        <f>IFERROR(__xludf.DUMMYFUNCTION("IFERROR(VALUE(REGEXEXTRACT(C259,""(\d+)\s*/\s*\d+"")),"""")"),"")</f>
        <v/>
      </c>
      <c r="H259" s="22" t="str">
        <f>IFERROR(__xludf.DUMMYFUNCTION("IFERROR(VALUE(REGEXEXTRACT(C259,""\d+\s*/\s*(\d+)"")),"""")"),"")</f>
        <v/>
      </c>
      <c r="I259" s="22" t="str">
        <f t="shared" si="2"/>
        <v/>
      </c>
      <c r="J259" s="34" t="str">
        <f t="shared" si="3"/>
        <v/>
      </c>
    </row>
    <row r="260" ht="15.75" customHeight="1">
      <c r="A260" s="32" t="s">
        <v>113</v>
      </c>
      <c r="B260" s="32" t="str">
        <f>IF(MOV_CC_NACIONAL!A260="","",MOV_CC_NACIONAL!A260)</f>
        <v/>
      </c>
      <c r="C260" s="32" t="str">
        <f>IF(MOV_CC_NACIONAL!B260="","",MOV_CC_NACIONAL!B260)</f>
        <v/>
      </c>
      <c r="D260" s="33" t="str">
        <f>IF(MOV_CC_NACIONAL!C260="","",MOV_CC_NACIONAL!C260)</f>
        <v/>
      </c>
      <c r="E260" s="32" t="str">
        <f t="shared" si="1"/>
        <v/>
      </c>
      <c r="F260" s="32" t="str">
        <f>IFERROR(__xludf.DUMMYFUNCTION("IF(C260="""","""", OR(REGEXMATCH(LOWER(C260),""cuota""), REGEXMATCH(C260,""\d+\s*/\s*\d+"")))"),"")</f>
        <v/>
      </c>
      <c r="G260" s="32" t="str">
        <f>IFERROR(__xludf.DUMMYFUNCTION("IFERROR(VALUE(REGEXEXTRACT(C260,""(\d+)\s*/\s*\d+"")),"""")"),"")</f>
        <v/>
      </c>
      <c r="H260" s="32" t="str">
        <f>IFERROR(__xludf.DUMMYFUNCTION("IFERROR(VALUE(REGEXEXTRACT(C260,""\d+\s*/\s*(\d+)"")),"""")"),"")</f>
        <v/>
      </c>
      <c r="I260" s="32" t="str">
        <f t="shared" si="2"/>
        <v/>
      </c>
      <c r="J260" s="33" t="str">
        <f t="shared" si="3"/>
        <v/>
      </c>
    </row>
    <row r="261" ht="15.75" customHeight="1">
      <c r="A261" s="22" t="s">
        <v>113</v>
      </c>
      <c r="B261" s="22" t="str">
        <f>IF(MOV_CC_NACIONAL!A261="","",MOV_CC_NACIONAL!A261)</f>
        <v/>
      </c>
      <c r="C261" s="22" t="str">
        <f>IF(MOV_CC_NACIONAL!B261="","",MOV_CC_NACIONAL!B261)</f>
        <v/>
      </c>
      <c r="D261" s="34" t="str">
        <f>IF(MOV_CC_NACIONAL!C261="","",MOV_CC_NACIONAL!C261)</f>
        <v/>
      </c>
      <c r="E261" s="22" t="str">
        <f t="shared" si="1"/>
        <v/>
      </c>
      <c r="F261" s="22" t="str">
        <f>IFERROR(__xludf.DUMMYFUNCTION("IF(C261="""","""", OR(REGEXMATCH(LOWER(C261),""cuota""), REGEXMATCH(C261,""\d+\s*/\s*\d+"")))"),"")</f>
        <v/>
      </c>
      <c r="G261" s="22" t="str">
        <f>IFERROR(__xludf.DUMMYFUNCTION("IFERROR(VALUE(REGEXEXTRACT(C261,""(\d+)\s*/\s*\d+"")),"""")"),"")</f>
        <v/>
      </c>
      <c r="H261" s="22" t="str">
        <f>IFERROR(__xludf.DUMMYFUNCTION("IFERROR(VALUE(REGEXEXTRACT(C261,""\d+\s*/\s*(\d+)"")),"""")"),"")</f>
        <v/>
      </c>
      <c r="I261" s="22" t="str">
        <f t="shared" si="2"/>
        <v/>
      </c>
      <c r="J261" s="34" t="str">
        <f t="shared" si="3"/>
        <v/>
      </c>
    </row>
    <row r="262" ht="15.75" customHeight="1">
      <c r="A262" s="32" t="s">
        <v>113</v>
      </c>
      <c r="B262" s="32" t="str">
        <f>IF(MOV_CC_NACIONAL!A262="","",MOV_CC_NACIONAL!A262)</f>
        <v/>
      </c>
      <c r="C262" s="32" t="str">
        <f>IF(MOV_CC_NACIONAL!B262="","",MOV_CC_NACIONAL!B262)</f>
        <v/>
      </c>
      <c r="D262" s="33" t="str">
        <f>IF(MOV_CC_NACIONAL!C262="","",MOV_CC_NACIONAL!C262)</f>
        <v/>
      </c>
      <c r="E262" s="32" t="str">
        <f t="shared" si="1"/>
        <v/>
      </c>
      <c r="F262" s="32" t="str">
        <f>IFERROR(__xludf.DUMMYFUNCTION("IF(C262="""","""", OR(REGEXMATCH(LOWER(C262),""cuota""), REGEXMATCH(C262,""\d+\s*/\s*\d+"")))"),"")</f>
        <v/>
      </c>
      <c r="G262" s="32" t="str">
        <f>IFERROR(__xludf.DUMMYFUNCTION("IFERROR(VALUE(REGEXEXTRACT(C262,""(\d+)\s*/\s*\d+"")),"""")"),"")</f>
        <v/>
      </c>
      <c r="H262" s="32" t="str">
        <f>IFERROR(__xludf.DUMMYFUNCTION("IFERROR(VALUE(REGEXEXTRACT(C262,""\d+\s*/\s*(\d+)"")),"""")"),"")</f>
        <v/>
      </c>
      <c r="I262" s="32" t="str">
        <f t="shared" si="2"/>
        <v/>
      </c>
      <c r="J262" s="33" t="str">
        <f t="shared" si="3"/>
        <v/>
      </c>
    </row>
    <row r="263" ht="15.75" customHeight="1">
      <c r="A263" s="22" t="s">
        <v>113</v>
      </c>
      <c r="B263" s="22" t="str">
        <f>IF(MOV_CC_NACIONAL!A263="","",MOV_CC_NACIONAL!A263)</f>
        <v/>
      </c>
      <c r="C263" s="22" t="str">
        <f>IF(MOV_CC_NACIONAL!B263="","",MOV_CC_NACIONAL!B263)</f>
        <v/>
      </c>
      <c r="D263" s="34" t="str">
        <f>IF(MOV_CC_NACIONAL!C263="","",MOV_CC_NACIONAL!C263)</f>
        <v/>
      </c>
      <c r="E263" s="22" t="str">
        <f t="shared" si="1"/>
        <v/>
      </c>
      <c r="F263" s="22" t="str">
        <f>IFERROR(__xludf.DUMMYFUNCTION("IF(C263="""","""", OR(REGEXMATCH(LOWER(C263),""cuota""), REGEXMATCH(C263,""\d+\s*/\s*\d+"")))"),"")</f>
        <v/>
      </c>
      <c r="G263" s="22" t="str">
        <f>IFERROR(__xludf.DUMMYFUNCTION("IFERROR(VALUE(REGEXEXTRACT(C263,""(\d+)\s*/\s*\d+"")),"""")"),"")</f>
        <v/>
      </c>
      <c r="H263" s="22" t="str">
        <f>IFERROR(__xludf.DUMMYFUNCTION("IFERROR(VALUE(REGEXEXTRACT(C263,""\d+\s*/\s*(\d+)"")),"""")"),"")</f>
        <v/>
      </c>
      <c r="I263" s="22" t="str">
        <f t="shared" si="2"/>
        <v/>
      </c>
      <c r="J263" s="34" t="str">
        <f t="shared" si="3"/>
        <v/>
      </c>
    </row>
    <row r="264" ht="15.75" customHeight="1">
      <c r="A264" s="32" t="s">
        <v>113</v>
      </c>
      <c r="B264" s="32" t="str">
        <f>IF(MOV_CC_NACIONAL!A264="","",MOV_CC_NACIONAL!A264)</f>
        <v/>
      </c>
      <c r="C264" s="32" t="str">
        <f>IF(MOV_CC_NACIONAL!B264="","",MOV_CC_NACIONAL!B264)</f>
        <v/>
      </c>
      <c r="D264" s="33" t="str">
        <f>IF(MOV_CC_NACIONAL!C264="","",MOV_CC_NACIONAL!C264)</f>
        <v/>
      </c>
      <c r="E264" s="32" t="str">
        <f t="shared" si="1"/>
        <v/>
      </c>
      <c r="F264" s="32" t="str">
        <f>IFERROR(__xludf.DUMMYFUNCTION("IF(C264="""","""", OR(REGEXMATCH(LOWER(C264),""cuota""), REGEXMATCH(C264,""\d+\s*/\s*\d+"")))"),"")</f>
        <v/>
      </c>
      <c r="G264" s="32" t="str">
        <f>IFERROR(__xludf.DUMMYFUNCTION("IFERROR(VALUE(REGEXEXTRACT(C264,""(\d+)\s*/\s*\d+"")),"""")"),"")</f>
        <v/>
      </c>
      <c r="H264" s="32" t="str">
        <f>IFERROR(__xludf.DUMMYFUNCTION("IFERROR(VALUE(REGEXEXTRACT(C264,""\d+\s*/\s*(\d+)"")),"""")"),"")</f>
        <v/>
      </c>
      <c r="I264" s="32" t="str">
        <f t="shared" si="2"/>
        <v/>
      </c>
      <c r="J264" s="33" t="str">
        <f t="shared" si="3"/>
        <v/>
      </c>
    </row>
    <row r="265" ht="15.75" customHeight="1">
      <c r="A265" s="22" t="s">
        <v>113</v>
      </c>
      <c r="B265" s="22" t="str">
        <f>IF(MOV_CC_NACIONAL!A265="","",MOV_CC_NACIONAL!A265)</f>
        <v/>
      </c>
      <c r="C265" s="22" t="str">
        <f>IF(MOV_CC_NACIONAL!B265="","",MOV_CC_NACIONAL!B265)</f>
        <v/>
      </c>
      <c r="D265" s="34" t="str">
        <f>IF(MOV_CC_NACIONAL!C265="","",MOV_CC_NACIONAL!C265)</f>
        <v/>
      </c>
      <c r="E265" s="22" t="str">
        <f t="shared" si="1"/>
        <v/>
      </c>
      <c r="F265" s="22" t="str">
        <f>IFERROR(__xludf.DUMMYFUNCTION("IF(C265="""","""", OR(REGEXMATCH(LOWER(C265),""cuota""), REGEXMATCH(C265,""\d+\s*/\s*\d+"")))"),"")</f>
        <v/>
      </c>
      <c r="G265" s="22" t="str">
        <f>IFERROR(__xludf.DUMMYFUNCTION("IFERROR(VALUE(REGEXEXTRACT(C265,""(\d+)\s*/\s*\d+"")),"""")"),"")</f>
        <v/>
      </c>
      <c r="H265" s="22" t="str">
        <f>IFERROR(__xludf.DUMMYFUNCTION("IFERROR(VALUE(REGEXEXTRACT(C265,""\d+\s*/\s*(\d+)"")),"""")"),"")</f>
        <v/>
      </c>
      <c r="I265" s="22" t="str">
        <f t="shared" si="2"/>
        <v/>
      </c>
      <c r="J265" s="34" t="str">
        <f t="shared" si="3"/>
        <v/>
      </c>
    </row>
    <row r="266" ht="15.75" customHeight="1">
      <c r="A266" s="32" t="s">
        <v>113</v>
      </c>
      <c r="B266" s="32" t="str">
        <f>IF(MOV_CC_NACIONAL!A266="","",MOV_CC_NACIONAL!A266)</f>
        <v/>
      </c>
      <c r="C266" s="32" t="str">
        <f>IF(MOV_CC_NACIONAL!B266="","",MOV_CC_NACIONAL!B266)</f>
        <v/>
      </c>
      <c r="D266" s="33" t="str">
        <f>IF(MOV_CC_NACIONAL!C266="","",MOV_CC_NACIONAL!C266)</f>
        <v/>
      </c>
      <c r="E266" s="32" t="str">
        <f t="shared" si="1"/>
        <v/>
      </c>
      <c r="F266" s="32" t="str">
        <f>IFERROR(__xludf.DUMMYFUNCTION("IF(C266="""","""", OR(REGEXMATCH(LOWER(C266),""cuota""), REGEXMATCH(C266,""\d+\s*/\s*\d+"")))"),"")</f>
        <v/>
      </c>
      <c r="G266" s="32" t="str">
        <f>IFERROR(__xludf.DUMMYFUNCTION("IFERROR(VALUE(REGEXEXTRACT(C266,""(\d+)\s*/\s*\d+"")),"""")"),"")</f>
        <v/>
      </c>
      <c r="H266" s="32" t="str">
        <f>IFERROR(__xludf.DUMMYFUNCTION("IFERROR(VALUE(REGEXEXTRACT(C266,""\d+\s*/\s*(\d+)"")),"""")"),"")</f>
        <v/>
      </c>
      <c r="I266" s="32" t="str">
        <f t="shared" si="2"/>
        <v/>
      </c>
      <c r="J266" s="33" t="str">
        <f t="shared" si="3"/>
        <v/>
      </c>
    </row>
    <row r="267" ht="15.75" customHeight="1">
      <c r="A267" s="22" t="s">
        <v>113</v>
      </c>
      <c r="B267" s="22" t="str">
        <f>IF(MOV_CC_NACIONAL!A267="","",MOV_CC_NACIONAL!A267)</f>
        <v/>
      </c>
      <c r="C267" s="22" t="str">
        <f>IF(MOV_CC_NACIONAL!B267="","",MOV_CC_NACIONAL!B267)</f>
        <v/>
      </c>
      <c r="D267" s="34" t="str">
        <f>IF(MOV_CC_NACIONAL!C267="","",MOV_CC_NACIONAL!C267)</f>
        <v/>
      </c>
      <c r="E267" s="22" t="str">
        <f t="shared" si="1"/>
        <v/>
      </c>
      <c r="F267" s="22" t="str">
        <f>IFERROR(__xludf.DUMMYFUNCTION("IF(C267="""","""", OR(REGEXMATCH(LOWER(C267),""cuota""), REGEXMATCH(C267,""\d+\s*/\s*\d+"")))"),"")</f>
        <v/>
      </c>
      <c r="G267" s="22" t="str">
        <f>IFERROR(__xludf.DUMMYFUNCTION("IFERROR(VALUE(REGEXEXTRACT(C267,""(\d+)\s*/\s*\d+"")),"""")"),"")</f>
        <v/>
      </c>
      <c r="H267" s="22" t="str">
        <f>IFERROR(__xludf.DUMMYFUNCTION("IFERROR(VALUE(REGEXEXTRACT(C267,""\d+\s*/\s*(\d+)"")),"""")"),"")</f>
        <v/>
      </c>
      <c r="I267" s="22" t="str">
        <f t="shared" si="2"/>
        <v/>
      </c>
      <c r="J267" s="34" t="str">
        <f t="shared" si="3"/>
        <v/>
      </c>
    </row>
    <row r="268" ht="15.75" customHeight="1">
      <c r="A268" s="32" t="s">
        <v>113</v>
      </c>
      <c r="B268" s="32" t="str">
        <f>IF(MOV_CC_NACIONAL!A268="","",MOV_CC_NACIONAL!A268)</f>
        <v/>
      </c>
      <c r="C268" s="32" t="str">
        <f>IF(MOV_CC_NACIONAL!B268="","",MOV_CC_NACIONAL!B268)</f>
        <v/>
      </c>
      <c r="D268" s="33" t="str">
        <f>IF(MOV_CC_NACIONAL!C268="","",MOV_CC_NACIONAL!C268)</f>
        <v/>
      </c>
      <c r="E268" s="32" t="str">
        <f t="shared" si="1"/>
        <v/>
      </c>
      <c r="F268" s="32" t="str">
        <f>IFERROR(__xludf.DUMMYFUNCTION("IF(C268="""","""", OR(REGEXMATCH(LOWER(C268),""cuota""), REGEXMATCH(C268,""\d+\s*/\s*\d+"")))"),"")</f>
        <v/>
      </c>
      <c r="G268" s="32" t="str">
        <f>IFERROR(__xludf.DUMMYFUNCTION("IFERROR(VALUE(REGEXEXTRACT(C268,""(\d+)\s*/\s*\d+"")),"""")"),"")</f>
        <v/>
      </c>
      <c r="H268" s="32" t="str">
        <f>IFERROR(__xludf.DUMMYFUNCTION("IFERROR(VALUE(REGEXEXTRACT(C268,""\d+\s*/\s*(\d+)"")),"""")"),"")</f>
        <v/>
      </c>
      <c r="I268" s="32" t="str">
        <f t="shared" si="2"/>
        <v/>
      </c>
      <c r="J268" s="33" t="str">
        <f t="shared" si="3"/>
        <v/>
      </c>
    </row>
    <row r="269" ht="15.75" customHeight="1">
      <c r="A269" s="22" t="s">
        <v>113</v>
      </c>
      <c r="B269" s="22" t="str">
        <f>IF(MOV_CC_NACIONAL!A269="","",MOV_CC_NACIONAL!A269)</f>
        <v/>
      </c>
      <c r="C269" s="22" t="str">
        <f>IF(MOV_CC_NACIONAL!B269="","",MOV_CC_NACIONAL!B269)</f>
        <v/>
      </c>
      <c r="D269" s="34" t="str">
        <f>IF(MOV_CC_NACIONAL!C269="","",MOV_CC_NACIONAL!C269)</f>
        <v/>
      </c>
      <c r="E269" s="22" t="str">
        <f t="shared" si="1"/>
        <v/>
      </c>
      <c r="F269" s="22" t="str">
        <f>IFERROR(__xludf.DUMMYFUNCTION("IF(C269="""","""", OR(REGEXMATCH(LOWER(C269),""cuota""), REGEXMATCH(C269,""\d+\s*/\s*\d+"")))"),"")</f>
        <v/>
      </c>
      <c r="G269" s="22" t="str">
        <f>IFERROR(__xludf.DUMMYFUNCTION("IFERROR(VALUE(REGEXEXTRACT(C269,""(\d+)\s*/\s*\d+"")),"""")"),"")</f>
        <v/>
      </c>
      <c r="H269" s="22" t="str">
        <f>IFERROR(__xludf.DUMMYFUNCTION("IFERROR(VALUE(REGEXEXTRACT(C269,""\d+\s*/\s*(\d+)"")),"""")"),"")</f>
        <v/>
      </c>
      <c r="I269" s="22" t="str">
        <f t="shared" si="2"/>
        <v/>
      </c>
      <c r="J269" s="34" t="str">
        <f t="shared" si="3"/>
        <v/>
      </c>
    </row>
    <row r="270" ht="15.75" customHeight="1">
      <c r="A270" s="32" t="s">
        <v>113</v>
      </c>
      <c r="B270" s="32" t="str">
        <f>IF(MOV_CC_NACIONAL!A270="","",MOV_CC_NACIONAL!A270)</f>
        <v/>
      </c>
      <c r="C270" s="32" t="str">
        <f>IF(MOV_CC_NACIONAL!B270="","",MOV_CC_NACIONAL!B270)</f>
        <v/>
      </c>
      <c r="D270" s="33" t="str">
        <f>IF(MOV_CC_NACIONAL!C270="","",MOV_CC_NACIONAL!C270)</f>
        <v/>
      </c>
      <c r="E270" s="32" t="str">
        <f t="shared" si="1"/>
        <v/>
      </c>
      <c r="F270" s="32" t="str">
        <f>IFERROR(__xludf.DUMMYFUNCTION("IF(C270="""","""", OR(REGEXMATCH(LOWER(C270),""cuota""), REGEXMATCH(C270,""\d+\s*/\s*\d+"")))"),"")</f>
        <v/>
      </c>
      <c r="G270" s="32" t="str">
        <f>IFERROR(__xludf.DUMMYFUNCTION("IFERROR(VALUE(REGEXEXTRACT(C270,""(\d+)\s*/\s*\d+"")),"""")"),"")</f>
        <v/>
      </c>
      <c r="H270" s="32" t="str">
        <f>IFERROR(__xludf.DUMMYFUNCTION("IFERROR(VALUE(REGEXEXTRACT(C270,""\d+\s*/\s*(\d+)"")),"""")"),"")</f>
        <v/>
      </c>
      <c r="I270" s="32" t="str">
        <f t="shared" si="2"/>
        <v/>
      </c>
      <c r="J270" s="33" t="str">
        <f t="shared" si="3"/>
        <v/>
      </c>
    </row>
    <row r="271" ht="15.75" customHeight="1">
      <c r="A271" s="22" t="s">
        <v>113</v>
      </c>
      <c r="B271" s="22" t="str">
        <f>IF(MOV_CC_NACIONAL!A271="","",MOV_CC_NACIONAL!A271)</f>
        <v/>
      </c>
      <c r="C271" s="22" t="str">
        <f>IF(MOV_CC_NACIONAL!B271="","",MOV_CC_NACIONAL!B271)</f>
        <v/>
      </c>
      <c r="D271" s="34" t="str">
        <f>IF(MOV_CC_NACIONAL!C271="","",MOV_CC_NACIONAL!C271)</f>
        <v/>
      </c>
      <c r="E271" s="22" t="str">
        <f t="shared" si="1"/>
        <v/>
      </c>
      <c r="F271" s="22" t="str">
        <f>IFERROR(__xludf.DUMMYFUNCTION("IF(C271="""","""", OR(REGEXMATCH(LOWER(C271),""cuota""), REGEXMATCH(C271,""\d+\s*/\s*\d+"")))"),"")</f>
        <v/>
      </c>
      <c r="G271" s="22" t="str">
        <f>IFERROR(__xludf.DUMMYFUNCTION("IFERROR(VALUE(REGEXEXTRACT(C271,""(\d+)\s*/\s*\d+"")),"""")"),"")</f>
        <v/>
      </c>
      <c r="H271" s="22" t="str">
        <f>IFERROR(__xludf.DUMMYFUNCTION("IFERROR(VALUE(REGEXEXTRACT(C271,""\d+\s*/\s*(\d+)"")),"""")"),"")</f>
        <v/>
      </c>
      <c r="I271" s="22" t="str">
        <f t="shared" si="2"/>
        <v/>
      </c>
      <c r="J271" s="34" t="str">
        <f t="shared" si="3"/>
        <v/>
      </c>
    </row>
    <row r="272" ht="15.75" customHeight="1">
      <c r="A272" s="32" t="s">
        <v>113</v>
      </c>
      <c r="B272" s="32" t="str">
        <f>IF(MOV_CC_NACIONAL!A272="","",MOV_CC_NACIONAL!A272)</f>
        <v/>
      </c>
      <c r="C272" s="32" t="str">
        <f>IF(MOV_CC_NACIONAL!B272="","",MOV_CC_NACIONAL!B272)</f>
        <v/>
      </c>
      <c r="D272" s="33" t="str">
        <f>IF(MOV_CC_NACIONAL!C272="","",MOV_CC_NACIONAL!C272)</f>
        <v/>
      </c>
      <c r="E272" s="32" t="str">
        <f t="shared" si="1"/>
        <v/>
      </c>
      <c r="F272" s="32" t="str">
        <f>IFERROR(__xludf.DUMMYFUNCTION("IF(C272="""","""", OR(REGEXMATCH(LOWER(C272),""cuota""), REGEXMATCH(C272,""\d+\s*/\s*\d+"")))"),"")</f>
        <v/>
      </c>
      <c r="G272" s="32" t="str">
        <f>IFERROR(__xludf.DUMMYFUNCTION("IFERROR(VALUE(REGEXEXTRACT(C272,""(\d+)\s*/\s*\d+"")),"""")"),"")</f>
        <v/>
      </c>
      <c r="H272" s="32" t="str">
        <f>IFERROR(__xludf.DUMMYFUNCTION("IFERROR(VALUE(REGEXEXTRACT(C272,""\d+\s*/\s*(\d+)"")),"""")"),"")</f>
        <v/>
      </c>
      <c r="I272" s="32" t="str">
        <f t="shared" si="2"/>
        <v/>
      </c>
      <c r="J272" s="33" t="str">
        <f t="shared" si="3"/>
        <v/>
      </c>
    </row>
    <row r="273" ht="15.75" customHeight="1">
      <c r="A273" s="22" t="s">
        <v>113</v>
      </c>
      <c r="B273" s="22" t="str">
        <f>IF(MOV_CC_NACIONAL!A273="","",MOV_CC_NACIONAL!A273)</f>
        <v/>
      </c>
      <c r="C273" s="22" t="str">
        <f>IF(MOV_CC_NACIONAL!B273="","",MOV_CC_NACIONAL!B273)</f>
        <v/>
      </c>
      <c r="D273" s="34" t="str">
        <f>IF(MOV_CC_NACIONAL!C273="","",MOV_CC_NACIONAL!C273)</f>
        <v/>
      </c>
      <c r="E273" s="22" t="str">
        <f t="shared" si="1"/>
        <v/>
      </c>
      <c r="F273" s="22" t="str">
        <f>IFERROR(__xludf.DUMMYFUNCTION("IF(C273="""","""", OR(REGEXMATCH(LOWER(C273),""cuota""), REGEXMATCH(C273,""\d+\s*/\s*\d+"")))"),"")</f>
        <v/>
      </c>
      <c r="G273" s="22" t="str">
        <f>IFERROR(__xludf.DUMMYFUNCTION("IFERROR(VALUE(REGEXEXTRACT(C273,""(\d+)\s*/\s*\d+"")),"""")"),"")</f>
        <v/>
      </c>
      <c r="H273" s="22" t="str">
        <f>IFERROR(__xludf.DUMMYFUNCTION("IFERROR(VALUE(REGEXEXTRACT(C273,""\d+\s*/\s*(\d+)"")),"""")"),"")</f>
        <v/>
      </c>
      <c r="I273" s="22" t="str">
        <f t="shared" si="2"/>
        <v/>
      </c>
      <c r="J273" s="34" t="str">
        <f t="shared" si="3"/>
        <v/>
      </c>
    </row>
    <row r="274" ht="15.75" customHeight="1">
      <c r="A274" s="32" t="s">
        <v>113</v>
      </c>
      <c r="B274" s="32" t="str">
        <f>IF(MOV_CC_NACIONAL!A274="","",MOV_CC_NACIONAL!A274)</f>
        <v/>
      </c>
      <c r="C274" s="32" t="str">
        <f>IF(MOV_CC_NACIONAL!B274="","",MOV_CC_NACIONAL!B274)</f>
        <v/>
      </c>
      <c r="D274" s="33" t="str">
        <f>IF(MOV_CC_NACIONAL!C274="","",MOV_CC_NACIONAL!C274)</f>
        <v/>
      </c>
      <c r="E274" s="32" t="str">
        <f t="shared" si="1"/>
        <v/>
      </c>
      <c r="F274" s="32" t="str">
        <f>IFERROR(__xludf.DUMMYFUNCTION("IF(C274="""","""", OR(REGEXMATCH(LOWER(C274),""cuota""), REGEXMATCH(C274,""\d+\s*/\s*\d+"")))"),"")</f>
        <v/>
      </c>
      <c r="G274" s="32" t="str">
        <f>IFERROR(__xludf.DUMMYFUNCTION("IFERROR(VALUE(REGEXEXTRACT(C274,""(\d+)\s*/\s*\d+"")),"""")"),"")</f>
        <v/>
      </c>
      <c r="H274" s="32" t="str">
        <f>IFERROR(__xludf.DUMMYFUNCTION("IFERROR(VALUE(REGEXEXTRACT(C274,""\d+\s*/\s*(\d+)"")),"""")"),"")</f>
        <v/>
      </c>
      <c r="I274" s="32" t="str">
        <f t="shared" si="2"/>
        <v/>
      </c>
      <c r="J274" s="33" t="str">
        <f t="shared" si="3"/>
        <v/>
      </c>
    </row>
    <row r="275" ht="15.75" customHeight="1">
      <c r="A275" s="22" t="s">
        <v>113</v>
      </c>
      <c r="B275" s="22" t="str">
        <f>IF(MOV_CC_NACIONAL!A275="","",MOV_CC_NACIONAL!A275)</f>
        <v/>
      </c>
      <c r="C275" s="22" t="str">
        <f>IF(MOV_CC_NACIONAL!B275="","",MOV_CC_NACIONAL!B275)</f>
        <v/>
      </c>
      <c r="D275" s="34" t="str">
        <f>IF(MOV_CC_NACIONAL!C275="","",MOV_CC_NACIONAL!C275)</f>
        <v/>
      </c>
      <c r="E275" s="22" t="str">
        <f t="shared" si="1"/>
        <v/>
      </c>
      <c r="F275" s="22" t="str">
        <f>IFERROR(__xludf.DUMMYFUNCTION("IF(C275="""","""", OR(REGEXMATCH(LOWER(C275),""cuota""), REGEXMATCH(C275,""\d+\s*/\s*\d+"")))"),"")</f>
        <v/>
      </c>
      <c r="G275" s="22" t="str">
        <f>IFERROR(__xludf.DUMMYFUNCTION("IFERROR(VALUE(REGEXEXTRACT(C275,""(\d+)\s*/\s*\d+"")),"""")"),"")</f>
        <v/>
      </c>
      <c r="H275" s="22" t="str">
        <f>IFERROR(__xludf.DUMMYFUNCTION("IFERROR(VALUE(REGEXEXTRACT(C275,""\d+\s*/\s*(\d+)"")),"""")"),"")</f>
        <v/>
      </c>
      <c r="I275" s="22" t="str">
        <f t="shared" si="2"/>
        <v/>
      </c>
      <c r="J275" s="34" t="str">
        <f t="shared" si="3"/>
        <v/>
      </c>
    </row>
    <row r="276" ht="15.75" customHeight="1">
      <c r="A276" s="32" t="s">
        <v>113</v>
      </c>
      <c r="B276" s="32" t="str">
        <f>IF(MOV_CC_NACIONAL!A276="","",MOV_CC_NACIONAL!A276)</f>
        <v/>
      </c>
      <c r="C276" s="32" t="str">
        <f>IF(MOV_CC_NACIONAL!B276="","",MOV_CC_NACIONAL!B276)</f>
        <v/>
      </c>
      <c r="D276" s="33" t="str">
        <f>IF(MOV_CC_NACIONAL!C276="","",MOV_CC_NACIONAL!C276)</f>
        <v/>
      </c>
      <c r="E276" s="32" t="str">
        <f t="shared" si="1"/>
        <v/>
      </c>
      <c r="F276" s="32" t="str">
        <f>IFERROR(__xludf.DUMMYFUNCTION("IF(C276="""","""", OR(REGEXMATCH(LOWER(C276),""cuota""), REGEXMATCH(C276,""\d+\s*/\s*\d+"")))"),"")</f>
        <v/>
      </c>
      <c r="G276" s="32" t="str">
        <f>IFERROR(__xludf.DUMMYFUNCTION("IFERROR(VALUE(REGEXEXTRACT(C276,""(\d+)\s*/\s*\d+"")),"""")"),"")</f>
        <v/>
      </c>
      <c r="H276" s="32" t="str">
        <f>IFERROR(__xludf.DUMMYFUNCTION("IFERROR(VALUE(REGEXEXTRACT(C276,""\d+\s*/\s*(\d+)"")),"""")"),"")</f>
        <v/>
      </c>
      <c r="I276" s="32" t="str">
        <f t="shared" si="2"/>
        <v/>
      </c>
      <c r="J276" s="33" t="str">
        <f t="shared" si="3"/>
        <v/>
      </c>
    </row>
    <row r="277" ht="15.75" customHeight="1">
      <c r="A277" s="22" t="s">
        <v>113</v>
      </c>
      <c r="B277" s="22" t="str">
        <f>IF(MOV_CC_NACIONAL!A277="","",MOV_CC_NACIONAL!A277)</f>
        <v/>
      </c>
      <c r="C277" s="22" t="str">
        <f>IF(MOV_CC_NACIONAL!B277="","",MOV_CC_NACIONAL!B277)</f>
        <v/>
      </c>
      <c r="D277" s="34" t="str">
        <f>IF(MOV_CC_NACIONAL!C277="","",MOV_CC_NACIONAL!C277)</f>
        <v/>
      </c>
      <c r="E277" s="22" t="str">
        <f t="shared" si="1"/>
        <v/>
      </c>
      <c r="F277" s="22" t="str">
        <f>IFERROR(__xludf.DUMMYFUNCTION("IF(C277="""","""", OR(REGEXMATCH(LOWER(C277),""cuota""), REGEXMATCH(C277,""\d+\s*/\s*\d+"")))"),"")</f>
        <v/>
      </c>
      <c r="G277" s="22" t="str">
        <f>IFERROR(__xludf.DUMMYFUNCTION("IFERROR(VALUE(REGEXEXTRACT(C277,""(\d+)\s*/\s*\d+"")),"""")"),"")</f>
        <v/>
      </c>
      <c r="H277" s="22" t="str">
        <f>IFERROR(__xludf.DUMMYFUNCTION("IFERROR(VALUE(REGEXEXTRACT(C277,""\d+\s*/\s*(\d+)"")),"""")"),"")</f>
        <v/>
      </c>
      <c r="I277" s="22" t="str">
        <f t="shared" si="2"/>
        <v/>
      </c>
      <c r="J277" s="34" t="str">
        <f t="shared" si="3"/>
        <v/>
      </c>
    </row>
    <row r="278" ht="15.75" customHeight="1">
      <c r="A278" s="32" t="s">
        <v>113</v>
      </c>
      <c r="B278" s="32" t="str">
        <f>IF(MOV_CC_NACIONAL!A278="","",MOV_CC_NACIONAL!A278)</f>
        <v/>
      </c>
      <c r="C278" s="32" t="str">
        <f>IF(MOV_CC_NACIONAL!B278="","",MOV_CC_NACIONAL!B278)</f>
        <v/>
      </c>
      <c r="D278" s="33" t="str">
        <f>IF(MOV_CC_NACIONAL!C278="","",MOV_CC_NACIONAL!C278)</f>
        <v/>
      </c>
      <c r="E278" s="32" t="str">
        <f t="shared" si="1"/>
        <v/>
      </c>
      <c r="F278" s="32" t="str">
        <f>IFERROR(__xludf.DUMMYFUNCTION("IF(C278="""","""", OR(REGEXMATCH(LOWER(C278),""cuota""), REGEXMATCH(C278,""\d+\s*/\s*\d+"")))"),"")</f>
        <v/>
      </c>
      <c r="G278" s="32" t="str">
        <f>IFERROR(__xludf.DUMMYFUNCTION("IFERROR(VALUE(REGEXEXTRACT(C278,""(\d+)\s*/\s*\d+"")),"""")"),"")</f>
        <v/>
      </c>
      <c r="H278" s="32" t="str">
        <f>IFERROR(__xludf.DUMMYFUNCTION("IFERROR(VALUE(REGEXEXTRACT(C278,""\d+\s*/\s*(\d+)"")),"""")"),"")</f>
        <v/>
      </c>
      <c r="I278" s="32" t="str">
        <f t="shared" si="2"/>
        <v/>
      </c>
      <c r="J278" s="33" t="str">
        <f t="shared" si="3"/>
        <v/>
      </c>
    </row>
    <row r="279" ht="15.75" customHeight="1">
      <c r="A279" s="22" t="s">
        <v>113</v>
      </c>
      <c r="B279" s="22" t="str">
        <f>IF(MOV_CC_NACIONAL!A279="","",MOV_CC_NACIONAL!A279)</f>
        <v/>
      </c>
      <c r="C279" s="22" t="str">
        <f>IF(MOV_CC_NACIONAL!B279="","",MOV_CC_NACIONAL!B279)</f>
        <v/>
      </c>
      <c r="D279" s="34" t="str">
        <f>IF(MOV_CC_NACIONAL!C279="","",MOV_CC_NACIONAL!C279)</f>
        <v/>
      </c>
      <c r="E279" s="22" t="str">
        <f t="shared" si="1"/>
        <v/>
      </c>
      <c r="F279" s="22" t="str">
        <f>IFERROR(__xludf.DUMMYFUNCTION("IF(C279="""","""", OR(REGEXMATCH(LOWER(C279),""cuota""), REGEXMATCH(C279,""\d+\s*/\s*\d+"")))"),"")</f>
        <v/>
      </c>
      <c r="G279" s="22" t="str">
        <f>IFERROR(__xludf.DUMMYFUNCTION("IFERROR(VALUE(REGEXEXTRACT(C279,""(\d+)\s*/\s*\d+"")),"""")"),"")</f>
        <v/>
      </c>
      <c r="H279" s="22" t="str">
        <f>IFERROR(__xludf.DUMMYFUNCTION("IFERROR(VALUE(REGEXEXTRACT(C279,""\d+\s*/\s*(\d+)"")),"""")"),"")</f>
        <v/>
      </c>
      <c r="I279" s="22" t="str">
        <f t="shared" si="2"/>
        <v/>
      </c>
      <c r="J279" s="34" t="str">
        <f t="shared" si="3"/>
        <v/>
      </c>
    </row>
    <row r="280" ht="15.75" customHeight="1">
      <c r="A280" s="32" t="s">
        <v>113</v>
      </c>
      <c r="B280" s="32" t="str">
        <f>IF(MOV_CC_NACIONAL!A280="","",MOV_CC_NACIONAL!A280)</f>
        <v/>
      </c>
      <c r="C280" s="32" t="str">
        <f>IF(MOV_CC_NACIONAL!B280="","",MOV_CC_NACIONAL!B280)</f>
        <v/>
      </c>
      <c r="D280" s="33" t="str">
        <f>IF(MOV_CC_NACIONAL!C280="","",MOV_CC_NACIONAL!C280)</f>
        <v/>
      </c>
      <c r="E280" s="32" t="str">
        <f t="shared" si="1"/>
        <v/>
      </c>
      <c r="F280" s="32" t="str">
        <f>IFERROR(__xludf.DUMMYFUNCTION("IF(C280="""","""", OR(REGEXMATCH(LOWER(C280),""cuota""), REGEXMATCH(C280,""\d+\s*/\s*\d+"")))"),"")</f>
        <v/>
      </c>
      <c r="G280" s="32" t="str">
        <f>IFERROR(__xludf.DUMMYFUNCTION("IFERROR(VALUE(REGEXEXTRACT(C280,""(\d+)\s*/\s*\d+"")),"""")"),"")</f>
        <v/>
      </c>
      <c r="H280" s="32" t="str">
        <f>IFERROR(__xludf.DUMMYFUNCTION("IFERROR(VALUE(REGEXEXTRACT(C280,""\d+\s*/\s*(\d+)"")),"""")"),"")</f>
        <v/>
      </c>
      <c r="I280" s="32" t="str">
        <f t="shared" si="2"/>
        <v/>
      </c>
      <c r="J280" s="33" t="str">
        <f t="shared" si="3"/>
        <v/>
      </c>
    </row>
    <row r="281" ht="15.75" customHeight="1">
      <c r="A281" s="22" t="s">
        <v>113</v>
      </c>
      <c r="B281" s="22" t="str">
        <f>IF(MOV_CC_NACIONAL!A281="","",MOV_CC_NACIONAL!A281)</f>
        <v/>
      </c>
      <c r="C281" s="22" t="str">
        <f>IF(MOV_CC_NACIONAL!B281="","",MOV_CC_NACIONAL!B281)</f>
        <v/>
      </c>
      <c r="D281" s="34" t="str">
        <f>IF(MOV_CC_NACIONAL!C281="","",MOV_CC_NACIONAL!C281)</f>
        <v/>
      </c>
      <c r="E281" s="22" t="str">
        <f t="shared" si="1"/>
        <v/>
      </c>
      <c r="F281" s="22" t="str">
        <f>IFERROR(__xludf.DUMMYFUNCTION("IF(C281="""","""", OR(REGEXMATCH(LOWER(C281),""cuota""), REGEXMATCH(C281,""\d+\s*/\s*\d+"")))"),"")</f>
        <v/>
      </c>
      <c r="G281" s="22" t="str">
        <f>IFERROR(__xludf.DUMMYFUNCTION("IFERROR(VALUE(REGEXEXTRACT(C281,""(\d+)\s*/\s*\d+"")),"""")"),"")</f>
        <v/>
      </c>
      <c r="H281" s="22" t="str">
        <f>IFERROR(__xludf.DUMMYFUNCTION("IFERROR(VALUE(REGEXEXTRACT(C281,""\d+\s*/\s*(\d+)"")),"""")"),"")</f>
        <v/>
      </c>
      <c r="I281" s="22" t="str">
        <f t="shared" si="2"/>
        <v/>
      </c>
      <c r="J281" s="34" t="str">
        <f t="shared" si="3"/>
        <v/>
      </c>
    </row>
    <row r="282" ht="15.75" customHeight="1">
      <c r="A282" s="32" t="s">
        <v>113</v>
      </c>
      <c r="B282" s="32" t="str">
        <f>IF(MOV_CC_NACIONAL!A282="","",MOV_CC_NACIONAL!A282)</f>
        <v/>
      </c>
      <c r="C282" s="32" t="str">
        <f>IF(MOV_CC_NACIONAL!B282="","",MOV_CC_NACIONAL!B282)</f>
        <v/>
      </c>
      <c r="D282" s="33" t="str">
        <f>IF(MOV_CC_NACIONAL!C282="","",MOV_CC_NACIONAL!C282)</f>
        <v/>
      </c>
      <c r="E282" s="32" t="str">
        <f t="shared" si="1"/>
        <v/>
      </c>
      <c r="F282" s="32" t="str">
        <f>IFERROR(__xludf.DUMMYFUNCTION("IF(C282="""","""", OR(REGEXMATCH(LOWER(C282),""cuota""), REGEXMATCH(C282,""\d+\s*/\s*\d+"")))"),"")</f>
        <v/>
      </c>
      <c r="G282" s="32" t="str">
        <f>IFERROR(__xludf.DUMMYFUNCTION("IFERROR(VALUE(REGEXEXTRACT(C282,""(\d+)\s*/\s*\d+"")),"""")"),"")</f>
        <v/>
      </c>
      <c r="H282" s="32" t="str">
        <f>IFERROR(__xludf.DUMMYFUNCTION("IFERROR(VALUE(REGEXEXTRACT(C282,""\d+\s*/\s*(\d+)"")),"""")"),"")</f>
        <v/>
      </c>
      <c r="I282" s="32" t="str">
        <f t="shared" si="2"/>
        <v/>
      </c>
      <c r="J282" s="33" t="str">
        <f t="shared" si="3"/>
        <v/>
      </c>
    </row>
    <row r="283" ht="15.75" customHeight="1">
      <c r="A283" s="22" t="s">
        <v>113</v>
      </c>
      <c r="B283" s="22" t="str">
        <f>IF(MOV_CC_NACIONAL!A283="","",MOV_CC_NACIONAL!A283)</f>
        <v/>
      </c>
      <c r="C283" s="22" t="str">
        <f>IF(MOV_CC_NACIONAL!B283="","",MOV_CC_NACIONAL!B283)</f>
        <v/>
      </c>
      <c r="D283" s="34" t="str">
        <f>IF(MOV_CC_NACIONAL!C283="","",MOV_CC_NACIONAL!C283)</f>
        <v/>
      </c>
      <c r="E283" s="22" t="str">
        <f t="shared" si="1"/>
        <v/>
      </c>
      <c r="F283" s="22" t="str">
        <f>IFERROR(__xludf.DUMMYFUNCTION("IF(C283="""","""", OR(REGEXMATCH(LOWER(C283),""cuota""), REGEXMATCH(C283,""\d+\s*/\s*\d+"")))"),"")</f>
        <v/>
      </c>
      <c r="G283" s="22" t="str">
        <f>IFERROR(__xludf.DUMMYFUNCTION("IFERROR(VALUE(REGEXEXTRACT(C283,""(\d+)\s*/\s*\d+"")),"""")"),"")</f>
        <v/>
      </c>
      <c r="H283" s="22" t="str">
        <f>IFERROR(__xludf.DUMMYFUNCTION("IFERROR(VALUE(REGEXEXTRACT(C283,""\d+\s*/\s*(\d+)"")),"""")"),"")</f>
        <v/>
      </c>
      <c r="I283" s="22" t="str">
        <f t="shared" si="2"/>
        <v/>
      </c>
      <c r="J283" s="34" t="str">
        <f t="shared" si="3"/>
        <v/>
      </c>
    </row>
    <row r="284" ht="15.75" customHeight="1">
      <c r="A284" s="32" t="s">
        <v>113</v>
      </c>
      <c r="B284" s="32" t="str">
        <f>IF(MOV_CC_NACIONAL!A284="","",MOV_CC_NACIONAL!A284)</f>
        <v/>
      </c>
      <c r="C284" s="32" t="str">
        <f>IF(MOV_CC_NACIONAL!B284="","",MOV_CC_NACIONAL!B284)</f>
        <v/>
      </c>
      <c r="D284" s="33" t="str">
        <f>IF(MOV_CC_NACIONAL!C284="","",MOV_CC_NACIONAL!C284)</f>
        <v/>
      </c>
      <c r="E284" s="32" t="str">
        <f t="shared" si="1"/>
        <v/>
      </c>
      <c r="F284" s="32" t="str">
        <f>IFERROR(__xludf.DUMMYFUNCTION("IF(C284="""","""", OR(REGEXMATCH(LOWER(C284),""cuota""), REGEXMATCH(C284,""\d+\s*/\s*\d+"")))"),"")</f>
        <v/>
      </c>
      <c r="G284" s="32" t="str">
        <f>IFERROR(__xludf.DUMMYFUNCTION("IFERROR(VALUE(REGEXEXTRACT(C284,""(\d+)\s*/\s*\d+"")),"""")"),"")</f>
        <v/>
      </c>
      <c r="H284" s="32" t="str">
        <f>IFERROR(__xludf.DUMMYFUNCTION("IFERROR(VALUE(REGEXEXTRACT(C284,""\d+\s*/\s*(\d+)"")),"""")"),"")</f>
        <v/>
      </c>
      <c r="I284" s="32" t="str">
        <f t="shared" si="2"/>
        <v/>
      </c>
      <c r="J284" s="33" t="str">
        <f t="shared" si="3"/>
        <v/>
      </c>
    </row>
    <row r="285" ht="15.75" customHeight="1">
      <c r="A285" s="22" t="s">
        <v>113</v>
      </c>
      <c r="B285" s="22" t="str">
        <f>IF(MOV_CC_NACIONAL!A285="","",MOV_CC_NACIONAL!A285)</f>
        <v/>
      </c>
      <c r="C285" s="22" t="str">
        <f>IF(MOV_CC_NACIONAL!B285="","",MOV_CC_NACIONAL!B285)</f>
        <v/>
      </c>
      <c r="D285" s="34" t="str">
        <f>IF(MOV_CC_NACIONAL!C285="","",MOV_CC_NACIONAL!C285)</f>
        <v/>
      </c>
      <c r="E285" s="22" t="str">
        <f t="shared" si="1"/>
        <v/>
      </c>
      <c r="F285" s="22" t="str">
        <f>IFERROR(__xludf.DUMMYFUNCTION("IF(C285="""","""", OR(REGEXMATCH(LOWER(C285),""cuota""), REGEXMATCH(C285,""\d+\s*/\s*\d+"")))"),"")</f>
        <v/>
      </c>
      <c r="G285" s="22" t="str">
        <f>IFERROR(__xludf.DUMMYFUNCTION("IFERROR(VALUE(REGEXEXTRACT(C285,""(\d+)\s*/\s*\d+"")),"""")"),"")</f>
        <v/>
      </c>
      <c r="H285" s="22" t="str">
        <f>IFERROR(__xludf.DUMMYFUNCTION("IFERROR(VALUE(REGEXEXTRACT(C285,""\d+\s*/\s*(\d+)"")),"""")"),"")</f>
        <v/>
      </c>
      <c r="I285" s="22" t="str">
        <f t="shared" si="2"/>
        <v/>
      </c>
      <c r="J285" s="34" t="str">
        <f t="shared" si="3"/>
        <v/>
      </c>
    </row>
    <row r="286" ht="15.75" customHeight="1">
      <c r="A286" s="32" t="s">
        <v>113</v>
      </c>
      <c r="B286" s="32" t="str">
        <f>IF(MOV_CC_NACIONAL!A286="","",MOV_CC_NACIONAL!A286)</f>
        <v/>
      </c>
      <c r="C286" s="32" t="str">
        <f>IF(MOV_CC_NACIONAL!B286="","",MOV_CC_NACIONAL!B286)</f>
        <v/>
      </c>
      <c r="D286" s="33" t="str">
        <f>IF(MOV_CC_NACIONAL!C286="","",MOV_CC_NACIONAL!C286)</f>
        <v/>
      </c>
      <c r="E286" s="32" t="str">
        <f t="shared" si="1"/>
        <v/>
      </c>
      <c r="F286" s="32" t="str">
        <f>IFERROR(__xludf.DUMMYFUNCTION("IF(C286="""","""", OR(REGEXMATCH(LOWER(C286),""cuota""), REGEXMATCH(C286,""\d+\s*/\s*\d+"")))"),"")</f>
        <v/>
      </c>
      <c r="G286" s="32" t="str">
        <f>IFERROR(__xludf.DUMMYFUNCTION("IFERROR(VALUE(REGEXEXTRACT(C286,""(\d+)\s*/\s*\d+"")),"""")"),"")</f>
        <v/>
      </c>
      <c r="H286" s="32" t="str">
        <f>IFERROR(__xludf.DUMMYFUNCTION("IFERROR(VALUE(REGEXEXTRACT(C286,""\d+\s*/\s*(\d+)"")),"""")"),"")</f>
        <v/>
      </c>
      <c r="I286" s="32" t="str">
        <f t="shared" si="2"/>
        <v/>
      </c>
      <c r="J286" s="33" t="str">
        <f t="shared" si="3"/>
        <v/>
      </c>
    </row>
    <row r="287" ht="15.75" customHeight="1">
      <c r="A287" s="22" t="s">
        <v>113</v>
      </c>
      <c r="B287" s="22" t="str">
        <f>IF(MOV_CC_NACIONAL!A287="","",MOV_CC_NACIONAL!A287)</f>
        <v/>
      </c>
      <c r="C287" s="22" t="str">
        <f>IF(MOV_CC_NACIONAL!B287="","",MOV_CC_NACIONAL!B287)</f>
        <v/>
      </c>
      <c r="D287" s="34" t="str">
        <f>IF(MOV_CC_NACIONAL!C287="","",MOV_CC_NACIONAL!C287)</f>
        <v/>
      </c>
      <c r="E287" s="22" t="str">
        <f t="shared" si="1"/>
        <v/>
      </c>
      <c r="F287" s="22" t="str">
        <f>IFERROR(__xludf.DUMMYFUNCTION("IF(C287="""","""", OR(REGEXMATCH(LOWER(C287),""cuota""), REGEXMATCH(C287,""\d+\s*/\s*\d+"")))"),"")</f>
        <v/>
      </c>
      <c r="G287" s="22" t="str">
        <f>IFERROR(__xludf.DUMMYFUNCTION("IFERROR(VALUE(REGEXEXTRACT(C287,""(\d+)\s*/\s*\d+"")),"""")"),"")</f>
        <v/>
      </c>
      <c r="H287" s="22" t="str">
        <f>IFERROR(__xludf.DUMMYFUNCTION("IFERROR(VALUE(REGEXEXTRACT(C287,""\d+\s*/\s*(\d+)"")),"""")"),"")</f>
        <v/>
      </c>
      <c r="I287" s="22" t="str">
        <f t="shared" si="2"/>
        <v/>
      </c>
      <c r="J287" s="34" t="str">
        <f t="shared" si="3"/>
        <v/>
      </c>
    </row>
    <row r="288" ht="15.75" customHeight="1">
      <c r="A288" s="32" t="s">
        <v>113</v>
      </c>
      <c r="B288" s="32" t="str">
        <f>IF(MOV_CC_NACIONAL!A288="","",MOV_CC_NACIONAL!A288)</f>
        <v/>
      </c>
      <c r="C288" s="32" t="str">
        <f>IF(MOV_CC_NACIONAL!B288="","",MOV_CC_NACIONAL!B288)</f>
        <v/>
      </c>
      <c r="D288" s="33" t="str">
        <f>IF(MOV_CC_NACIONAL!C288="","",MOV_CC_NACIONAL!C288)</f>
        <v/>
      </c>
      <c r="E288" s="32" t="str">
        <f t="shared" si="1"/>
        <v/>
      </c>
      <c r="F288" s="32" t="str">
        <f>IFERROR(__xludf.DUMMYFUNCTION("IF(C288="""","""", OR(REGEXMATCH(LOWER(C288),""cuota""), REGEXMATCH(C288,""\d+\s*/\s*\d+"")))"),"")</f>
        <v/>
      </c>
      <c r="G288" s="32" t="str">
        <f>IFERROR(__xludf.DUMMYFUNCTION("IFERROR(VALUE(REGEXEXTRACT(C288,""(\d+)\s*/\s*\d+"")),"""")"),"")</f>
        <v/>
      </c>
      <c r="H288" s="32" t="str">
        <f>IFERROR(__xludf.DUMMYFUNCTION("IFERROR(VALUE(REGEXEXTRACT(C288,""\d+\s*/\s*(\d+)"")),"""")"),"")</f>
        <v/>
      </c>
      <c r="I288" s="32" t="str">
        <f t="shared" si="2"/>
        <v/>
      </c>
      <c r="J288" s="33" t="str">
        <f t="shared" si="3"/>
        <v/>
      </c>
    </row>
    <row r="289" ht="15.75" customHeight="1">
      <c r="A289" s="22" t="s">
        <v>113</v>
      </c>
      <c r="B289" s="22" t="str">
        <f>IF(MOV_CC_NACIONAL!A289="","",MOV_CC_NACIONAL!A289)</f>
        <v/>
      </c>
      <c r="C289" s="22" t="str">
        <f>IF(MOV_CC_NACIONAL!B289="","",MOV_CC_NACIONAL!B289)</f>
        <v/>
      </c>
      <c r="D289" s="34" t="str">
        <f>IF(MOV_CC_NACIONAL!C289="","",MOV_CC_NACIONAL!C289)</f>
        <v/>
      </c>
      <c r="E289" s="22" t="str">
        <f t="shared" si="1"/>
        <v/>
      </c>
      <c r="F289" s="22" t="str">
        <f>IFERROR(__xludf.DUMMYFUNCTION("IF(C289="""","""", OR(REGEXMATCH(LOWER(C289),""cuota""), REGEXMATCH(C289,""\d+\s*/\s*\d+"")))"),"")</f>
        <v/>
      </c>
      <c r="G289" s="22" t="str">
        <f>IFERROR(__xludf.DUMMYFUNCTION("IFERROR(VALUE(REGEXEXTRACT(C289,""(\d+)\s*/\s*\d+"")),"""")"),"")</f>
        <v/>
      </c>
      <c r="H289" s="22" t="str">
        <f>IFERROR(__xludf.DUMMYFUNCTION("IFERROR(VALUE(REGEXEXTRACT(C289,""\d+\s*/\s*(\d+)"")),"""")"),"")</f>
        <v/>
      </c>
      <c r="I289" s="22" t="str">
        <f t="shared" si="2"/>
        <v/>
      </c>
      <c r="J289" s="34" t="str">
        <f t="shared" si="3"/>
        <v/>
      </c>
    </row>
    <row r="290" ht="15.75" customHeight="1">
      <c r="A290" s="32" t="s">
        <v>113</v>
      </c>
      <c r="B290" s="32" t="str">
        <f>IF(MOV_CC_NACIONAL!A290="","",MOV_CC_NACIONAL!A290)</f>
        <v/>
      </c>
      <c r="C290" s="32" t="str">
        <f>IF(MOV_CC_NACIONAL!B290="","",MOV_CC_NACIONAL!B290)</f>
        <v/>
      </c>
      <c r="D290" s="33" t="str">
        <f>IF(MOV_CC_NACIONAL!C290="","",MOV_CC_NACIONAL!C290)</f>
        <v/>
      </c>
      <c r="E290" s="32" t="str">
        <f t="shared" si="1"/>
        <v/>
      </c>
      <c r="F290" s="32" t="str">
        <f>IFERROR(__xludf.DUMMYFUNCTION("IF(C290="""","""", OR(REGEXMATCH(LOWER(C290),""cuota""), REGEXMATCH(C290,""\d+\s*/\s*\d+"")))"),"")</f>
        <v/>
      </c>
      <c r="G290" s="32" t="str">
        <f>IFERROR(__xludf.DUMMYFUNCTION("IFERROR(VALUE(REGEXEXTRACT(C290,""(\d+)\s*/\s*\d+"")),"""")"),"")</f>
        <v/>
      </c>
      <c r="H290" s="32" t="str">
        <f>IFERROR(__xludf.DUMMYFUNCTION("IFERROR(VALUE(REGEXEXTRACT(C290,""\d+\s*/\s*(\d+)"")),"""")"),"")</f>
        <v/>
      </c>
      <c r="I290" s="32" t="str">
        <f t="shared" si="2"/>
        <v/>
      </c>
      <c r="J290" s="33" t="str">
        <f t="shared" si="3"/>
        <v/>
      </c>
    </row>
    <row r="291" ht="15.75" customHeight="1">
      <c r="A291" s="22" t="s">
        <v>113</v>
      </c>
      <c r="B291" s="22" t="str">
        <f>IF(MOV_CC_NACIONAL!A291="","",MOV_CC_NACIONAL!A291)</f>
        <v/>
      </c>
      <c r="C291" s="22" t="str">
        <f>IF(MOV_CC_NACIONAL!B291="","",MOV_CC_NACIONAL!B291)</f>
        <v/>
      </c>
      <c r="D291" s="34" t="str">
        <f>IF(MOV_CC_NACIONAL!C291="","",MOV_CC_NACIONAL!C291)</f>
        <v/>
      </c>
      <c r="E291" s="22" t="str">
        <f t="shared" si="1"/>
        <v/>
      </c>
      <c r="F291" s="22" t="str">
        <f>IFERROR(__xludf.DUMMYFUNCTION("IF(C291="""","""", OR(REGEXMATCH(LOWER(C291),""cuota""), REGEXMATCH(C291,""\d+\s*/\s*\d+"")))"),"")</f>
        <v/>
      </c>
      <c r="G291" s="22" t="str">
        <f>IFERROR(__xludf.DUMMYFUNCTION("IFERROR(VALUE(REGEXEXTRACT(C291,""(\d+)\s*/\s*\d+"")),"""")"),"")</f>
        <v/>
      </c>
      <c r="H291" s="22" t="str">
        <f>IFERROR(__xludf.DUMMYFUNCTION("IFERROR(VALUE(REGEXEXTRACT(C291,""\d+\s*/\s*(\d+)"")),"""")"),"")</f>
        <v/>
      </c>
      <c r="I291" s="22" t="str">
        <f t="shared" si="2"/>
        <v/>
      </c>
      <c r="J291" s="34" t="str">
        <f t="shared" si="3"/>
        <v/>
      </c>
    </row>
    <row r="292" ht="15.75" customHeight="1">
      <c r="A292" s="32" t="s">
        <v>113</v>
      </c>
      <c r="B292" s="32" t="str">
        <f>IF(MOV_CC_NACIONAL!A292="","",MOV_CC_NACIONAL!A292)</f>
        <v/>
      </c>
      <c r="C292" s="32" t="str">
        <f>IF(MOV_CC_NACIONAL!B292="","",MOV_CC_NACIONAL!B292)</f>
        <v/>
      </c>
      <c r="D292" s="33" t="str">
        <f>IF(MOV_CC_NACIONAL!C292="","",MOV_CC_NACIONAL!C292)</f>
        <v/>
      </c>
      <c r="E292" s="32" t="str">
        <f t="shared" si="1"/>
        <v/>
      </c>
      <c r="F292" s="32" t="str">
        <f>IFERROR(__xludf.DUMMYFUNCTION("IF(C292="""","""", OR(REGEXMATCH(LOWER(C292),""cuota""), REGEXMATCH(C292,""\d+\s*/\s*\d+"")))"),"")</f>
        <v/>
      </c>
      <c r="G292" s="32" t="str">
        <f>IFERROR(__xludf.DUMMYFUNCTION("IFERROR(VALUE(REGEXEXTRACT(C292,""(\d+)\s*/\s*\d+"")),"""")"),"")</f>
        <v/>
      </c>
      <c r="H292" s="32" t="str">
        <f>IFERROR(__xludf.DUMMYFUNCTION("IFERROR(VALUE(REGEXEXTRACT(C292,""\d+\s*/\s*(\d+)"")),"""")"),"")</f>
        <v/>
      </c>
      <c r="I292" s="32" t="str">
        <f t="shared" si="2"/>
        <v/>
      </c>
      <c r="J292" s="33" t="str">
        <f t="shared" si="3"/>
        <v/>
      </c>
    </row>
    <row r="293" ht="15.75" customHeight="1">
      <c r="A293" s="22" t="s">
        <v>113</v>
      </c>
      <c r="B293" s="22" t="str">
        <f>IF(MOV_CC_NACIONAL!A293="","",MOV_CC_NACIONAL!A293)</f>
        <v/>
      </c>
      <c r="C293" s="22" t="str">
        <f>IF(MOV_CC_NACIONAL!B293="","",MOV_CC_NACIONAL!B293)</f>
        <v/>
      </c>
      <c r="D293" s="34" t="str">
        <f>IF(MOV_CC_NACIONAL!C293="","",MOV_CC_NACIONAL!C293)</f>
        <v/>
      </c>
      <c r="E293" s="22" t="str">
        <f t="shared" si="1"/>
        <v/>
      </c>
      <c r="F293" s="22" t="str">
        <f>IFERROR(__xludf.DUMMYFUNCTION("IF(C293="""","""", OR(REGEXMATCH(LOWER(C293),""cuota""), REGEXMATCH(C293,""\d+\s*/\s*\d+"")))"),"")</f>
        <v/>
      </c>
      <c r="G293" s="22" t="str">
        <f>IFERROR(__xludf.DUMMYFUNCTION("IFERROR(VALUE(REGEXEXTRACT(C293,""(\d+)\s*/\s*\d+"")),"""")"),"")</f>
        <v/>
      </c>
      <c r="H293" s="22" t="str">
        <f>IFERROR(__xludf.DUMMYFUNCTION("IFERROR(VALUE(REGEXEXTRACT(C293,""\d+\s*/\s*(\d+)"")),"""")"),"")</f>
        <v/>
      </c>
      <c r="I293" s="22" t="str">
        <f t="shared" si="2"/>
        <v/>
      </c>
      <c r="J293" s="34" t="str">
        <f t="shared" si="3"/>
        <v/>
      </c>
    </row>
    <row r="294" ht="15.75" customHeight="1">
      <c r="A294" s="32" t="s">
        <v>113</v>
      </c>
      <c r="B294" s="32" t="str">
        <f>IF(MOV_CC_NACIONAL!A294="","",MOV_CC_NACIONAL!A294)</f>
        <v/>
      </c>
      <c r="C294" s="32" t="str">
        <f>IF(MOV_CC_NACIONAL!B294="","",MOV_CC_NACIONAL!B294)</f>
        <v/>
      </c>
      <c r="D294" s="33" t="str">
        <f>IF(MOV_CC_NACIONAL!C294="","",MOV_CC_NACIONAL!C294)</f>
        <v/>
      </c>
      <c r="E294" s="32" t="str">
        <f t="shared" si="1"/>
        <v/>
      </c>
      <c r="F294" s="32" t="str">
        <f>IFERROR(__xludf.DUMMYFUNCTION("IF(C294="""","""", OR(REGEXMATCH(LOWER(C294),""cuota""), REGEXMATCH(C294,""\d+\s*/\s*\d+"")))"),"")</f>
        <v/>
      </c>
      <c r="G294" s="32" t="str">
        <f>IFERROR(__xludf.DUMMYFUNCTION("IFERROR(VALUE(REGEXEXTRACT(C294,""(\d+)\s*/\s*\d+"")),"""")"),"")</f>
        <v/>
      </c>
      <c r="H294" s="32" t="str">
        <f>IFERROR(__xludf.DUMMYFUNCTION("IFERROR(VALUE(REGEXEXTRACT(C294,""\d+\s*/\s*(\d+)"")),"""")"),"")</f>
        <v/>
      </c>
      <c r="I294" s="32" t="str">
        <f t="shared" si="2"/>
        <v/>
      </c>
      <c r="J294" s="33" t="str">
        <f t="shared" si="3"/>
        <v/>
      </c>
    </row>
    <row r="295" ht="15.75" customHeight="1">
      <c r="A295" s="22" t="s">
        <v>113</v>
      </c>
      <c r="B295" s="22" t="str">
        <f>IF(MOV_CC_NACIONAL!A295="","",MOV_CC_NACIONAL!A295)</f>
        <v/>
      </c>
      <c r="C295" s="22" t="str">
        <f>IF(MOV_CC_NACIONAL!B295="","",MOV_CC_NACIONAL!B295)</f>
        <v/>
      </c>
      <c r="D295" s="34" t="str">
        <f>IF(MOV_CC_NACIONAL!C295="","",MOV_CC_NACIONAL!C295)</f>
        <v/>
      </c>
      <c r="E295" s="22" t="str">
        <f t="shared" si="1"/>
        <v/>
      </c>
      <c r="F295" s="22" t="str">
        <f>IFERROR(__xludf.DUMMYFUNCTION("IF(C295="""","""", OR(REGEXMATCH(LOWER(C295),""cuota""), REGEXMATCH(C295,""\d+\s*/\s*\d+"")))"),"")</f>
        <v/>
      </c>
      <c r="G295" s="22" t="str">
        <f>IFERROR(__xludf.DUMMYFUNCTION("IFERROR(VALUE(REGEXEXTRACT(C295,""(\d+)\s*/\s*\d+"")),"""")"),"")</f>
        <v/>
      </c>
      <c r="H295" s="22" t="str">
        <f>IFERROR(__xludf.DUMMYFUNCTION("IFERROR(VALUE(REGEXEXTRACT(C295,""\d+\s*/\s*(\d+)"")),"""")"),"")</f>
        <v/>
      </c>
      <c r="I295" s="22" t="str">
        <f t="shared" si="2"/>
        <v/>
      </c>
      <c r="J295" s="34" t="str">
        <f t="shared" si="3"/>
        <v/>
      </c>
    </row>
    <row r="296" ht="15.75" customHeight="1">
      <c r="A296" s="32" t="s">
        <v>113</v>
      </c>
      <c r="B296" s="32" t="str">
        <f>IF(MOV_CC_NACIONAL!A296="","",MOV_CC_NACIONAL!A296)</f>
        <v/>
      </c>
      <c r="C296" s="32" t="str">
        <f>IF(MOV_CC_NACIONAL!B296="","",MOV_CC_NACIONAL!B296)</f>
        <v/>
      </c>
      <c r="D296" s="33" t="str">
        <f>IF(MOV_CC_NACIONAL!C296="","",MOV_CC_NACIONAL!C296)</f>
        <v/>
      </c>
      <c r="E296" s="32" t="str">
        <f t="shared" si="1"/>
        <v/>
      </c>
      <c r="F296" s="32" t="str">
        <f>IFERROR(__xludf.DUMMYFUNCTION("IF(C296="""","""", OR(REGEXMATCH(LOWER(C296),""cuota""), REGEXMATCH(C296,""\d+\s*/\s*\d+"")))"),"")</f>
        <v/>
      </c>
      <c r="G296" s="32" t="str">
        <f>IFERROR(__xludf.DUMMYFUNCTION("IFERROR(VALUE(REGEXEXTRACT(C296,""(\d+)\s*/\s*\d+"")),"""")"),"")</f>
        <v/>
      </c>
      <c r="H296" s="32" t="str">
        <f>IFERROR(__xludf.DUMMYFUNCTION("IFERROR(VALUE(REGEXEXTRACT(C296,""\d+\s*/\s*(\d+)"")),"""")"),"")</f>
        <v/>
      </c>
      <c r="I296" s="32" t="str">
        <f t="shared" si="2"/>
        <v/>
      </c>
      <c r="J296" s="33" t="str">
        <f t="shared" si="3"/>
        <v/>
      </c>
    </row>
    <row r="297" ht="15.75" customHeight="1">
      <c r="A297" s="22" t="s">
        <v>113</v>
      </c>
      <c r="B297" s="22" t="str">
        <f>IF(MOV_CC_NACIONAL!A297="","",MOV_CC_NACIONAL!A297)</f>
        <v/>
      </c>
      <c r="C297" s="22" t="str">
        <f>IF(MOV_CC_NACIONAL!B297="","",MOV_CC_NACIONAL!B297)</f>
        <v/>
      </c>
      <c r="D297" s="34" t="str">
        <f>IF(MOV_CC_NACIONAL!C297="","",MOV_CC_NACIONAL!C297)</f>
        <v/>
      </c>
      <c r="E297" s="22" t="str">
        <f t="shared" si="1"/>
        <v/>
      </c>
      <c r="F297" s="22" t="str">
        <f>IFERROR(__xludf.DUMMYFUNCTION("IF(C297="""","""", OR(REGEXMATCH(LOWER(C297),""cuota""), REGEXMATCH(C297,""\d+\s*/\s*\d+"")))"),"")</f>
        <v/>
      </c>
      <c r="G297" s="22" t="str">
        <f>IFERROR(__xludf.DUMMYFUNCTION("IFERROR(VALUE(REGEXEXTRACT(C297,""(\d+)\s*/\s*\d+"")),"""")"),"")</f>
        <v/>
      </c>
      <c r="H297" s="22" t="str">
        <f>IFERROR(__xludf.DUMMYFUNCTION("IFERROR(VALUE(REGEXEXTRACT(C297,""\d+\s*/\s*(\d+)"")),"""")"),"")</f>
        <v/>
      </c>
      <c r="I297" s="22" t="str">
        <f t="shared" si="2"/>
        <v/>
      </c>
      <c r="J297" s="34" t="str">
        <f t="shared" si="3"/>
        <v/>
      </c>
    </row>
    <row r="298" ht="15.75" customHeight="1">
      <c r="A298" s="32" t="s">
        <v>113</v>
      </c>
      <c r="B298" s="32" t="str">
        <f>IF(MOV_CC_NACIONAL!A298="","",MOV_CC_NACIONAL!A298)</f>
        <v/>
      </c>
      <c r="C298" s="32" t="str">
        <f>IF(MOV_CC_NACIONAL!B298="","",MOV_CC_NACIONAL!B298)</f>
        <v/>
      </c>
      <c r="D298" s="33" t="str">
        <f>IF(MOV_CC_NACIONAL!C298="","",MOV_CC_NACIONAL!C298)</f>
        <v/>
      </c>
      <c r="E298" s="32" t="str">
        <f t="shared" si="1"/>
        <v/>
      </c>
      <c r="F298" s="32" t="str">
        <f>IFERROR(__xludf.DUMMYFUNCTION("IF(C298="""","""", OR(REGEXMATCH(LOWER(C298),""cuota""), REGEXMATCH(C298,""\d+\s*/\s*\d+"")))"),"")</f>
        <v/>
      </c>
      <c r="G298" s="32" t="str">
        <f>IFERROR(__xludf.DUMMYFUNCTION("IFERROR(VALUE(REGEXEXTRACT(C298,""(\d+)\s*/\s*\d+"")),"""")"),"")</f>
        <v/>
      </c>
      <c r="H298" s="32" t="str">
        <f>IFERROR(__xludf.DUMMYFUNCTION("IFERROR(VALUE(REGEXEXTRACT(C298,""\d+\s*/\s*(\d+)"")),"""")"),"")</f>
        <v/>
      </c>
      <c r="I298" s="32" t="str">
        <f t="shared" si="2"/>
        <v/>
      </c>
      <c r="J298" s="33" t="str">
        <f t="shared" si="3"/>
        <v/>
      </c>
    </row>
    <row r="299" ht="15.75" customHeight="1">
      <c r="A299" s="22" t="s">
        <v>113</v>
      </c>
      <c r="B299" s="22" t="str">
        <f>IF(MOV_CC_NACIONAL!A299="","",MOV_CC_NACIONAL!A299)</f>
        <v/>
      </c>
      <c r="C299" s="22" t="str">
        <f>IF(MOV_CC_NACIONAL!B299="","",MOV_CC_NACIONAL!B299)</f>
        <v/>
      </c>
      <c r="D299" s="34" t="str">
        <f>IF(MOV_CC_NACIONAL!C299="","",MOV_CC_NACIONAL!C299)</f>
        <v/>
      </c>
      <c r="E299" s="22" t="str">
        <f t="shared" si="1"/>
        <v/>
      </c>
      <c r="F299" s="22" t="str">
        <f>IFERROR(__xludf.DUMMYFUNCTION("IF(C299="""","""", OR(REGEXMATCH(LOWER(C299),""cuota""), REGEXMATCH(C299,""\d+\s*/\s*\d+"")))"),"")</f>
        <v/>
      </c>
      <c r="G299" s="22" t="str">
        <f>IFERROR(__xludf.DUMMYFUNCTION("IFERROR(VALUE(REGEXEXTRACT(C299,""(\d+)\s*/\s*\d+"")),"""")"),"")</f>
        <v/>
      </c>
      <c r="H299" s="22" t="str">
        <f>IFERROR(__xludf.DUMMYFUNCTION("IFERROR(VALUE(REGEXEXTRACT(C299,""\d+\s*/\s*(\d+)"")),"""")"),"")</f>
        <v/>
      </c>
      <c r="I299" s="22" t="str">
        <f t="shared" si="2"/>
        <v/>
      </c>
      <c r="J299" s="34" t="str">
        <f t="shared" si="3"/>
        <v/>
      </c>
    </row>
    <row r="300" ht="15.75" customHeight="1">
      <c r="A300" s="32" t="s">
        <v>113</v>
      </c>
      <c r="B300" s="32" t="str">
        <f>IF(MOV_CC_NACIONAL!A300="","",MOV_CC_NACIONAL!A300)</f>
        <v/>
      </c>
      <c r="C300" s="32" t="str">
        <f>IF(MOV_CC_NACIONAL!B300="","",MOV_CC_NACIONAL!B300)</f>
        <v/>
      </c>
      <c r="D300" s="33" t="str">
        <f>IF(MOV_CC_NACIONAL!C300="","",MOV_CC_NACIONAL!C300)</f>
        <v/>
      </c>
      <c r="E300" s="32" t="str">
        <f t="shared" si="1"/>
        <v/>
      </c>
      <c r="F300" s="32" t="str">
        <f>IFERROR(__xludf.DUMMYFUNCTION("IF(C300="""","""", OR(REGEXMATCH(LOWER(C300),""cuota""), REGEXMATCH(C300,""\d+\s*/\s*\d+"")))"),"")</f>
        <v/>
      </c>
      <c r="G300" s="32" t="str">
        <f>IFERROR(__xludf.DUMMYFUNCTION("IFERROR(VALUE(REGEXEXTRACT(C300,""(\d+)\s*/\s*\d+"")),"""")"),"")</f>
        <v/>
      </c>
      <c r="H300" s="32" t="str">
        <f>IFERROR(__xludf.DUMMYFUNCTION("IFERROR(VALUE(REGEXEXTRACT(C300,""\d+\s*/\s*(\d+)"")),"""")"),"")</f>
        <v/>
      </c>
      <c r="I300" s="32" t="str">
        <f t="shared" si="2"/>
        <v/>
      </c>
      <c r="J300" s="33" t="str">
        <f t="shared" si="3"/>
        <v/>
      </c>
    </row>
    <row r="301" ht="15.75" customHeight="1">
      <c r="A301" s="22" t="s">
        <v>113</v>
      </c>
      <c r="B301" s="22" t="str">
        <f>IF(MOV_CC_NACIONAL!A301="","",MOV_CC_NACIONAL!A301)</f>
        <v/>
      </c>
      <c r="C301" s="22" t="str">
        <f>IF(MOV_CC_NACIONAL!B301="","",MOV_CC_NACIONAL!B301)</f>
        <v/>
      </c>
      <c r="D301" s="34" t="str">
        <f>IF(MOV_CC_NACIONAL!C301="","",MOV_CC_NACIONAL!C301)</f>
        <v/>
      </c>
      <c r="E301" s="22" t="str">
        <f t="shared" si="1"/>
        <v/>
      </c>
      <c r="F301" s="22" t="str">
        <f>IFERROR(__xludf.DUMMYFUNCTION("IF(C301="""","""", OR(REGEXMATCH(LOWER(C301),""cuota""), REGEXMATCH(C301,""\d+\s*/\s*\d+"")))"),"")</f>
        <v/>
      </c>
      <c r="G301" s="22" t="str">
        <f>IFERROR(__xludf.DUMMYFUNCTION("IFERROR(VALUE(REGEXEXTRACT(C301,""(\d+)\s*/\s*\d+"")),"""")"),"")</f>
        <v/>
      </c>
      <c r="H301" s="22" t="str">
        <f>IFERROR(__xludf.DUMMYFUNCTION("IFERROR(VALUE(REGEXEXTRACT(C301,""\d+\s*/\s*(\d+)"")),"""")"),"")</f>
        <v/>
      </c>
      <c r="I301" s="22" t="str">
        <f t="shared" si="2"/>
        <v/>
      </c>
      <c r="J301" s="34" t="str">
        <f t="shared" si="3"/>
        <v/>
      </c>
    </row>
    <row r="302" ht="15.75" customHeight="1">
      <c r="A302" s="32" t="s">
        <v>113</v>
      </c>
      <c r="B302" s="32" t="str">
        <f>IF(MOV_CC_NACIONAL!A302="","",MOV_CC_NACIONAL!A302)</f>
        <v/>
      </c>
      <c r="C302" s="32" t="str">
        <f>IF(MOV_CC_NACIONAL!B302="","",MOV_CC_NACIONAL!B302)</f>
        <v/>
      </c>
      <c r="D302" s="33" t="str">
        <f>IF(MOV_CC_NACIONAL!C302="","",MOV_CC_NACIONAL!C302)</f>
        <v/>
      </c>
      <c r="E302" s="32" t="str">
        <f t="shared" si="1"/>
        <v/>
      </c>
      <c r="F302" s="32" t="str">
        <f>IFERROR(__xludf.DUMMYFUNCTION("IF(C302="""","""", OR(REGEXMATCH(LOWER(C302),""cuota""), REGEXMATCH(C302,""\d+\s*/\s*\d+"")))"),"")</f>
        <v/>
      </c>
      <c r="G302" s="32" t="str">
        <f>IFERROR(__xludf.DUMMYFUNCTION("IFERROR(VALUE(REGEXEXTRACT(C302,""(\d+)\s*/\s*\d+"")),"""")"),"")</f>
        <v/>
      </c>
      <c r="H302" s="32" t="str">
        <f>IFERROR(__xludf.DUMMYFUNCTION("IFERROR(VALUE(REGEXEXTRACT(C302,""\d+\s*/\s*(\d+)"")),"""")"),"")</f>
        <v/>
      </c>
      <c r="I302" s="32" t="str">
        <f t="shared" si="2"/>
        <v/>
      </c>
      <c r="J302" s="33" t="str">
        <f t="shared" si="3"/>
        <v/>
      </c>
    </row>
    <row r="303" ht="15.75" customHeight="1">
      <c r="A303" s="22" t="s">
        <v>113</v>
      </c>
      <c r="B303" s="22" t="str">
        <f>IF(MOV_CC_NACIONAL!A303="","",MOV_CC_NACIONAL!A303)</f>
        <v/>
      </c>
      <c r="C303" s="22" t="str">
        <f>IF(MOV_CC_NACIONAL!B303="","",MOV_CC_NACIONAL!B303)</f>
        <v/>
      </c>
      <c r="D303" s="34" t="str">
        <f>IF(MOV_CC_NACIONAL!C303="","",MOV_CC_NACIONAL!C303)</f>
        <v/>
      </c>
      <c r="E303" s="22" t="str">
        <f t="shared" si="1"/>
        <v/>
      </c>
      <c r="F303" s="22" t="str">
        <f>IFERROR(__xludf.DUMMYFUNCTION("IF(C303="""","""", OR(REGEXMATCH(LOWER(C303),""cuota""), REGEXMATCH(C303,""\d+\s*/\s*\d+"")))"),"")</f>
        <v/>
      </c>
      <c r="G303" s="22" t="str">
        <f>IFERROR(__xludf.DUMMYFUNCTION("IFERROR(VALUE(REGEXEXTRACT(C303,""(\d+)\s*/\s*\d+"")),"""")"),"")</f>
        <v/>
      </c>
      <c r="H303" s="22" t="str">
        <f>IFERROR(__xludf.DUMMYFUNCTION("IFERROR(VALUE(REGEXEXTRACT(C303,""\d+\s*/\s*(\d+)"")),"""")"),"")</f>
        <v/>
      </c>
      <c r="I303" s="22" t="str">
        <f t="shared" si="2"/>
        <v/>
      </c>
      <c r="J303" s="34" t="str">
        <f t="shared" si="3"/>
        <v/>
      </c>
    </row>
    <row r="304" ht="15.75" customHeight="1">
      <c r="A304" s="32" t="s">
        <v>113</v>
      </c>
      <c r="B304" s="32" t="str">
        <f>IF(MOV_CC_NACIONAL!A304="","",MOV_CC_NACIONAL!A304)</f>
        <v/>
      </c>
      <c r="C304" s="32" t="str">
        <f>IF(MOV_CC_NACIONAL!B304="","",MOV_CC_NACIONAL!B304)</f>
        <v/>
      </c>
      <c r="D304" s="33" t="str">
        <f>IF(MOV_CC_NACIONAL!C304="","",MOV_CC_NACIONAL!C304)</f>
        <v/>
      </c>
      <c r="E304" s="32" t="str">
        <f t="shared" si="1"/>
        <v/>
      </c>
      <c r="F304" s="32" t="str">
        <f>IFERROR(__xludf.DUMMYFUNCTION("IF(C304="""","""", OR(REGEXMATCH(LOWER(C304),""cuota""), REGEXMATCH(C304,""\d+\s*/\s*\d+"")))"),"")</f>
        <v/>
      </c>
      <c r="G304" s="32" t="str">
        <f>IFERROR(__xludf.DUMMYFUNCTION("IFERROR(VALUE(REGEXEXTRACT(C304,""(\d+)\s*/\s*\d+"")),"""")"),"")</f>
        <v/>
      </c>
      <c r="H304" s="32" t="str">
        <f>IFERROR(__xludf.DUMMYFUNCTION("IFERROR(VALUE(REGEXEXTRACT(C304,""\d+\s*/\s*(\d+)"")),"""")"),"")</f>
        <v/>
      </c>
      <c r="I304" s="32" t="str">
        <f t="shared" si="2"/>
        <v/>
      </c>
      <c r="J304" s="33" t="str">
        <f t="shared" si="3"/>
        <v/>
      </c>
    </row>
    <row r="305" ht="15.75" customHeight="1">
      <c r="A305" s="22" t="s">
        <v>113</v>
      </c>
      <c r="B305" s="22" t="str">
        <f>IF(MOV_CC_NACIONAL!A305="","",MOV_CC_NACIONAL!A305)</f>
        <v/>
      </c>
      <c r="C305" s="22" t="str">
        <f>IF(MOV_CC_NACIONAL!B305="","",MOV_CC_NACIONAL!B305)</f>
        <v/>
      </c>
      <c r="D305" s="34" t="str">
        <f>IF(MOV_CC_NACIONAL!C305="","",MOV_CC_NACIONAL!C305)</f>
        <v/>
      </c>
      <c r="E305" s="22" t="str">
        <f t="shared" si="1"/>
        <v/>
      </c>
      <c r="F305" s="22" t="str">
        <f>IFERROR(__xludf.DUMMYFUNCTION("IF(C305="""","""", OR(REGEXMATCH(LOWER(C305),""cuota""), REGEXMATCH(C305,""\d+\s*/\s*\d+"")))"),"")</f>
        <v/>
      </c>
      <c r="G305" s="22" t="str">
        <f>IFERROR(__xludf.DUMMYFUNCTION("IFERROR(VALUE(REGEXEXTRACT(C305,""(\d+)\s*/\s*\d+"")),"""")"),"")</f>
        <v/>
      </c>
      <c r="H305" s="22" t="str">
        <f>IFERROR(__xludf.DUMMYFUNCTION("IFERROR(VALUE(REGEXEXTRACT(C305,""\d+\s*/\s*(\d+)"")),"""")"),"")</f>
        <v/>
      </c>
      <c r="I305" s="22" t="str">
        <f t="shared" si="2"/>
        <v/>
      </c>
      <c r="J305" s="34" t="str">
        <f t="shared" si="3"/>
        <v/>
      </c>
    </row>
    <row r="306" ht="15.75" customHeight="1">
      <c r="A306" s="32" t="s">
        <v>113</v>
      </c>
      <c r="B306" s="32" t="str">
        <f>IF(MOV_CC_NACIONAL!A306="","",MOV_CC_NACIONAL!A306)</f>
        <v/>
      </c>
      <c r="C306" s="32" t="str">
        <f>IF(MOV_CC_NACIONAL!B306="","",MOV_CC_NACIONAL!B306)</f>
        <v/>
      </c>
      <c r="D306" s="33" t="str">
        <f>IF(MOV_CC_NACIONAL!C306="","",MOV_CC_NACIONAL!C306)</f>
        <v/>
      </c>
      <c r="E306" s="32" t="str">
        <f t="shared" si="1"/>
        <v/>
      </c>
      <c r="F306" s="32" t="str">
        <f>IFERROR(__xludf.DUMMYFUNCTION("IF(C306="""","""", OR(REGEXMATCH(LOWER(C306),""cuota""), REGEXMATCH(C306,""\d+\s*/\s*\d+"")))"),"")</f>
        <v/>
      </c>
      <c r="G306" s="32" t="str">
        <f>IFERROR(__xludf.DUMMYFUNCTION("IFERROR(VALUE(REGEXEXTRACT(C306,""(\d+)\s*/\s*\d+"")),"""")"),"")</f>
        <v/>
      </c>
      <c r="H306" s="32" t="str">
        <f>IFERROR(__xludf.DUMMYFUNCTION("IFERROR(VALUE(REGEXEXTRACT(C306,""\d+\s*/\s*(\d+)"")),"""")"),"")</f>
        <v/>
      </c>
      <c r="I306" s="32" t="str">
        <f t="shared" si="2"/>
        <v/>
      </c>
      <c r="J306" s="33" t="str">
        <f t="shared" si="3"/>
        <v/>
      </c>
    </row>
    <row r="307" ht="15.75" customHeight="1">
      <c r="A307" s="22" t="s">
        <v>113</v>
      </c>
      <c r="B307" s="22" t="str">
        <f>IF(MOV_CC_NACIONAL!A307="","",MOV_CC_NACIONAL!A307)</f>
        <v/>
      </c>
      <c r="C307" s="22" t="str">
        <f>IF(MOV_CC_NACIONAL!B307="","",MOV_CC_NACIONAL!B307)</f>
        <v/>
      </c>
      <c r="D307" s="34" t="str">
        <f>IF(MOV_CC_NACIONAL!C307="","",MOV_CC_NACIONAL!C307)</f>
        <v/>
      </c>
      <c r="E307" s="22" t="str">
        <f t="shared" si="1"/>
        <v/>
      </c>
      <c r="F307" s="22" t="str">
        <f>IFERROR(__xludf.DUMMYFUNCTION("IF(C307="""","""", OR(REGEXMATCH(LOWER(C307),""cuota""), REGEXMATCH(C307,""\d+\s*/\s*\d+"")))"),"")</f>
        <v/>
      </c>
      <c r="G307" s="22" t="str">
        <f>IFERROR(__xludf.DUMMYFUNCTION("IFERROR(VALUE(REGEXEXTRACT(C307,""(\d+)\s*/\s*\d+"")),"""")"),"")</f>
        <v/>
      </c>
      <c r="H307" s="22" t="str">
        <f>IFERROR(__xludf.DUMMYFUNCTION("IFERROR(VALUE(REGEXEXTRACT(C307,""\d+\s*/\s*(\d+)"")),"""")"),"")</f>
        <v/>
      </c>
      <c r="I307" s="22" t="str">
        <f t="shared" si="2"/>
        <v/>
      </c>
      <c r="J307" s="34" t="str">
        <f t="shared" si="3"/>
        <v/>
      </c>
    </row>
    <row r="308" ht="15.75" customHeight="1">
      <c r="A308" s="32" t="s">
        <v>113</v>
      </c>
      <c r="B308" s="32" t="str">
        <f>IF(MOV_CC_NACIONAL!A308="","",MOV_CC_NACIONAL!A308)</f>
        <v/>
      </c>
      <c r="C308" s="32" t="str">
        <f>IF(MOV_CC_NACIONAL!B308="","",MOV_CC_NACIONAL!B308)</f>
        <v/>
      </c>
      <c r="D308" s="33" t="str">
        <f>IF(MOV_CC_NACIONAL!C308="","",MOV_CC_NACIONAL!C308)</f>
        <v/>
      </c>
      <c r="E308" s="32" t="str">
        <f t="shared" si="1"/>
        <v/>
      </c>
      <c r="F308" s="32" t="str">
        <f>IFERROR(__xludf.DUMMYFUNCTION("IF(C308="""","""", OR(REGEXMATCH(LOWER(C308),""cuota""), REGEXMATCH(C308,""\d+\s*/\s*\d+"")))"),"")</f>
        <v/>
      </c>
      <c r="G308" s="32" t="str">
        <f>IFERROR(__xludf.DUMMYFUNCTION("IFERROR(VALUE(REGEXEXTRACT(C308,""(\d+)\s*/\s*\d+"")),"""")"),"")</f>
        <v/>
      </c>
      <c r="H308" s="32" t="str">
        <f>IFERROR(__xludf.DUMMYFUNCTION("IFERROR(VALUE(REGEXEXTRACT(C308,""\d+\s*/\s*(\d+)"")),"""")"),"")</f>
        <v/>
      </c>
      <c r="I308" s="32" t="str">
        <f t="shared" si="2"/>
        <v/>
      </c>
      <c r="J308" s="33" t="str">
        <f t="shared" si="3"/>
        <v/>
      </c>
    </row>
    <row r="309" ht="15.75" customHeight="1">
      <c r="A309" s="22" t="s">
        <v>113</v>
      </c>
      <c r="B309" s="22" t="str">
        <f>IF(MOV_CC_NACIONAL!A309="","",MOV_CC_NACIONAL!A309)</f>
        <v/>
      </c>
      <c r="C309" s="22" t="str">
        <f>IF(MOV_CC_NACIONAL!B309="","",MOV_CC_NACIONAL!B309)</f>
        <v/>
      </c>
      <c r="D309" s="34" t="str">
        <f>IF(MOV_CC_NACIONAL!C309="","",MOV_CC_NACIONAL!C309)</f>
        <v/>
      </c>
      <c r="E309" s="22" t="str">
        <f t="shared" si="1"/>
        <v/>
      </c>
      <c r="F309" s="22" t="str">
        <f>IFERROR(__xludf.DUMMYFUNCTION("IF(C309="""","""", OR(REGEXMATCH(LOWER(C309),""cuota""), REGEXMATCH(C309,""\d+\s*/\s*\d+"")))"),"")</f>
        <v/>
      </c>
      <c r="G309" s="22" t="str">
        <f>IFERROR(__xludf.DUMMYFUNCTION("IFERROR(VALUE(REGEXEXTRACT(C309,""(\d+)\s*/\s*\d+"")),"""")"),"")</f>
        <v/>
      </c>
      <c r="H309" s="22" t="str">
        <f>IFERROR(__xludf.DUMMYFUNCTION("IFERROR(VALUE(REGEXEXTRACT(C309,""\d+\s*/\s*(\d+)"")),"""")"),"")</f>
        <v/>
      </c>
      <c r="I309" s="22" t="str">
        <f t="shared" si="2"/>
        <v/>
      </c>
      <c r="J309" s="34" t="str">
        <f t="shared" si="3"/>
        <v/>
      </c>
    </row>
    <row r="310" ht="15.75" customHeight="1">
      <c r="A310" s="32" t="s">
        <v>113</v>
      </c>
      <c r="B310" s="32" t="str">
        <f>IF(MOV_CC_NACIONAL!A310="","",MOV_CC_NACIONAL!A310)</f>
        <v/>
      </c>
      <c r="C310" s="32" t="str">
        <f>IF(MOV_CC_NACIONAL!B310="","",MOV_CC_NACIONAL!B310)</f>
        <v/>
      </c>
      <c r="D310" s="33" t="str">
        <f>IF(MOV_CC_NACIONAL!C310="","",MOV_CC_NACIONAL!C310)</f>
        <v/>
      </c>
      <c r="E310" s="32" t="str">
        <f t="shared" si="1"/>
        <v/>
      </c>
      <c r="F310" s="32" t="str">
        <f>IFERROR(__xludf.DUMMYFUNCTION("IF(C310="""","""", OR(REGEXMATCH(LOWER(C310),""cuota""), REGEXMATCH(C310,""\d+\s*/\s*\d+"")))"),"")</f>
        <v/>
      </c>
      <c r="G310" s="32" t="str">
        <f>IFERROR(__xludf.DUMMYFUNCTION("IFERROR(VALUE(REGEXEXTRACT(C310,""(\d+)\s*/\s*\d+"")),"""")"),"")</f>
        <v/>
      </c>
      <c r="H310" s="32" t="str">
        <f>IFERROR(__xludf.DUMMYFUNCTION("IFERROR(VALUE(REGEXEXTRACT(C310,""\d+\s*/\s*(\d+)"")),"""")"),"")</f>
        <v/>
      </c>
      <c r="I310" s="32" t="str">
        <f t="shared" si="2"/>
        <v/>
      </c>
      <c r="J310" s="33" t="str">
        <f t="shared" si="3"/>
        <v/>
      </c>
    </row>
    <row r="311" ht="15.75" customHeight="1">
      <c r="A311" s="22" t="s">
        <v>113</v>
      </c>
      <c r="B311" s="22" t="str">
        <f>IF(MOV_CC_NACIONAL!A311="","",MOV_CC_NACIONAL!A311)</f>
        <v/>
      </c>
      <c r="C311" s="22" t="str">
        <f>IF(MOV_CC_NACIONAL!B311="","",MOV_CC_NACIONAL!B311)</f>
        <v/>
      </c>
      <c r="D311" s="34" t="str">
        <f>IF(MOV_CC_NACIONAL!C311="","",MOV_CC_NACIONAL!C311)</f>
        <v/>
      </c>
      <c r="E311" s="22" t="str">
        <f t="shared" si="1"/>
        <v/>
      </c>
      <c r="F311" s="22" t="str">
        <f>IFERROR(__xludf.DUMMYFUNCTION("IF(C311="""","""", OR(REGEXMATCH(LOWER(C311),""cuota""), REGEXMATCH(C311,""\d+\s*/\s*\d+"")))"),"")</f>
        <v/>
      </c>
      <c r="G311" s="22" t="str">
        <f>IFERROR(__xludf.DUMMYFUNCTION("IFERROR(VALUE(REGEXEXTRACT(C311,""(\d+)\s*/\s*\d+"")),"""")"),"")</f>
        <v/>
      </c>
      <c r="H311" s="22" t="str">
        <f>IFERROR(__xludf.DUMMYFUNCTION("IFERROR(VALUE(REGEXEXTRACT(C311,""\d+\s*/\s*(\d+)"")),"""")"),"")</f>
        <v/>
      </c>
      <c r="I311" s="22" t="str">
        <f t="shared" si="2"/>
        <v/>
      </c>
      <c r="J311" s="34" t="str">
        <f t="shared" si="3"/>
        <v/>
      </c>
    </row>
    <row r="312" ht="15.75" customHeight="1">
      <c r="A312" s="32" t="s">
        <v>113</v>
      </c>
      <c r="B312" s="32" t="str">
        <f>IF(MOV_CC_NACIONAL!A312="","",MOV_CC_NACIONAL!A312)</f>
        <v/>
      </c>
      <c r="C312" s="32" t="str">
        <f>IF(MOV_CC_NACIONAL!B312="","",MOV_CC_NACIONAL!B312)</f>
        <v/>
      </c>
      <c r="D312" s="33" t="str">
        <f>IF(MOV_CC_NACIONAL!C312="","",MOV_CC_NACIONAL!C312)</f>
        <v/>
      </c>
      <c r="E312" s="32" t="str">
        <f t="shared" si="1"/>
        <v/>
      </c>
      <c r="F312" s="32" t="str">
        <f>IFERROR(__xludf.DUMMYFUNCTION("IF(C312="""","""", OR(REGEXMATCH(LOWER(C312),""cuota""), REGEXMATCH(C312,""\d+\s*/\s*\d+"")))"),"")</f>
        <v/>
      </c>
      <c r="G312" s="32" t="str">
        <f>IFERROR(__xludf.DUMMYFUNCTION("IFERROR(VALUE(REGEXEXTRACT(C312,""(\d+)\s*/\s*\d+"")),"""")"),"")</f>
        <v/>
      </c>
      <c r="H312" s="32" t="str">
        <f>IFERROR(__xludf.DUMMYFUNCTION("IFERROR(VALUE(REGEXEXTRACT(C312,""\d+\s*/\s*(\d+)"")),"""")"),"")</f>
        <v/>
      </c>
      <c r="I312" s="32" t="str">
        <f t="shared" si="2"/>
        <v/>
      </c>
      <c r="J312" s="33" t="str">
        <f t="shared" si="3"/>
        <v/>
      </c>
    </row>
    <row r="313" ht="15.75" customHeight="1">
      <c r="A313" s="22" t="s">
        <v>113</v>
      </c>
      <c r="B313" s="22" t="str">
        <f>IF(MOV_CC_NACIONAL!A313="","",MOV_CC_NACIONAL!A313)</f>
        <v/>
      </c>
      <c r="C313" s="22" t="str">
        <f>IF(MOV_CC_NACIONAL!B313="","",MOV_CC_NACIONAL!B313)</f>
        <v/>
      </c>
      <c r="D313" s="34" t="str">
        <f>IF(MOV_CC_NACIONAL!C313="","",MOV_CC_NACIONAL!C313)</f>
        <v/>
      </c>
      <c r="E313" s="22" t="str">
        <f t="shared" si="1"/>
        <v/>
      </c>
      <c r="F313" s="22" t="str">
        <f>IFERROR(__xludf.DUMMYFUNCTION("IF(C313="""","""", OR(REGEXMATCH(LOWER(C313),""cuota""), REGEXMATCH(C313,""\d+\s*/\s*\d+"")))"),"")</f>
        <v/>
      </c>
      <c r="G313" s="22" t="str">
        <f>IFERROR(__xludf.DUMMYFUNCTION("IFERROR(VALUE(REGEXEXTRACT(C313,""(\d+)\s*/\s*\d+"")),"""")"),"")</f>
        <v/>
      </c>
      <c r="H313" s="22" t="str">
        <f>IFERROR(__xludf.DUMMYFUNCTION("IFERROR(VALUE(REGEXEXTRACT(C313,""\d+\s*/\s*(\d+)"")),"""")"),"")</f>
        <v/>
      </c>
      <c r="I313" s="22" t="str">
        <f t="shared" si="2"/>
        <v/>
      </c>
      <c r="J313" s="34" t="str">
        <f t="shared" si="3"/>
        <v/>
      </c>
    </row>
    <row r="314" ht="15.75" customHeight="1">
      <c r="A314" s="32" t="s">
        <v>113</v>
      </c>
      <c r="B314" s="32" t="str">
        <f>IF(MOV_CC_NACIONAL!A314="","",MOV_CC_NACIONAL!A314)</f>
        <v/>
      </c>
      <c r="C314" s="32" t="str">
        <f>IF(MOV_CC_NACIONAL!B314="","",MOV_CC_NACIONAL!B314)</f>
        <v/>
      </c>
      <c r="D314" s="33" t="str">
        <f>IF(MOV_CC_NACIONAL!C314="","",MOV_CC_NACIONAL!C314)</f>
        <v/>
      </c>
      <c r="E314" s="32" t="str">
        <f t="shared" si="1"/>
        <v/>
      </c>
      <c r="F314" s="32" t="str">
        <f>IFERROR(__xludf.DUMMYFUNCTION("IF(C314="""","""", OR(REGEXMATCH(LOWER(C314),""cuota""), REGEXMATCH(C314,""\d+\s*/\s*\d+"")))"),"")</f>
        <v/>
      </c>
      <c r="G314" s="32" t="str">
        <f>IFERROR(__xludf.DUMMYFUNCTION("IFERROR(VALUE(REGEXEXTRACT(C314,""(\d+)\s*/\s*\d+"")),"""")"),"")</f>
        <v/>
      </c>
      <c r="H314" s="32" t="str">
        <f>IFERROR(__xludf.DUMMYFUNCTION("IFERROR(VALUE(REGEXEXTRACT(C314,""\d+\s*/\s*(\d+)"")),"""")"),"")</f>
        <v/>
      </c>
      <c r="I314" s="32" t="str">
        <f t="shared" si="2"/>
        <v/>
      </c>
      <c r="J314" s="33" t="str">
        <f t="shared" si="3"/>
        <v/>
      </c>
    </row>
    <row r="315" ht="15.75" customHeight="1">
      <c r="A315" s="22" t="s">
        <v>113</v>
      </c>
      <c r="B315" s="22" t="str">
        <f>IF(MOV_CC_NACIONAL!A315="","",MOV_CC_NACIONAL!A315)</f>
        <v/>
      </c>
      <c r="C315" s="22" t="str">
        <f>IF(MOV_CC_NACIONAL!B315="","",MOV_CC_NACIONAL!B315)</f>
        <v/>
      </c>
      <c r="D315" s="34" t="str">
        <f>IF(MOV_CC_NACIONAL!C315="","",MOV_CC_NACIONAL!C315)</f>
        <v/>
      </c>
      <c r="E315" s="22" t="str">
        <f t="shared" si="1"/>
        <v/>
      </c>
      <c r="F315" s="22" t="str">
        <f>IFERROR(__xludf.DUMMYFUNCTION("IF(C315="""","""", OR(REGEXMATCH(LOWER(C315),""cuota""), REGEXMATCH(C315,""\d+\s*/\s*\d+"")))"),"")</f>
        <v/>
      </c>
      <c r="G315" s="22" t="str">
        <f>IFERROR(__xludf.DUMMYFUNCTION("IFERROR(VALUE(REGEXEXTRACT(C315,""(\d+)\s*/\s*\d+"")),"""")"),"")</f>
        <v/>
      </c>
      <c r="H315" s="22" t="str">
        <f>IFERROR(__xludf.DUMMYFUNCTION("IFERROR(VALUE(REGEXEXTRACT(C315,""\d+\s*/\s*(\d+)"")),"""")"),"")</f>
        <v/>
      </c>
      <c r="I315" s="22" t="str">
        <f t="shared" si="2"/>
        <v/>
      </c>
      <c r="J315" s="34" t="str">
        <f t="shared" si="3"/>
        <v/>
      </c>
    </row>
    <row r="316" ht="15.75" customHeight="1">
      <c r="A316" s="32" t="s">
        <v>113</v>
      </c>
      <c r="B316" s="32" t="str">
        <f>IF(MOV_CC_NACIONAL!A316="","",MOV_CC_NACIONAL!A316)</f>
        <v/>
      </c>
      <c r="C316" s="32" t="str">
        <f>IF(MOV_CC_NACIONAL!B316="","",MOV_CC_NACIONAL!B316)</f>
        <v/>
      </c>
      <c r="D316" s="33" t="str">
        <f>IF(MOV_CC_NACIONAL!C316="","",MOV_CC_NACIONAL!C316)</f>
        <v/>
      </c>
      <c r="E316" s="32" t="str">
        <f t="shared" si="1"/>
        <v/>
      </c>
      <c r="F316" s="32" t="str">
        <f>IFERROR(__xludf.DUMMYFUNCTION("IF(C316="""","""", OR(REGEXMATCH(LOWER(C316),""cuota""), REGEXMATCH(C316,""\d+\s*/\s*\d+"")))"),"")</f>
        <v/>
      </c>
      <c r="G316" s="32" t="str">
        <f>IFERROR(__xludf.DUMMYFUNCTION("IFERROR(VALUE(REGEXEXTRACT(C316,""(\d+)\s*/\s*\d+"")),"""")"),"")</f>
        <v/>
      </c>
      <c r="H316" s="32" t="str">
        <f>IFERROR(__xludf.DUMMYFUNCTION("IFERROR(VALUE(REGEXEXTRACT(C316,""\d+\s*/\s*(\d+)"")),"""")"),"")</f>
        <v/>
      </c>
      <c r="I316" s="32" t="str">
        <f t="shared" si="2"/>
        <v/>
      </c>
      <c r="J316" s="33" t="str">
        <f t="shared" si="3"/>
        <v/>
      </c>
    </row>
    <row r="317" ht="15.75" customHeight="1">
      <c r="A317" s="22" t="s">
        <v>113</v>
      </c>
      <c r="B317" s="22" t="str">
        <f>IF(MOV_CC_NACIONAL!A317="","",MOV_CC_NACIONAL!A317)</f>
        <v/>
      </c>
      <c r="C317" s="22" t="str">
        <f>IF(MOV_CC_NACIONAL!B317="","",MOV_CC_NACIONAL!B317)</f>
        <v/>
      </c>
      <c r="D317" s="34" t="str">
        <f>IF(MOV_CC_NACIONAL!C317="","",MOV_CC_NACIONAL!C317)</f>
        <v/>
      </c>
      <c r="E317" s="22" t="str">
        <f t="shared" si="1"/>
        <v/>
      </c>
      <c r="F317" s="22" t="str">
        <f>IFERROR(__xludf.DUMMYFUNCTION("IF(C317="""","""", OR(REGEXMATCH(LOWER(C317),""cuota""), REGEXMATCH(C317,""\d+\s*/\s*\d+"")))"),"")</f>
        <v/>
      </c>
      <c r="G317" s="22" t="str">
        <f>IFERROR(__xludf.DUMMYFUNCTION("IFERROR(VALUE(REGEXEXTRACT(C317,""(\d+)\s*/\s*\d+"")),"""")"),"")</f>
        <v/>
      </c>
      <c r="H317" s="22" t="str">
        <f>IFERROR(__xludf.DUMMYFUNCTION("IFERROR(VALUE(REGEXEXTRACT(C317,""\d+\s*/\s*(\d+)"")),"""")"),"")</f>
        <v/>
      </c>
      <c r="I317" s="22" t="str">
        <f t="shared" si="2"/>
        <v/>
      </c>
      <c r="J317" s="34" t="str">
        <f t="shared" si="3"/>
        <v/>
      </c>
    </row>
    <row r="318" ht="15.75" customHeight="1">
      <c r="A318" s="32" t="s">
        <v>113</v>
      </c>
      <c r="B318" s="32" t="str">
        <f>IF(MOV_CC_NACIONAL!A318="","",MOV_CC_NACIONAL!A318)</f>
        <v/>
      </c>
      <c r="C318" s="32" t="str">
        <f>IF(MOV_CC_NACIONAL!B318="","",MOV_CC_NACIONAL!B318)</f>
        <v/>
      </c>
      <c r="D318" s="33" t="str">
        <f>IF(MOV_CC_NACIONAL!C318="","",MOV_CC_NACIONAL!C318)</f>
        <v/>
      </c>
      <c r="E318" s="32" t="str">
        <f t="shared" si="1"/>
        <v/>
      </c>
      <c r="F318" s="32" t="str">
        <f>IFERROR(__xludf.DUMMYFUNCTION("IF(C318="""","""", OR(REGEXMATCH(LOWER(C318),""cuota""), REGEXMATCH(C318,""\d+\s*/\s*\d+"")))"),"")</f>
        <v/>
      </c>
      <c r="G318" s="32" t="str">
        <f>IFERROR(__xludf.DUMMYFUNCTION("IFERROR(VALUE(REGEXEXTRACT(C318,""(\d+)\s*/\s*\d+"")),"""")"),"")</f>
        <v/>
      </c>
      <c r="H318" s="32" t="str">
        <f>IFERROR(__xludf.DUMMYFUNCTION("IFERROR(VALUE(REGEXEXTRACT(C318,""\d+\s*/\s*(\d+)"")),"""")"),"")</f>
        <v/>
      </c>
      <c r="I318" s="32" t="str">
        <f t="shared" si="2"/>
        <v/>
      </c>
      <c r="J318" s="33" t="str">
        <f t="shared" si="3"/>
        <v/>
      </c>
    </row>
    <row r="319" ht="15.75" customHeight="1">
      <c r="A319" s="22" t="s">
        <v>113</v>
      </c>
      <c r="B319" s="22" t="str">
        <f>IF(MOV_CC_NACIONAL!A319="","",MOV_CC_NACIONAL!A319)</f>
        <v/>
      </c>
      <c r="C319" s="22" t="str">
        <f>IF(MOV_CC_NACIONAL!B319="","",MOV_CC_NACIONAL!B319)</f>
        <v/>
      </c>
      <c r="D319" s="34" t="str">
        <f>IF(MOV_CC_NACIONAL!C319="","",MOV_CC_NACIONAL!C319)</f>
        <v/>
      </c>
      <c r="E319" s="22" t="str">
        <f t="shared" si="1"/>
        <v/>
      </c>
      <c r="F319" s="22" t="str">
        <f>IFERROR(__xludf.DUMMYFUNCTION("IF(C319="""","""", OR(REGEXMATCH(LOWER(C319),""cuota""), REGEXMATCH(C319,""\d+\s*/\s*\d+"")))"),"")</f>
        <v/>
      </c>
      <c r="G319" s="22" t="str">
        <f>IFERROR(__xludf.DUMMYFUNCTION("IFERROR(VALUE(REGEXEXTRACT(C319,""(\d+)\s*/\s*\d+"")),"""")"),"")</f>
        <v/>
      </c>
      <c r="H319" s="22" t="str">
        <f>IFERROR(__xludf.DUMMYFUNCTION("IFERROR(VALUE(REGEXEXTRACT(C319,""\d+\s*/\s*(\d+)"")),"""")"),"")</f>
        <v/>
      </c>
      <c r="I319" s="22" t="str">
        <f t="shared" si="2"/>
        <v/>
      </c>
      <c r="J319" s="34" t="str">
        <f t="shared" si="3"/>
        <v/>
      </c>
    </row>
    <row r="320" ht="15.75" customHeight="1">
      <c r="A320" s="32" t="s">
        <v>113</v>
      </c>
      <c r="B320" s="32" t="str">
        <f>IF(MOV_CC_NACIONAL!A320="","",MOV_CC_NACIONAL!A320)</f>
        <v/>
      </c>
      <c r="C320" s="32" t="str">
        <f>IF(MOV_CC_NACIONAL!B320="","",MOV_CC_NACIONAL!B320)</f>
        <v/>
      </c>
      <c r="D320" s="33" t="str">
        <f>IF(MOV_CC_NACIONAL!C320="","",MOV_CC_NACIONAL!C320)</f>
        <v/>
      </c>
      <c r="E320" s="32" t="str">
        <f t="shared" si="1"/>
        <v/>
      </c>
      <c r="F320" s="32" t="str">
        <f>IFERROR(__xludf.DUMMYFUNCTION("IF(C320="""","""", OR(REGEXMATCH(LOWER(C320),""cuota""), REGEXMATCH(C320,""\d+\s*/\s*\d+"")))"),"")</f>
        <v/>
      </c>
      <c r="G320" s="32" t="str">
        <f>IFERROR(__xludf.DUMMYFUNCTION("IFERROR(VALUE(REGEXEXTRACT(C320,""(\d+)\s*/\s*\d+"")),"""")"),"")</f>
        <v/>
      </c>
      <c r="H320" s="32" t="str">
        <f>IFERROR(__xludf.DUMMYFUNCTION("IFERROR(VALUE(REGEXEXTRACT(C320,""\d+\s*/\s*(\d+)"")),"""")"),"")</f>
        <v/>
      </c>
      <c r="I320" s="32" t="str">
        <f t="shared" si="2"/>
        <v/>
      </c>
      <c r="J320" s="33" t="str">
        <f t="shared" si="3"/>
        <v/>
      </c>
    </row>
    <row r="321" ht="15.75" customHeight="1">
      <c r="A321" s="22" t="s">
        <v>113</v>
      </c>
      <c r="B321" s="22" t="str">
        <f>IF(MOV_CC_NACIONAL!A321="","",MOV_CC_NACIONAL!A321)</f>
        <v/>
      </c>
      <c r="C321" s="22" t="str">
        <f>IF(MOV_CC_NACIONAL!B321="","",MOV_CC_NACIONAL!B321)</f>
        <v/>
      </c>
      <c r="D321" s="34" t="str">
        <f>IF(MOV_CC_NACIONAL!C321="","",MOV_CC_NACIONAL!C321)</f>
        <v/>
      </c>
      <c r="E321" s="22" t="str">
        <f t="shared" si="1"/>
        <v/>
      </c>
      <c r="F321" s="22" t="str">
        <f>IFERROR(__xludf.DUMMYFUNCTION("IF(C321="""","""", OR(REGEXMATCH(LOWER(C321),""cuota""), REGEXMATCH(C321,""\d+\s*/\s*\d+"")))"),"")</f>
        <v/>
      </c>
      <c r="G321" s="22" t="str">
        <f>IFERROR(__xludf.DUMMYFUNCTION("IFERROR(VALUE(REGEXEXTRACT(C321,""(\d+)\s*/\s*\d+"")),"""")"),"")</f>
        <v/>
      </c>
      <c r="H321" s="22" t="str">
        <f>IFERROR(__xludf.DUMMYFUNCTION("IFERROR(VALUE(REGEXEXTRACT(C321,""\d+\s*/\s*(\d+)"")),"""")"),"")</f>
        <v/>
      </c>
      <c r="I321" s="22" t="str">
        <f t="shared" si="2"/>
        <v/>
      </c>
      <c r="J321" s="34" t="str">
        <f t="shared" si="3"/>
        <v/>
      </c>
    </row>
    <row r="322" ht="15.75" customHeight="1">
      <c r="A322" s="32" t="s">
        <v>113</v>
      </c>
      <c r="B322" s="32" t="str">
        <f>IF(MOV_CC_NACIONAL!A322="","",MOV_CC_NACIONAL!A322)</f>
        <v/>
      </c>
      <c r="C322" s="32" t="str">
        <f>IF(MOV_CC_NACIONAL!B322="","",MOV_CC_NACIONAL!B322)</f>
        <v/>
      </c>
      <c r="D322" s="33" t="str">
        <f>IF(MOV_CC_NACIONAL!C322="","",MOV_CC_NACIONAL!C322)</f>
        <v/>
      </c>
      <c r="E322" s="32" t="str">
        <f t="shared" si="1"/>
        <v/>
      </c>
      <c r="F322" s="32" t="str">
        <f>IFERROR(__xludf.DUMMYFUNCTION("IF(C322="""","""", OR(REGEXMATCH(LOWER(C322),""cuota""), REGEXMATCH(C322,""\d+\s*/\s*\d+"")))"),"")</f>
        <v/>
      </c>
      <c r="G322" s="32" t="str">
        <f>IFERROR(__xludf.DUMMYFUNCTION("IFERROR(VALUE(REGEXEXTRACT(C322,""(\d+)\s*/\s*\d+"")),"""")"),"")</f>
        <v/>
      </c>
      <c r="H322" s="32" t="str">
        <f>IFERROR(__xludf.DUMMYFUNCTION("IFERROR(VALUE(REGEXEXTRACT(C322,""\d+\s*/\s*(\d+)"")),"""")"),"")</f>
        <v/>
      </c>
      <c r="I322" s="32" t="str">
        <f t="shared" si="2"/>
        <v/>
      </c>
      <c r="J322" s="33" t="str">
        <f t="shared" si="3"/>
        <v/>
      </c>
    </row>
    <row r="323" ht="15.75" customHeight="1">
      <c r="A323" s="22" t="s">
        <v>113</v>
      </c>
      <c r="B323" s="22" t="str">
        <f>IF(MOV_CC_NACIONAL!A323="","",MOV_CC_NACIONAL!A323)</f>
        <v/>
      </c>
      <c r="C323" s="22" t="str">
        <f>IF(MOV_CC_NACIONAL!B323="","",MOV_CC_NACIONAL!B323)</f>
        <v/>
      </c>
      <c r="D323" s="34" t="str">
        <f>IF(MOV_CC_NACIONAL!C323="","",MOV_CC_NACIONAL!C323)</f>
        <v/>
      </c>
      <c r="E323" s="22" t="str">
        <f t="shared" si="1"/>
        <v/>
      </c>
      <c r="F323" s="22" t="str">
        <f>IFERROR(__xludf.DUMMYFUNCTION("IF(C323="""","""", OR(REGEXMATCH(LOWER(C323),""cuota""), REGEXMATCH(C323,""\d+\s*/\s*\d+"")))"),"")</f>
        <v/>
      </c>
      <c r="G323" s="22" t="str">
        <f>IFERROR(__xludf.DUMMYFUNCTION("IFERROR(VALUE(REGEXEXTRACT(C323,""(\d+)\s*/\s*\d+"")),"""")"),"")</f>
        <v/>
      </c>
      <c r="H323" s="22" t="str">
        <f>IFERROR(__xludf.DUMMYFUNCTION("IFERROR(VALUE(REGEXEXTRACT(C323,""\d+\s*/\s*(\d+)"")),"""")"),"")</f>
        <v/>
      </c>
      <c r="I323" s="22" t="str">
        <f t="shared" si="2"/>
        <v/>
      </c>
      <c r="J323" s="34" t="str">
        <f t="shared" si="3"/>
        <v/>
      </c>
    </row>
    <row r="324" ht="15.75" customHeight="1">
      <c r="A324" s="32" t="s">
        <v>113</v>
      </c>
      <c r="B324" s="32" t="str">
        <f>IF(MOV_CC_NACIONAL!A324="","",MOV_CC_NACIONAL!A324)</f>
        <v/>
      </c>
      <c r="C324" s="32" t="str">
        <f>IF(MOV_CC_NACIONAL!B324="","",MOV_CC_NACIONAL!B324)</f>
        <v/>
      </c>
      <c r="D324" s="33" t="str">
        <f>IF(MOV_CC_NACIONAL!C324="","",MOV_CC_NACIONAL!C324)</f>
        <v/>
      </c>
      <c r="E324" s="32" t="str">
        <f t="shared" si="1"/>
        <v/>
      </c>
      <c r="F324" s="32" t="str">
        <f>IFERROR(__xludf.DUMMYFUNCTION("IF(C324="""","""", OR(REGEXMATCH(LOWER(C324),""cuota""), REGEXMATCH(C324,""\d+\s*/\s*\d+"")))"),"")</f>
        <v/>
      </c>
      <c r="G324" s="32" t="str">
        <f>IFERROR(__xludf.DUMMYFUNCTION("IFERROR(VALUE(REGEXEXTRACT(C324,""(\d+)\s*/\s*\d+"")),"""")"),"")</f>
        <v/>
      </c>
      <c r="H324" s="32" t="str">
        <f>IFERROR(__xludf.DUMMYFUNCTION("IFERROR(VALUE(REGEXEXTRACT(C324,""\d+\s*/\s*(\d+)"")),"""")"),"")</f>
        <v/>
      </c>
      <c r="I324" s="32" t="str">
        <f t="shared" si="2"/>
        <v/>
      </c>
      <c r="J324" s="33" t="str">
        <f t="shared" si="3"/>
        <v/>
      </c>
    </row>
    <row r="325" ht="15.75" customHeight="1">
      <c r="A325" s="22" t="s">
        <v>113</v>
      </c>
      <c r="B325" s="22" t="str">
        <f>IF(MOV_CC_NACIONAL!A325="","",MOV_CC_NACIONAL!A325)</f>
        <v/>
      </c>
      <c r="C325" s="22" t="str">
        <f>IF(MOV_CC_NACIONAL!B325="","",MOV_CC_NACIONAL!B325)</f>
        <v/>
      </c>
      <c r="D325" s="34" t="str">
        <f>IF(MOV_CC_NACIONAL!C325="","",MOV_CC_NACIONAL!C325)</f>
        <v/>
      </c>
      <c r="E325" s="22" t="str">
        <f t="shared" si="1"/>
        <v/>
      </c>
      <c r="F325" s="22" t="str">
        <f>IFERROR(__xludf.DUMMYFUNCTION("IF(C325="""","""", OR(REGEXMATCH(LOWER(C325),""cuota""), REGEXMATCH(C325,""\d+\s*/\s*\d+"")))"),"")</f>
        <v/>
      </c>
      <c r="G325" s="22" t="str">
        <f>IFERROR(__xludf.DUMMYFUNCTION("IFERROR(VALUE(REGEXEXTRACT(C325,""(\d+)\s*/\s*\d+"")),"""")"),"")</f>
        <v/>
      </c>
      <c r="H325" s="22" t="str">
        <f>IFERROR(__xludf.DUMMYFUNCTION("IFERROR(VALUE(REGEXEXTRACT(C325,""\d+\s*/\s*(\d+)"")),"""")"),"")</f>
        <v/>
      </c>
      <c r="I325" s="22" t="str">
        <f t="shared" si="2"/>
        <v/>
      </c>
      <c r="J325" s="34" t="str">
        <f t="shared" si="3"/>
        <v/>
      </c>
    </row>
    <row r="326" ht="15.75" customHeight="1">
      <c r="A326" s="32" t="s">
        <v>113</v>
      </c>
      <c r="B326" s="32" t="str">
        <f>IF(MOV_CC_NACIONAL!A326="","",MOV_CC_NACIONAL!A326)</f>
        <v/>
      </c>
      <c r="C326" s="32" t="str">
        <f>IF(MOV_CC_NACIONAL!B326="","",MOV_CC_NACIONAL!B326)</f>
        <v/>
      </c>
      <c r="D326" s="33" t="str">
        <f>IF(MOV_CC_NACIONAL!C326="","",MOV_CC_NACIONAL!C326)</f>
        <v/>
      </c>
      <c r="E326" s="32" t="str">
        <f t="shared" si="1"/>
        <v/>
      </c>
      <c r="F326" s="32" t="str">
        <f>IFERROR(__xludf.DUMMYFUNCTION("IF(C326="""","""", OR(REGEXMATCH(LOWER(C326),""cuota""), REGEXMATCH(C326,""\d+\s*/\s*\d+"")))"),"")</f>
        <v/>
      </c>
      <c r="G326" s="32" t="str">
        <f>IFERROR(__xludf.DUMMYFUNCTION("IFERROR(VALUE(REGEXEXTRACT(C326,""(\d+)\s*/\s*\d+"")),"""")"),"")</f>
        <v/>
      </c>
      <c r="H326" s="32" t="str">
        <f>IFERROR(__xludf.DUMMYFUNCTION("IFERROR(VALUE(REGEXEXTRACT(C326,""\d+\s*/\s*(\d+)"")),"""")"),"")</f>
        <v/>
      </c>
      <c r="I326" s="32" t="str">
        <f t="shared" si="2"/>
        <v/>
      </c>
      <c r="J326" s="33" t="str">
        <f t="shared" si="3"/>
        <v/>
      </c>
    </row>
    <row r="327" ht="15.75" customHeight="1">
      <c r="A327" s="22" t="s">
        <v>113</v>
      </c>
      <c r="B327" s="22" t="str">
        <f>IF(MOV_CC_NACIONAL!A327="","",MOV_CC_NACIONAL!A327)</f>
        <v/>
      </c>
      <c r="C327" s="22" t="str">
        <f>IF(MOV_CC_NACIONAL!B327="","",MOV_CC_NACIONAL!B327)</f>
        <v/>
      </c>
      <c r="D327" s="34" t="str">
        <f>IF(MOV_CC_NACIONAL!C327="","",MOV_CC_NACIONAL!C327)</f>
        <v/>
      </c>
      <c r="E327" s="22" t="str">
        <f t="shared" si="1"/>
        <v/>
      </c>
      <c r="F327" s="22" t="str">
        <f>IFERROR(__xludf.DUMMYFUNCTION("IF(C327="""","""", OR(REGEXMATCH(LOWER(C327),""cuota""), REGEXMATCH(C327,""\d+\s*/\s*\d+"")))"),"")</f>
        <v/>
      </c>
      <c r="G327" s="22" t="str">
        <f>IFERROR(__xludf.DUMMYFUNCTION("IFERROR(VALUE(REGEXEXTRACT(C327,""(\d+)\s*/\s*\d+"")),"""")"),"")</f>
        <v/>
      </c>
      <c r="H327" s="22" t="str">
        <f>IFERROR(__xludf.DUMMYFUNCTION("IFERROR(VALUE(REGEXEXTRACT(C327,""\d+\s*/\s*(\d+)"")),"""")"),"")</f>
        <v/>
      </c>
      <c r="I327" s="22" t="str">
        <f t="shared" si="2"/>
        <v/>
      </c>
      <c r="J327" s="34" t="str">
        <f t="shared" si="3"/>
        <v/>
      </c>
    </row>
    <row r="328" ht="15.75" customHeight="1">
      <c r="A328" s="32" t="s">
        <v>113</v>
      </c>
      <c r="B328" s="32" t="str">
        <f>IF(MOV_CC_NACIONAL!A328="","",MOV_CC_NACIONAL!A328)</f>
        <v/>
      </c>
      <c r="C328" s="32" t="str">
        <f>IF(MOV_CC_NACIONAL!B328="","",MOV_CC_NACIONAL!B328)</f>
        <v/>
      </c>
      <c r="D328" s="33" t="str">
        <f>IF(MOV_CC_NACIONAL!C328="","",MOV_CC_NACIONAL!C328)</f>
        <v/>
      </c>
      <c r="E328" s="32" t="str">
        <f t="shared" si="1"/>
        <v/>
      </c>
      <c r="F328" s="32" t="str">
        <f>IFERROR(__xludf.DUMMYFUNCTION("IF(C328="""","""", OR(REGEXMATCH(LOWER(C328),""cuota""), REGEXMATCH(C328,""\d+\s*/\s*\d+"")))"),"")</f>
        <v/>
      </c>
      <c r="G328" s="32" t="str">
        <f>IFERROR(__xludf.DUMMYFUNCTION("IFERROR(VALUE(REGEXEXTRACT(C328,""(\d+)\s*/\s*\d+"")),"""")"),"")</f>
        <v/>
      </c>
      <c r="H328" s="32" t="str">
        <f>IFERROR(__xludf.DUMMYFUNCTION("IFERROR(VALUE(REGEXEXTRACT(C328,""\d+\s*/\s*(\d+)"")),"""")"),"")</f>
        <v/>
      </c>
      <c r="I328" s="32" t="str">
        <f t="shared" si="2"/>
        <v/>
      </c>
      <c r="J328" s="33" t="str">
        <f t="shared" si="3"/>
        <v/>
      </c>
    </row>
    <row r="329" ht="15.75" customHeight="1">
      <c r="A329" s="22" t="s">
        <v>113</v>
      </c>
      <c r="B329" s="22" t="str">
        <f>IF(MOV_CC_NACIONAL!A329="","",MOV_CC_NACIONAL!A329)</f>
        <v/>
      </c>
      <c r="C329" s="22" t="str">
        <f>IF(MOV_CC_NACIONAL!B329="","",MOV_CC_NACIONAL!B329)</f>
        <v/>
      </c>
      <c r="D329" s="34" t="str">
        <f>IF(MOV_CC_NACIONAL!C329="","",MOV_CC_NACIONAL!C329)</f>
        <v/>
      </c>
      <c r="E329" s="22" t="str">
        <f t="shared" si="1"/>
        <v/>
      </c>
      <c r="F329" s="22" t="str">
        <f>IFERROR(__xludf.DUMMYFUNCTION("IF(C329="""","""", OR(REGEXMATCH(LOWER(C329),""cuota""), REGEXMATCH(C329,""\d+\s*/\s*\d+"")))"),"")</f>
        <v/>
      </c>
      <c r="G329" s="22" t="str">
        <f>IFERROR(__xludf.DUMMYFUNCTION("IFERROR(VALUE(REGEXEXTRACT(C329,""(\d+)\s*/\s*\d+"")),"""")"),"")</f>
        <v/>
      </c>
      <c r="H329" s="22" t="str">
        <f>IFERROR(__xludf.DUMMYFUNCTION("IFERROR(VALUE(REGEXEXTRACT(C329,""\d+\s*/\s*(\d+)"")),"""")"),"")</f>
        <v/>
      </c>
      <c r="I329" s="22" t="str">
        <f t="shared" si="2"/>
        <v/>
      </c>
      <c r="J329" s="34" t="str">
        <f t="shared" si="3"/>
        <v/>
      </c>
    </row>
    <row r="330" ht="15.75" customHeight="1">
      <c r="A330" s="32" t="s">
        <v>113</v>
      </c>
      <c r="B330" s="32" t="str">
        <f>IF(MOV_CC_NACIONAL!A330="","",MOV_CC_NACIONAL!A330)</f>
        <v/>
      </c>
      <c r="C330" s="32" t="str">
        <f>IF(MOV_CC_NACIONAL!B330="","",MOV_CC_NACIONAL!B330)</f>
        <v/>
      </c>
      <c r="D330" s="33" t="str">
        <f>IF(MOV_CC_NACIONAL!C330="","",MOV_CC_NACIONAL!C330)</f>
        <v/>
      </c>
      <c r="E330" s="32" t="str">
        <f t="shared" si="1"/>
        <v/>
      </c>
      <c r="F330" s="32" t="str">
        <f>IFERROR(__xludf.DUMMYFUNCTION("IF(C330="""","""", OR(REGEXMATCH(LOWER(C330),""cuota""), REGEXMATCH(C330,""\d+\s*/\s*\d+"")))"),"")</f>
        <v/>
      </c>
      <c r="G330" s="32" t="str">
        <f>IFERROR(__xludf.DUMMYFUNCTION("IFERROR(VALUE(REGEXEXTRACT(C330,""(\d+)\s*/\s*\d+"")),"""")"),"")</f>
        <v/>
      </c>
      <c r="H330" s="32" t="str">
        <f>IFERROR(__xludf.DUMMYFUNCTION("IFERROR(VALUE(REGEXEXTRACT(C330,""\d+\s*/\s*(\d+)"")),"""")"),"")</f>
        <v/>
      </c>
      <c r="I330" s="32" t="str">
        <f t="shared" si="2"/>
        <v/>
      </c>
      <c r="J330" s="33" t="str">
        <f t="shared" si="3"/>
        <v/>
      </c>
    </row>
    <row r="331" ht="15.75" customHeight="1">
      <c r="A331" s="22" t="s">
        <v>113</v>
      </c>
      <c r="B331" s="22" t="str">
        <f>IF(MOV_CC_NACIONAL!A331="","",MOV_CC_NACIONAL!A331)</f>
        <v/>
      </c>
      <c r="C331" s="22" t="str">
        <f>IF(MOV_CC_NACIONAL!B331="","",MOV_CC_NACIONAL!B331)</f>
        <v/>
      </c>
      <c r="D331" s="34" t="str">
        <f>IF(MOV_CC_NACIONAL!C331="","",MOV_CC_NACIONAL!C331)</f>
        <v/>
      </c>
      <c r="E331" s="22" t="str">
        <f t="shared" si="1"/>
        <v/>
      </c>
      <c r="F331" s="22" t="str">
        <f>IFERROR(__xludf.DUMMYFUNCTION("IF(C331="""","""", OR(REGEXMATCH(LOWER(C331),""cuota""), REGEXMATCH(C331,""\d+\s*/\s*\d+"")))"),"")</f>
        <v/>
      </c>
      <c r="G331" s="22" t="str">
        <f>IFERROR(__xludf.DUMMYFUNCTION("IFERROR(VALUE(REGEXEXTRACT(C331,""(\d+)\s*/\s*\d+"")),"""")"),"")</f>
        <v/>
      </c>
      <c r="H331" s="22" t="str">
        <f>IFERROR(__xludf.DUMMYFUNCTION("IFERROR(VALUE(REGEXEXTRACT(C331,""\d+\s*/\s*(\d+)"")),"""")"),"")</f>
        <v/>
      </c>
      <c r="I331" s="22" t="str">
        <f t="shared" si="2"/>
        <v/>
      </c>
      <c r="J331" s="34" t="str">
        <f t="shared" si="3"/>
        <v/>
      </c>
    </row>
    <row r="332" ht="15.75" customHeight="1">
      <c r="A332" s="32" t="s">
        <v>113</v>
      </c>
      <c r="B332" s="32" t="str">
        <f>IF(MOV_CC_NACIONAL!A332="","",MOV_CC_NACIONAL!A332)</f>
        <v/>
      </c>
      <c r="C332" s="32" t="str">
        <f>IF(MOV_CC_NACIONAL!B332="","",MOV_CC_NACIONAL!B332)</f>
        <v/>
      </c>
      <c r="D332" s="33" t="str">
        <f>IF(MOV_CC_NACIONAL!C332="","",MOV_CC_NACIONAL!C332)</f>
        <v/>
      </c>
      <c r="E332" s="32" t="str">
        <f t="shared" si="1"/>
        <v/>
      </c>
      <c r="F332" s="32" t="str">
        <f>IFERROR(__xludf.DUMMYFUNCTION("IF(C332="""","""", OR(REGEXMATCH(LOWER(C332),""cuota""), REGEXMATCH(C332,""\d+\s*/\s*\d+"")))"),"")</f>
        <v/>
      </c>
      <c r="G332" s="32" t="str">
        <f>IFERROR(__xludf.DUMMYFUNCTION("IFERROR(VALUE(REGEXEXTRACT(C332,""(\d+)\s*/\s*\d+"")),"""")"),"")</f>
        <v/>
      </c>
      <c r="H332" s="32" t="str">
        <f>IFERROR(__xludf.DUMMYFUNCTION("IFERROR(VALUE(REGEXEXTRACT(C332,""\d+\s*/\s*(\d+)"")),"""")"),"")</f>
        <v/>
      </c>
      <c r="I332" s="32" t="str">
        <f t="shared" si="2"/>
        <v/>
      </c>
      <c r="J332" s="33" t="str">
        <f t="shared" si="3"/>
        <v/>
      </c>
    </row>
    <row r="333" ht="15.75" customHeight="1">
      <c r="A333" s="22" t="s">
        <v>113</v>
      </c>
      <c r="B333" s="22" t="str">
        <f>IF(MOV_CC_NACIONAL!A333="","",MOV_CC_NACIONAL!A333)</f>
        <v/>
      </c>
      <c r="C333" s="22" t="str">
        <f>IF(MOV_CC_NACIONAL!B333="","",MOV_CC_NACIONAL!B333)</f>
        <v/>
      </c>
      <c r="D333" s="34" t="str">
        <f>IF(MOV_CC_NACIONAL!C333="","",MOV_CC_NACIONAL!C333)</f>
        <v/>
      </c>
      <c r="E333" s="22" t="str">
        <f t="shared" si="1"/>
        <v/>
      </c>
      <c r="F333" s="22" t="str">
        <f>IFERROR(__xludf.DUMMYFUNCTION("IF(C333="""","""", OR(REGEXMATCH(LOWER(C333),""cuota""), REGEXMATCH(C333,""\d+\s*/\s*\d+"")))"),"")</f>
        <v/>
      </c>
      <c r="G333" s="22" t="str">
        <f>IFERROR(__xludf.DUMMYFUNCTION("IFERROR(VALUE(REGEXEXTRACT(C333,""(\d+)\s*/\s*\d+"")),"""")"),"")</f>
        <v/>
      </c>
      <c r="H333" s="22" t="str">
        <f>IFERROR(__xludf.DUMMYFUNCTION("IFERROR(VALUE(REGEXEXTRACT(C333,""\d+\s*/\s*(\d+)"")),"""")"),"")</f>
        <v/>
      </c>
      <c r="I333" s="22" t="str">
        <f t="shared" si="2"/>
        <v/>
      </c>
      <c r="J333" s="34" t="str">
        <f t="shared" si="3"/>
        <v/>
      </c>
    </row>
    <row r="334" ht="15.75" customHeight="1">
      <c r="A334" s="32" t="s">
        <v>113</v>
      </c>
      <c r="B334" s="32" t="str">
        <f>IF(MOV_CC_NACIONAL!A334="","",MOV_CC_NACIONAL!A334)</f>
        <v/>
      </c>
      <c r="C334" s="32" t="str">
        <f>IF(MOV_CC_NACIONAL!B334="","",MOV_CC_NACIONAL!B334)</f>
        <v/>
      </c>
      <c r="D334" s="33" t="str">
        <f>IF(MOV_CC_NACIONAL!C334="","",MOV_CC_NACIONAL!C334)</f>
        <v/>
      </c>
      <c r="E334" s="32" t="str">
        <f t="shared" si="1"/>
        <v/>
      </c>
      <c r="F334" s="32" t="str">
        <f>IFERROR(__xludf.DUMMYFUNCTION("IF(C334="""","""", OR(REGEXMATCH(LOWER(C334),""cuota""), REGEXMATCH(C334,""\d+\s*/\s*\d+"")))"),"")</f>
        <v/>
      </c>
      <c r="G334" s="32" t="str">
        <f>IFERROR(__xludf.DUMMYFUNCTION("IFERROR(VALUE(REGEXEXTRACT(C334,""(\d+)\s*/\s*\d+"")),"""")"),"")</f>
        <v/>
      </c>
      <c r="H334" s="32" t="str">
        <f>IFERROR(__xludf.DUMMYFUNCTION("IFERROR(VALUE(REGEXEXTRACT(C334,""\d+\s*/\s*(\d+)"")),"""")"),"")</f>
        <v/>
      </c>
      <c r="I334" s="32" t="str">
        <f t="shared" si="2"/>
        <v/>
      </c>
      <c r="J334" s="33" t="str">
        <f t="shared" si="3"/>
        <v/>
      </c>
    </row>
    <row r="335" ht="15.75" customHeight="1">
      <c r="A335" s="22" t="s">
        <v>113</v>
      </c>
      <c r="B335" s="22" t="str">
        <f>IF(MOV_CC_NACIONAL!A335="","",MOV_CC_NACIONAL!A335)</f>
        <v/>
      </c>
      <c r="C335" s="22" t="str">
        <f>IF(MOV_CC_NACIONAL!B335="","",MOV_CC_NACIONAL!B335)</f>
        <v/>
      </c>
      <c r="D335" s="34" t="str">
        <f>IF(MOV_CC_NACIONAL!C335="","",MOV_CC_NACIONAL!C335)</f>
        <v/>
      </c>
      <c r="E335" s="22" t="str">
        <f t="shared" si="1"/>
        <v/>
      </c>
      <c r="F335" s="22" t="str">
        <f>IFERROR(__xludf.DUMMYFUNCTION("IF(C335="""","""", OR(REGEXMATCH(LOWER(C335),""cuota""), REGEXMATCH(C335,""\d+\s*/\s*\d+"")))"),"")</f>
        <v/>
      </c>
      <c r="G335" s="22" t="str">
        <f>IFERROR(__xludf.DUMMYFUNCTION("IFERROR(VALUE(REGEXEXTRACT(C335,""(\d+)\s*/\s*\d+"")),"""")"),"")</f>
        <v/>
      </c>
      <c r="H335" s="22" t="str">
        <f>IFERROR(__xludf.DUMMYFUNCTION("IFERROR(VALUE(REGEXEXTRACT(C335,""\d+\s*/\s*(\d+)"")),"""")"),"")</f>
        <v/>
      </c>
      <c r="I335" s="22" t="str">
        <f t="shared" si="2"/>
        <v/>
      </c>
      <c r="J335" s="34" t="str">
        <f t="shared" si="3"/>
        <v/>
      </c>
    </row>
    <row r="336" ht="15.75" customHeight="1">
      <c r="A336" s="32" t="s">
        <v>113</v>
      </c>
      <c r="B336" s="32" t="str">
        <f>IF(MOV_CC_NACIONAL!A336="","",MOV_CC_NACIONAL!A336)</f>
        <v/>
      </c>
      <c r="C336" s="32" t="str">
        <f>IF(MOV_CC_NACIONAL!B336="","",MOV_CC_NACIONAL!B336)</f>
        <v/>
      </c>
      <c r="D336" s="33" t="str">
        <f>IF(MOV_CC_NACIONAL!C336="","",MOV_CC_NACIONAL!C336)</f>
        <v/>
      </c>
      <c r="E336" s="32" t="str">
        <f t="shared" si="1"/>
        <v/>
      </c>
      <c r="F336" s="32" t="str">
        <f>IFERROR(__xludf.DUMMYFUNCTION("IF(C336="""","""", OR(REGEXMATCH(LOWER(C336),""cuota""), REGEXMATCH(C336,""\d+\s*/\s*\d+"")))"),"")</f>
        <v/>
      </c>
      <c r="G336" s="32" t="str">
        <f>IFERROR(__xludf.DUMMYFUNCTION("IFERROR(VALUE(REGEXEXTRACT(C336,""(\d+)\s*/\s*\d+"")),"""")"),"")</f>
        <v/>
      </c>
      <c r="H336" s="32" t="str">
        <f>IFERROR(__xludf.DUMMYFUNCTION("IFERROR(VALUE(REGEXEXTRACT(C336,""\d+\s*/\s*(\d+)"")),"""")"),"")</f>
        <v/>
      </c>
      <c r="I336" s="32" t="str">
        <f t="shared" si="2"/>
        <v/>
      </c>
      <c r="J336" s="33" t="str">
        <f t="shared" si="3"/>
        <v/>
      </c>
    </row>
    <row r="337" ht="15.75" customHeight="1">
      <c r="A337" s="22" t="s">
        <v>113</v>
      </c>
      <c r="B337" s="22" t="str">
        <f>IF(MOV_CC_NACIONAL!A337="","",MOV_CC_NACIONAL!A337)</f>
        <v/>
      </c>
      <c r="C337" s="22" t="str">
        <f>IF(MOV_CC_NACIONAL!B337="","",MOV_CC_NACIONAL!B337)</f>
        <v/>
      </c>
      <c r="D337" s="34" t="str">
        <f>IF(MOV_CC_NACIONAL!C337="","",MOV_CC_NACIONAL!C337)</f>
        <v/>
      </c>
      <c r="E337" s="22" t="str">
        <f t="shared" si="1"/>
        <v/>
      </c>
      <c r="F337" s="22" t="str">
        <f>IFERROR(__xludf.DUMMYFUNCTION("IF(C337="""","""", OR(REGEXMATCH(LOWER(C337),""cuota""), REGEXMATCH(C337,""\d+\s*/\s*\d+"")))"),"")</f>
        <v/>
      </c>
      <c r="G337" s="22" t="str">
        <f>IFERROR(__xludf.DUMMYFUNCTION("IFERROR(VALUE(REGEXEXTRACT(C337,""(\d+)\s*/\s*\d+"")),"""")"),"")</f>
        <v/>
      </c>
      <c r="H337" s="22" t="str">
        <f>IFERROR(__xludf.DUMMYFUNCTION("IFERROR(VALUE(REGEXEXTRACT(C337,""\d+\s*/\s*(\d+)"")),"""")"),"")</f>
        <v/>
      </c>
      <c r="I337" s="22" t="str">
        <f t="shared" si="2"/>
        <v/>
      </c>
      <c r="J337" s="34" t="str">
        <f t="shared" si="3"/>
        <v/>
      </c>
    </row>
    <row r="338" ht="15.75" customHeight="1">
      <c r="A338" s="32" t="s">
        <v>113</v>
      </c>
      <c r="B338" s="32" t="str">
        <f>IF(MOV_CC_NACIONAL!A338="","",MOV_CC_NACIONAL!A338)</f>
        <v/>
      </c>
      <c r="C338" s="32" t="str">
        <f>IF(MOV_CC_NACIONAL!B338="","",MOV_CC_NACIONAL!B338)</f>
        <v/>
      </c>
      <c r="D338" s="33" t="str">
        <f>IF(MOV_CC_NACIONAL!C338="","",MOV_CC_NACIONAL!C338)</f>
        <v/>
      </c>
      <c r="E338" s="32" t="str">
        <f t="shared" si="1"/>
        <v/>
      </c>
      <c r="F338" s="32" t="str">
        <f>IFERROR(__xludf.DUMMYFUNCTION("IF(C338="""","""", OR(REGEXMATCH(LOWER(C338),""cuota""), REGEXMATCH(C338,""\d+\s*/\s*\d+"")))"),"")</f>
        <v/>
      </c>
      <c r="G338" s="32" t="str">
        <f>IFERROR(__xludf.DUMMYFUNCTION("IFERROR(VALUE(REGEXEXTRACT(C338,""(\d+)\s*/\s*\d+"")),"""")"),"")</f>
        <v/>
      </c>
      <c r="H338" s="32" t="str">
        <f>IFERROR(__xludf.DUMMYFUNCTION("IFERROR(VALUE(REGEXEXTRACT(C338,""\d+\s*/\s*(\d+)"")),"""")"),"")</f>
        <v/>
      </c>
      <c r="I338" s="32" t="str">
        <f t="shared" si="2"/>
        <v/>
      </c>
      <c r="J338" s="33" t="str">
        <f t="shared" si="3"/>
        <v/>
      </c>
    </row>
    <row r="339" ht="15.75" customHeight="1">
      <c r="A339" s="22" t="s">
        <v>113</v>
      </c>
      <c r="B339" s="22" t="str">
        <f>IF(MOV_CC_NACIONAL!A339="","",MOV_CC_NACIONAL!A339)</f>
        <v/>
      </c>
      <c r="C339" s="22" t="str">
        <f>IF(MOV_CC_NACIONAL!B339="","",MOV_CC_NACIONAL!B339)</f>
        <v/>
      </c>
      <c r="D339" s="34" t="str">
        <f>IF(MOV_CC_NACIONAL!C339="","",MOV_CC_NACIONAL!C339)</f>
        <v/>
      </c>
      <c r="E339" s="22" t="str">
        <f t="shared" si="1"/>
        <v/>
      </c>
      <c r="F339" s="22" t="str">
        <f>IFERROR(__xludf.DUMMYFUNCTION("IF(C339="""","""", OR(REGEXMATCH(LOWER(C339),""cuota""), REGEXMATCH(C339,""\d+\s*/\s*\d+"")))"),"")</f>
        <v/>
      </c>
      <c r="G339" s="22" t="str">
        <f>IFERROR(__xludf.DUMMYFUNCTION("IFERROR(VALUE(REGEXEXTRACT(C339,""(\d+)\s*/\s*\d+"")),"""")"),"")</f>
        <v/>
      </c>
      <c r="H339" s="22" t="str">
        <f>IFERROR(__xludf.DUMMYFUNCTION("IFERROR(VALUE(REGEXEXTRACT(C339,""\d+\s*/\s*(\d+)"")),"""")"),"")</f>
        <v/>
      </c>
      <c r="I339" s="22" t="str">
        <f t="shared" si="2"/>
        <v/>
      </c>
      <c r="J339" s="34" t="str">
        <f t="shared" si="3"/>
        <v/>
      </c>
    </row>
    <row r="340" ht="15.75" customHeight="1">
      <c r="A340" s="32" t="s">
        <v>113</v>
      </c>
      <c r="B340" s="32" t="str">
        <f>IF(MOV_CC_NACIONAL!A340="","",MOV_CC_NACIONAL!A340)</f>
        <v/>
      </c>
      <c r="C340" s="32" t="str">
        <f>IF(MOV_CC_NACIONAL!B340="","",MOV_CC_NACIONAL!B340)</f>
        <v/>
      </c>
      <c r="D340" s="33" t="str">
        <f>IF(MOV_CC_NACIONAL!C340="","",MOV_CC_NACIONAL!C340)</f>
        <v/>
      </c>
      <c r="E340" s="32" t="str">
        <f t="shared" si="1"/>
        <v/>
      </c>
      <c r="F340" s="32" t="str">
        <f>IFERROR(__xludf.DUMMYFUNCTION("IF(C340="""","""", OR(REGEXMATCH(LOWER(C340),""cuota""), REGEXMATCH(C340,""\d+\s*/\s*\d+"")))"),"")</f>
        <v/>
      </c>
      <c r="G340" s="32" t="str">
        <f>IFERROR(__xludf.DUMMYFUNCTION("IFERROR(VALUE(REGEXEXTRACT(C340,""(\d+)\s*/\s*\d+"")),"""")"),"")</f>
        <v/>
      </c>
      <c r="H340" s="32" t="str">
        <f>IFERROR(__xludf.DUMMYFUNCTION("IFERROR(VALUE(REGEXEXTRACT(C340,""\d+\s*/\s*(\d+)"")),"""")"),"")</f>
        <v/>
      </c>
      <c r="I340" s="32" t="str">
        <f t="shared" si="2"/>
        <v/>
      </c>
      <c r="J340" s="33" t="str">
        <f t="shared" si="3"/>
        <v/>
      </c>
    </row>
    <row r="341" ht="15.75" customHeight="1">
      <c r="A341" s="22" t="s">
        <v>113</v>
      </c>
      <c r="B341" s="22" t="str">
        <f>IF(MOV_CC_NACIONAL!A341="","",MOV_CC_NACIONAL!A341)</f>
        <v/>
      </c>
      <c r="C341" s="22" t="str">
        <f>IF(MOV_CC_NACIONAL!B341="","",MOV_CC_NACIONAL!B341)</f>
        <v/>
      </c>
      <c r="D341" s="34" t="str">
        <f>IF(MOV_CC_NACIONAL!C341="","",MOV_CC_NACIONAL!C341)</f>
        <v/>
      </c>
      <c r="E341" s="22" t="str">
        <f t="shared" si="1"/>
        <v/>
      </c>
      <c r="F341" s="22" t="str">
        <f>IFERROR(__xludf.DUMMYFUNCTION("IF(C341="""","""", OR(REGEXMATCH(LOWER(C341),""cuota""), REGEXMATCH(C341,""\d+\s*/\s*\d+"")))"),"")</f>
        <v/>
      </c>
      <c r="G341" s="22" t="str">
        <f>IFERROR(__xludf.DUMMYFUNCTION("IFERROR(VALUE(REGEXEXTRACT(C341,""(\d+)\s*/\s*\d+"")),"""")"),"")</f>
        <v/>
      </c>
      <c r="H341" s="22" t="str">
        <f>IFERROR(__xludf.DUMMYFUNCTION("IFERROR(VALUE(REGEXEXTRACT(C341,""\d+\s*/\s*(\d+)"")),"""")"),"")</f>
        <v/>
      </c>
      <c r="I341" s="22" t="str">
        <f t="shared" si="2"/>
        <v/>
      </c>
      <c r="J341" s="34" t="str">
        <f t="shared" si="3"/>
        <v/>
      </c>
    </row>
    <row r="342" ht="15.75" customHeight="1">
      <c r="A342" s="32" t="s">
        <v>113</v>
      </c>
      <c r="B342" s="32" t="str">
        <f>IF(MOV_CC_NACIONAL!A342="","",MOV_CC_NACIONAL!A342)</f>
        <v/>
      </c>
      <c r="C342" s="32" t="str">
        <f>IF(MOV_CC_NACIONAL!B342="","",MOV_CC_NACIONAL!B342)</f>
        <v/>
      </c>
      <c r="D342" s="33" t="str">
        <f>IF(MOV_CC_NACIONAL!C342="","",MOV_CC_NACIONAL!C342)</f>
        <v/>
      </c>
      <c r="E342" s="32" t="str">
        <f t="shared" si="1"/>
        <v/>
      </c>
      <c r="F342" s="32" t="str">
        <f>IFERROR(__xludf.DUMMYFUNCTION("IF(C342="""","""", OR(REGEXMATCH(LOWER(C342),""cuota""), REGEXMATCH(C342,""\d+\s*/\s*\d+"")))"),"")</f>
        <v/>
      </c>
      <c r="G342" s="32" t="str">
        <f>IFERROR(__xludf.DUMMYFUNCTION("IFERROR(VALUE(REGEXEXTRACT(C342,""(\d+)\s*/\s*\d+"")),"""")"),"")</f>
        <v/>
      </c>
      <c r="H342" s="32" t="str">
        <f>IFERROR(__xludf.DUMMYFUNCTION("IFERROR(VALUE(REGEXEXTRACT(C342,""\d+\s*/\s*(\d+)"")),"""")"),"")</f>
        <v/>
      </c>
      <c r="I342" s="32" t="str">
        <f t="shared" si="2"/>
        <v/>
      </c>
      <c r="J342" s="33" t="str">
        <f t="shared" si="3"/>
        <v/>
      </c>
    </row>
    <row r="343" ht="15.75" customHeight="1">
      <c r="A343" s="22" t="s">
        <v>113</v>
      </c>
      <c r="B343" s="22" t="str">
        <f>IF(MOV_CC_NACIONAL!A343="","",MOV_CC_NACIONAL!A343)</f>
        <v/>
      </c>
      <c r="C343" s="22" t="str">
        <f>IF(MOV_CC_NACIONAL!B343="","",MOV_CC_NACIONAL!B343)</f>
        <v/>
      </c>
      <c r="D343" s="34" t="str">
        <f>IF(MOV_CC_NACIONAL!C343="","",MOV_CC_NACIONAL!C343)</f>
        <v/>
      </c>
      <c r="E343" s="22" t="str">
        <f t="shared" si="1"/>
        <v/>
      </c>
      <c r="F343" s="22" t="str">
        <f>IFERROR(__xludf.DUMMYFUNCTION("IF(C343="""","""", OR(REGEXMATCH(LOWER(C343),""cuota""), REGEXMATCH(C343,""\d+\s*/\s*\d+"")))"),"")</f>
        <v/>
      </c>
      <c r="G343" s="22" t="str">
        <f>IFERROR(__xludf.DUMMYFUNCTION("IFERROR(VALUE(REGEXEXTRACT(C343,""(\d+)\s*/\s*\d+"")),"""")"),"")</f>
        <v/>
      </c>
      <c r="H343" s="22" t="str">
        <f>IFERROR(__xludf.DUMMYFUNCTION("IFERROR(VALUE(REGEXEXTRACT(C343,""\d+\s*/\s*(\d+)"")),"""")"),"")</f>
        <v/>
      </c>
      <c r="I343" s="22" t="str">
        <f t="shared" si="2"/>
        <v/>
      </c>
      <c r="J343" s="34" t="str">
        <f t="shared" si="3"/>
        <v/>
      </c>
    </row>
    <row r="344" ht="15.75" customHeight="1">
      <c r="A344" s="32" t="s">
        <v>113</v>
      </c>
      <c r="B344" s="32" t="str">
        <f>IF(MOV_CC_NACIONAL!A344="","",MOV_CC_NACIONAL!A344)</f>
        <v/>
      </c>
      <c r="C344" s="32" t="str">
        <f>IF(MOV_CC_NACIONAL!B344="","",MOV_CC_NACIONAL!B344)</f>
        <v/>
      </c>
      <c r="D344" s="33" t="str">
        <f>IF(MOV_CC_NACIONAL!C344="","",MOV_CC_NACIONAL!C344)</f>
        <v/>
      </c>
      <c r="E344" s="32" t="str">
        <f t="shared" si="1"/>
        <v/>
      </c>
      <c r="F344" s="32" t="str">
        <f>IFERROR(__xludf.DUMMYFUNCTION("IF(C344="""","""", OR(REGEXMATCH(LOWER(C344),""cuota""), REGEXMATCH(C344,""\d+\s*/\s*\d+"")))"),"")</f>
        <v/>
      </c>
      <c r="G344" s="32" t="str">
        <f>IFERROR(__xludf.DUMMYFUNCTION("IFERROR(VALUE(REGEXEXTRACT(C344,""(\d+)\s*/\s*\d+"")),"""")"),"")</f>
        <v/>
      </c>
      <c r="H344" s="32" t="str">
        <f>IFERROR(__xludf.DUMMYFUNCTION("IFERROR(VALUE(REGEXEXTRACT(C344,""\d+\s*/\s*(\d+)"")),"""")"),"")</f>
        <v/>
      </c>
      <c r="I344" s="32" t="str">
        <f t="shared" si="2"/>
        <v/>
      </c>
      <c r="J344" s="33" t="str">
        <f t="shared" si="3"/>
        <v/>
      </c>
    </row>
    <row r="345" ht="15.75" customHeight="1">
      <c r="A345" s="22" t="s">
        <v>113</v>
      </c>
      <c r="B345" s="22" t="str">
        <f>IF(MOV_CC_NACIONAL!A345="","",MOV_CC_NACIONAL!A345)</f>
        <v/>
      </c>
      <c r="C345" s="22" t="str">
        <f>IF(MOV_CC_NACIONAL!B345="","",MOV_CC_NACIONAL!B345)</f>
        <v/>
      </c>
      <c r="D345" s="34" t="str">
        <f>IF(MOV_CC_NACIONAL!C345="","",MOV_CC_NACIONAL!C345)</f>
        <v/>
      </c>
      <c r="E345" s="22" t="str">
        <f t="shared" si="1"/>
        <v/>
      </c>
      <c r="F345" s="22" t="str">
        <f>IFERROR(__xludf.DUMMYFUNCTION("IF(C345="""","""", OR(REGEXMATCH(LOWER(C345),""cuota""), REGEXMATCH(C345,""\d+\s*/\s*\d+"")))"),"")</f>
        <v/>
      </c>
      <c r="G345" s="22" t="str">
        <f>IFERROR(__xludf.DUMMYFUNCTION("IFERROR(VALUE(REGEXEXTRACT(C345,""(\d+)\s*/\s*\d+"")),"""")"),"")</f>
        <v/>
      </c>
      <c r="H345" s="22" t="str">
        <f>IFERROR(__xludf.DUMMYFUNCTION("IFERROR(VALUE(REGEXEXTRACT(C345,""\d+\s*/\s*(\d+)"")),"""")"),"")</f>
        <v/>
      </c>
      <c r="I345" s="22" t="str">
        <f t="shared" si="2"/>
        <v/>
      </c>
      <c r="J345" s="34" t="str">
        <f t="shared" si="3"/>
        <v/>
      </c>
    </row>
    <row r="346" ht="15.75" customHeight="1">
      <c r="A346" s="32" t="s">
        <v>113</v>
      </c>
      <c r="B346" s="32" t="str">
        <f>IF(MOV_CC_NACIONAL!A346="","",MOV_CC_NACIONAL!A346)</f>
        <v/>
      </c>
      <c r="C346" s="32" t="str">
        <f>IF(MOV_CC_NACIONAL!B346="","",MOV_CC_NACIONAL!B346)</f>
        <v/>
      </c>
      <c r="D346" s="33" t="str">
        <f>IF(MOV_CC_NACIONAL!C346="","",MOV_CC_NACIONAL!C346)</f>
        <v/>
      </c>
      <c r="E346" s="32" t="str">
        <f t="shared" si="1"/>
        <v/>
      </c>
      <c r="F346" s="32" t="str">
        <f>IFERROR(__xludf.DUMMYFUNCTION("IF(C346="""","""", OR(REGEXMATCH(LOWER(C346),""cuota""), REGEXMATCH(C346,""\d+\s*/\s*\d+"")))"),"")</f>
        <v/>
      </c>
      <c r="G346" s="32" t="str">
        <f>IFERROR(__xludf.DUMMYFUNCTION("IFERROR(VALUE(REGEXEXTRACT(C346,""(\d+)\s*/\s*\d+"")),"""")"),"")</f>
        <v/>
      </c>
      <c r="H346" s="32" t="str">
        <f>IFERROR(__xludf.DUMMYFUNCTION("IFERROR(VALUE(REGEXEXTRACT(C346,""\d+\s*/\s*(\d+)"")),"""")"),"")</f>
        <v/>
      </c>
      <c r="I346" s="32" t="str">
        <f t="shared" si="2"/>
        <v/>
      </c>
      <c r="J346" s="33" t="str">
        <f t="shared" si="3"/>
        <v/>
      </c>
    </row>
    <row r="347" ht="15.75" customHeight="1">
      <c r="A347" s="22" t="s">
        <v>113</v>
      </c>
      <c r="B347" s="22" t="str">
        <f>IF(MOV_CC_NACIONAL!A347="","",MOV_CC_NACIONAL!A347)</f>
        <v/>
      </c>
      <c r="C347" s="22" t="str">
        <f>IF(MOV_CC_NACIONAL!B347="","",MOV_CC_NACIONAL!B347)</f>
        <v/>
      </c>
      <c r="D347" s="34" t="str">
        <f>IF(MOV_CC_NACIONAL!C347="","",MOV_CC_NACIONAL!C347)</f>
        <v/>
      </c>
      <c r="E347" s="22" t="str">
        <f t="shared" si="1"/>
        <v/>
      </c>
      <c r="F347" s="22" t="str">
        <f>IFERROR(__xludf.DUMMYFUNCTION("IF(C347="""","""", OR(REGEXMATCH(LOWER(C347),""cuota""), REGEXMATCH(C347,""\d+\s*/\s*\d+"")))"),"")</f>
        <v/>
      </c>
      <c r="G347" s="22" t="str">
        <f>IFERROR(__xludf.DUMMYFUNCTION("IFERROR(VALUE(REGEXEXTRACT(C347,""(\d+)\s*/\s*\d+"")),"""")"),"")</f>
        <v/>
      </c>
      <c r="H347" s="22" t="str">
        <f>IFERROR(__xludf.DUMMYFUNCTION("IFERROR(VALUE(REGEXEXTRACT(C347,""\d+\s*/\s*(\d+)"")),"""")"),"")</f>
        <v/>
      </c>
      <c r="I347" s="22" t="str">
        <f t="shared" si="2"/>
        <v/>
      </c>
      <c r="J347" s="34" t="str">
        <f t="shared" si="3"/>
        <v/>
      </c>
    </row>
    <row r="348" ht="15.75" customHeight="1">
      <c r="A348" s="32" t="s">
        <v>113</v>
      </c>
      <c r="B348" s="32" t="str">
        <f>IF(MOV_CC_NACIONAL!A348="","",MOV_CC_NACIONAL!A348)</f>
        <v/>
      </c>
      <c r="C348" s="32" t="str">
        <f>IF(MOV_CC_NACIONAL!B348="","",MOV_CC_NACIONAL!B348)</f>
        <v/>
      </c>
      <c r="D348" s="33" t="str">
        <f>IF(MOV_CC_NACIONAL!C348="","",MOV_CC_NACIONAL!C348)</f>
        <v/>
      </c>
      <c r="E348" s="32" t="str">
        <f t="shared" si="1"/>
        <v/>
      </c>
      <c r="F348" s="32" t="str">
        <f>IFERROR(__xludf.DUMMYFUNCTION("IF(C348="""","""", OR(REGEXMATCH(LOWER(C348),""cuota""), REGEXMATCH(C348,""\d+\s*/\s*\d+"")))"),"")</f>
        <v/>
      </c>
      <c r="G348" s="32" t="str">
        <f>IFERROR(__xludf.DUMMYFUNCTION("IFERROR(VALUE(REGEXEXTRACT(C348,""(\d+)\s*/\s*\d+"")),"""")"),"")</f>
        <v/>
      </c>
      <c r="H348" s="32" t="str">
        <f>IFERROR(__xludf.DUMMYFUNCTION("IFERROR(VALUE(REGEXEXTRACT(C348,""\d+\s*/\s*(\d+)"")),"""")"),"")</f>
        <v/>
      </c>
      <c r="I348" s="32" t="str">
        <f t="shared" si="2"/>
        <v/>
      </c>
      <c r="J348" s="33" t="str">
        <f t="shared" si="3"/>
        <v/>
      </c>
    </row>
    <row r="349" ht="15.75" customHeight="1">
      <c r="A349" s="22" t="s">
        <v>113</v>
      </c>
      <c r="B349" s="22" t="str">
        <f>IF(MOV_CC_NACIONAL!A349="","",MOV_CC_NACIONAL!A349)</f>
        <v/>
      </c>
      <c r="C349" s="22" t="str">
        <f>IF(MOV_CC_NACIONAL!B349="","",MOV_CC_NACIONAL!B349)</f>
        <v/>
      </c>
      <c r="D349" s="34" t="str">
        <f>IF(MOV_CC_NACIONAL!C349="","",MOV_CC_NACIONAL!C349)</f>
        <v/>
      </c>
      <c r="E349" s="22" t="str">
        <f t="shared" si="1"/>
        <v/>
      </c>
      <c r="F349" s="22" t="str">
        <f>IFERROR(__xludf.DUMMYFUNCTION("IF(C349="""","""", OR(REGEXMATCH(LOWER(C349),""cuota""), REGEXMATCH(C349,""\d+\s*/\s*\d+"")))"),"")</f>
        <v/>
      </c>
      <c r="G349" s="22" t="str">
        <f>IFERROR(__xludf.DUMMYFUNCTION("IFERROR(VALUE(REGEXEXTRACT(C349,""(\d+)\s*/\s*\d+"")),"""")"),"")</f>
        <v/>
      </c>
      <c r="H349" s="22" t="str">
        <f>IFERROR(__xludf.DUMMYFUNCTION("IFERROR(VALUE(REGEXEXTRACT(C349,""\d+\s*/\s*(\d+)"")),"""")"),"")</f>
        <v/>
      </c>
      <c r="I349" s="22" t="str">
        <f t="shared" si="2"/>
        <v/>
      </c>
      <c r="J349" s="34" t="str">
        <f t="shared" si="3"/>
        <v/>
      </c>
    </row>
    <row r="350" ht="15.75" customHeight="1">
      <c r="A350" s="32" t="s">
        <v>113</v>
      </c>
      <c r="B350" s="32" t="str">
        <f>IF(MOV_CC_NACIONAL!A350="","",MOV_CC_NACIONAL!A350)</f>
        <v/>
      </c>
      <c r="C350" s="32" t="str">
        <f>IF(MOV_CC_NACIONAL!B350="","",MOV_CC_NACIONAL!B350)</f>
        <v/>
      </c>
      <c r="D350" s="33" t="str">
        <f>IF(MOV_CC_NACIONAL!C350="","",MOV_CC_NACIONAL!C350)</f>
        <v/>
      </c>
      <c r="E350" s="32" t="str">
        <f t="shared" si="1"/>
        <v/>
      </c>
      <c r="F350" s="32" t="str">
        <f>IFERROR(__xludf.DUMMYFUNCTION("IF(C350="""","""", OR(REGEXMATCH(LOWER(C350),""cuota""), REGEXMATCH(C350,""\d+\s*/\s*\d+"")))"),"")</f>
        <v/>
      </c>
      <c r="G350" s="32" t="str">
        <f>IFERROR(__xludf.DUMMYFUNCTION("IFERROR(VALUE(REGEXEXTRACT(C350,""(\d+)\s*/\s*\d+"")),"""")"),"")</f>
        <v/>
      </c>
      <c r="H350" s="32" t="str">
        <f>IFERROR(__xludf.DUMMYFUNCTION("IFERROR(VALUE(REGEXEXTRACT(C350,""\d+\s*/\s*(\d+)"")),"""")"),"")</f>
        <v/>
      </c>
      <c r="I350" s="32" t="str">
        <f t="shared" si="2"/>
        <v/>
      </c>
      <c r="J350" s="33" t="str">
        <f t="shared" si="3"/>
        <v/>
      </c>
    </row>
    <row r="351" ht="15.75" customHeight="1">
      <c r="A351" s="22" t="s">
        <v>113</v>
      </c>
      <c r="B351" s="22" t="str">
        <f>IF(MOV_CC_NACIONAL!A351="","",MOV_CC_NACIONAL!A351)</f>
        <v/>
      </c>
      <c r="C351" s="22" t="str">
        <f>IF(MOV_CC_NACIONAL!B351="","",MOV_CC_NACIONAL!B351)</f>
        <v/>
      </c>
      <c r="D351" s="34" t="str">
        <f>IF(MOV_CC_NACIONAL!C351="","",MOV_CC_NACIONAL!C351)</f>
        <v/>
      </c>
      <c r="E351" s="22" t="str">
        <f t="shared" si="1"/>
        <v/>
      </c>
      <c r="F351" s="22" t="str">
        <f>IFERROR(__xludf.DUMMYFUNCTION("IF(C351="""","""", OR(REGEXMATCH(LOWER(C351),""cuota""), REGEXMATCH(C351,""\d+\s*/\s*\d+"")))"),"")</f>
        <v/>
      </c>
      <c r="G351" s="22" t="str">
        <f>IFERROR(__xludf.DUMMYFUNCTION("IFERROR(VALUE(REGEXEXTRACT(C351,""(\d+)\s*/\s*\d+"")),"""")"),"")</f>
        <v/>
      </c>
      <c r="H351" s="22" t="str">
        <f>IFERROR(__xludf.DUMMYFUNCTION("IFERROR(VALUE(REGEXEXTRACT(C351,""\d+\s*/\s*(\d+)"")),"""")"),"")</f>
        <v/>
      </c>
      <c r="I351" s="22" t="str">
        <f t="shared" si="2"/>
        <v/>
      </c>
      <c r="J351" s="34" t="str">
        <f t="shared" si="3"/>
        <v/>
      </c>
    </row>
    <row r="352" ht="15.75" customHeight="1">
      <c r="A352" s="32" t="s">
        <v>113</v>
      </c>
      <c r="B352" s="32" t="str">
        <f>IF(MOV_CC_NACIONAL!A352="","",MOV_CC_NACIONAL!A352)</f>
        <v/>
      </c>
      <c r="C352" s="32" t="str">
        <f>IF(MOV_CC_NACIONAL!B352="","",MOV_CC_NACIONAL!B352)</f>
        <v/>
      </c>
      <c r="D352" s="33" t="str">
        <f>IF(MOV_CC_NACIONAL!C352="","",MOV_CC_NACIONAL!C352)</f>
        <v/>
      </c>
      <c r="E352" s="32" t="str">
        <f t="shared" si="1"/>
        <v/>
      </c>
      <c r="F352" s="32" t="str">
        <f>IFERROR(__xludf.DUMMYFUNCTION("IF(C352="""","""", OR(REGEXMATCH(LOWER(C352),""cuota""), REGEXMATCH(C352,""\d+\s*/\s*\d+"")))"),"")</f>
        <v/>
      </c>
      <c r="G352" s="32" t="str">
        <f>IFERROR(__xludf.DUMMYFUNCTION("IFERROR(VALUE(REGEXEXTRACT(C352,""(\d+)\s*/\s*\d+"")),"""")"),"")</f>
        <v/>
      </c>
      <c r="H352" s="32" t="str">
        <f>IFERROR(__xludf.DUMMYFUNCTION("IFERROR(VALUE(REGEXEXTRACT(C352,""\d+\s*/\s*(\d+)"")),"""")"),"")</f>
        <v/>
      </c>
      <c r="I352" s="32" t="str">
        <f t="shared" si="2"/>
        <v/>
      </c>
      <c r="J352" s="33" t="str">
        <f t="shared" si="3"/>
        <v/>
      </c>
    </row>
    <row r="353" ht="15.75" customHeight="1">
      <c r="A353" s="22" t="s">
        <v>113</v>
      </c>
      <c r="B353" s="22" t="str">
        <f>IF(MOV_CC_NACIONAL!A353="","",MOV_CC_NACIONAL!A353)</f>
        <v/>
      </c>
      <c r="C353" s="22" t="str">
        <f>IF(MOV_CC_NACIONAL!B353="","",MOV_CC_NACIONAL!B353)</f>
        <v/>
      </c>
      <c r="D353" s="34" t="str">
        <f>IF(MOV_CC_NACIONAL!C353="","",MOV_CC_NACIONAL!C353)</f>
        <v/>
      </c>
      <c r="E353" s="22" t="str">
        <f t="shared" si="1"/>
        <v/>
      </c>
      <c r="F353" s="22" t="str">
        <f>IFERROR(__xludf.DUMMYFUNCTION("IF(C353="""","""", OR(REGEXMATCH(LOWER(C353),""cuota""), REGEXMATCH(C353,""\d+\s*/\s*\d+"")))"),"")</f>
        <v/>
      </c>
      <c r="G353" s="22" t="str">
        <f>IFERROR(__xludf.DUMMYFUNCTION("IFERROR(VALUE(REGEXEXTRACT(C353,""(\d+)\s*/\s*\d+"")),"""")"),"")</f>
        <v/>
      </c>
      <c r="H353" s="22" t="str">
        <f>IFERROR(__xludf.DUMMYFUNCTION("IFERROR(VALUE(REGEXEXTRACT(C353,""\d+\s*/\s*(\d+)"")),"""")"),"")</f>
        <v/>
      </c>
      <c r="I353" s="22" t="str">
        <f t="shared" si="2"/>
        <v/>
      </c>
      <c r="J353" s="34" t="str">
        <f t="shared" si="3"/>
        <v/>
      </c>
    </row>
    <row r="354" ht="15.75" customHeight="1">
      <c r="A354" s="32" t="s">
        <v>113</v>
      </c>
      <c r="B354" s="32" t="str">
        <f>IF(MOV_CC_NACIONAL!A354="","",MOV_CC_NACIONAL!A354)</f>
        <v/>
      </c>
      <c r="C354" s="32" t="str">
        <f>IF(MOV_CC_NACIONAL!B354="","",MOV_CC_NACIONAL!B354)</f>
        <v/>
      </c>
      <c r="D354" s="33" t="str">
        <f>IF(MOV_CC_NACIONAL!C354="","",MOV_CC_NACIONAL!C354)</f>
        <v/>
      </c>
      <c r="E354" s="32" t="str">
        <f t="shared" si="1"/>
        <v/>
      </c>
      <c r="F354" s="32" t="str">
        <f>IFERROR(__xludf.DUMMYFUNCTION("IF(C354="""","""", OR(REGEXMATCH(LOWER(C354),""cuota""), REGEXMATCH(C354,""\d+\s*/\s*\d+"")))"),"")</f>
        <v/>
      </c>
      <c r="G354" s="32" t="str">
        <f>IFERROR(__xludf.DUMMYFUNCTION("IFERROR(VALUE(REGEXEXTRACT(C354,""(\d+)\s*/\s*\d+"")),"""")"),"")</f>
        <v/>
      </c>
      <c r="H354" s="32" t="str">
        <f>IFERROR(__xludf.DUMMYFUNCTION("IFERROR(VALUE(REGEXEXTRACT(C354,""\d+\s*/\s*(\d+)"")),"""")"),"")</f>
        <v/>
      </c>
      <c r="I354" s="32" t="str">
        <f t="shared" si="2"/>
        <v/>
      </c>
      <c r="J354" s="33" t="str">
        <f t="shared" si="3"/>
        <v/>
      </c>
    </row>
    <row r="355" ht="15.75" customHeight="1">
      <c r="A355" s="22" t="s">
        <v>113</v>
      </c>
      <c r="B355" s="22" t="str">
        <f>IF(MOV_CC_NACIONAL!A355="","",MOV_CC_NACIONAL!A355)</f>
        <v/>
      </c>
      <c r="C355" s="22" t="str">
        <f>IF(MOV_CC_NACIONAL!B355="","",MOV_CC_NACIONAL!B355)</f>
        <v/>
      </c>
      <c r="D355" s="34" t="str">
        <f>IF(MOV_CC_NACIONAL!C355="","",MOV_CC_NACIONAL!C355)</f>
        <v/>
      </c>
      <c r="E355" s="22" t="str">
        <f t="shared" si="1"/>
        <v/>
      </c>
      <c r="F355" s="22" t="str">
        <f>IFERROR(__xludf.DUMMYFUNCTION("IF(C355="""","""", OR(REGEXMATCH(LOWER(C355),""cuota""), REGEXMATCH(C355,""\d+\s*/\s*\d+"")))"),"")</f>
        <v/>
      </c>
      <c r="G355" s="22" t="str">
        <f>IFERROR(__xludf.DUMMYFUNCTION("IFERROR(VALUE(REGEXEXTRACT(C355,""(\d+)\s*/\s*\d+"")),"""")"),"")</f>
        <v/>
      </c>
      <c r="H355" s="22" t="str">
        <f>IFERROR(__xludf.DUMMYFUNCTION("IFERROR(VALUE(REGEXEXTRACT(C355,""\d+\s*/\s*(\d+)"")),"""")"),"")</f>
        <v/>
      </c>
      <c r="I355" s="22" t="str">
        <f t="shared" si="2"/>
        <v/>
      </c>
      <c r="J355" s="34" t="str">
        <f t="shared" si="3"/>
        <v/>
      </c>
    </row>
    <row r="356" ht="15.75" customHeight="1">
      <c r="A356" s="32" t="s">
        <v>113</v>
      </c>
      <c r="B356" s="32" t="str">
        <f>IF(MOV_CC_NACIONAL!A356="","",MOV_CC_NACIONAL!A356)</f>
        <v/>
      </c>
      <c r="C356" s="32" t="str">
        <f>IF(MOV_CC_NACIONAL!B356="","",MOV_CC_NACIONAL!B356)</f>
        <v/>
      </c>
      <c r="D356" s="33" t="str">
        <f>IF(MOV_CC_NACIONAL!C356="","",MOV_CC_NACIONAL!C356)</f>
        <v/>
      </c>
      <c r="E356" s="32" t="str">
        <f t="shared" si="1"/>
        <v/>
      </c>
      <c r="F356" s="32" t="str">
        <f>IFERROR(__xludf.DUMMYFUNCTION("IF(C356="""","""", OR(REGEXMATCH(LOWER(C356),""cuota""), REGEXMATCH(C356,""\d+\s*/\s*\d+"")))"),"")</f>
        <v/>
      </c>
      <c r="G356" s="32" t="str">
        <f>IFERROR(__xludf.DUMMYFUNCTION("IFERROR(VALUE(REGEXEXTRACT(C356,""(\d+)\s*/\s*\d+"")),"""")"),"")</f>
        <v/>
      </c>
      <c r="H356" s="32" t="str">
        <f>IFERROR(__xludf.DUMMYFUNCTION("IFERROR(VALUE(REGEXEXTRACT(C356,""\d+\s*/\s*(\d+)"")),"""")"),"")</f>
        <v/>
      </c>
      <c r="I356" s="32" t="str">
        <f t="shared" si="2"/>
        <v/>
      </c>
      <c r="J356" s="33" t="str">
        <f t="shared" si="3"/>
        <v/>
      </c>
    </row>
    <row r="357" ht="15.75" customHeight="1">
      <c r="A357" s="22" t="s">
        <v>113</v>
      </c>
      <c r="B357" s="22" t="str">
        <f>IF(MOV_CC_NACIONAL!A357="","",MOV_CC_NACIONAL!A357)</f>
        <v/>
      </c>
      <c r="C357" s="22" t="str">
        <f>IF(MOV_CC_NACIONAL!B357="","",MOV_CC_NACIONAL!B357)</f>
        <v/>
      </c>
      <c r="D357" s="34" t="str">
        <f>IF(MOV_CC_NACIONAL!C357="","",MOV_CC_NACIONAL!C357)</f>
        <v/>
      </c>
      <c r="E357" s="22" t="str">
        <f t="shared" si="1"/>
        <v/>
      </c>
      <c r="F357" s="22" t="str">
        <f>IFERROR(__xludf.DUMMYFUNCTION("IF(C357="""","""", OR(REGEXMATCH(LOWER(C357),""cuota""), REGEXMATCH(C357,""\d+\s*/\s*\d+"")))"),"")</f>
        <v/>
      </c>
      <c r="G357" s="22" t="str">
        <f>IFERROR(__xludf.DUMMYFUNCTION("IFERROR(VALUE(REGEXEXTRACT(C357,""(\d+)\s*/\s*\d+"")),"""")"),"")</f>
        <v/>
      </c>
      <c r="H357" s="22" t="str">
        <f>IFERROR(__xludf.DUMMYFUNCTION("IFERROR(VALUE(REGEXEXTRACT(C357,""\d+\s*/\s*(\d+)"")),"""")"),"")</f>
        <v/>
      </c>
      <c r="I357" s="22" t="str">
        <f t="shared" si="2"/>
        <v/>
      </c>
      <c r="J357" s="34" t="str">
        <f t="shared" si="3"/>
        <v/>
      </c>
    </row>
    <row r="358" ht="15.75" customHeight="1">
      <c r="A358" s="32" t="s">
        <v>113</v>
      </c>
      <c r="B358" s="32" t="str">
        <f>IF(MOV_CC_NACIONAL!A358="","",MOV_CC_NACIONAL!A358)</f>
        <v/>
      </c>
      <c r="C358" s="32" t="str">
        <f>IF(MOV_CC_NACIONAL!B358="","",MOV_CC_NACIONAL!B358)</f>
        <v/>
      </c>
      <c r="D358" s="33" t="str">
        <f>IF(MOV_CC_NACIONAL!C358="","",MOV_CC_NACIONAL!C358)</f>
        <v/>
      </c>
      <c r="E358" s="32" t="str">
        <f t="shared" si="1"/>
        <v/>
      </c>
      <c r="F358" s="32" t="str">
        <f>IFERROR(__xludf.DUMMYFUNCTION("IF(C358="""","""", OR(REGEXMATCH(LOWER(C358),""cuota""), REGEXMATCH(C358,""\d+\s*/\s*\d+"")))"),"")</f>
        <v/>
      </c>
      <c r="G358" s="32" t="str">
        <f>IFERROR(__xludf.DUMMYFUNCTION("IFERROR(VALUE(REGEXEXTRACT(C358,""(\d+)\s*/\s*\d+"")),"""")"),"")</f>
        <v/>
      </c>
      <c r="H358" s="32" t="str">
        <f>IFERROR(__xludf.DUMMYFUNCTION("IFERROR(VALUE(REGEXEXTRACT(C358,""\d+\s*/\s*(\d+)"")),"""")"),"")</f>
        <v/>
      </c>
      <c r="I358" s="32" t="str">
        <f t="shared" si="2"/>
        <v/>
      </c>
      <c r="J358" s="33" t="str">
        <f t="shared" si="3"/>
        <v/>
      </c>
    </row>
    <row r="359" ht="15.75" customHeight="1">
      <c r="A359" s="22" t="s">
        <v>113</v>
      </c>
      <c r="B359" s="22" t="str">
        <f>IF(MOV_CC_NACIONAL!A359="","",MOV_CC_NACIONAL!A359)</f>
        <v/>
      </c>
      <c r="C359" s="22" t="str">
        <f>IF(MOV_CC_NACIONAL!B359="","",MOV_CC_NACIONAL!B359)</f>
        <v/>
      </c>
      <c r="D359" s="34" t="str">
        <f>IF(MOV_CC_NACIONAL!C359="","",MOV_CC_NACIONAL!C359)</f>
        <v/>
      </c>
      <c r="E359" s="22" t="str">
        <f t="shared" si="1"/>
        <v/>
      </c>
      <c r="F359" s="22" t="str">
        <f>IFERROR(__xludf.DUMMYFUNCTION("IF(C359="""","""", OR(REGEXMATCH(LOWER(C359),""cuota""), REGEXMATCH(C359,""\d+\s*/\s*\d+"")))"),"")</f>
        <v/>
      </c>
      <c r="G359" s="22" t="str">
        <f>IFERROR(__xludf.DUMMYFUNCTION("IFERROR(VALUE(REGEXEXTRACT(C359,""(\d+)\s*/\s*\d+"")),"""")"),"")</f>
        <v/>
      </c>
      <c r="H359" s="22" t="str">
        <f>IFERROR(__xludf.DUMMYFUNCTION("IFERROR(VALUE(REGEXEXTRACT(C359,""\d+\s*/\s*(\d+)"")),"""")"),"")</f>
        <v/>
      </c>
      <c r="I359" s="22" t="str">
        <f t="shared" si="2"/>
        <v/>
      </c>
      <c r="J359" s="34" t="str">
        <f t="shared" si="3"/>
        <v/>
      </c>
    </row>
    <row r="360" ht="15.75" customHeight="1">
      <c r="A360" s="32" t="s">
        <v>113</v>
      </c>
      <c r="B360" s="32" t="str">
        <f>IF(MOV_CC_NACIONAL!A360="","",MOV_CC_NACIONAL!A360)</f>
        <v/>
      </c>
      <c r="C360" s="32" t="str">
        <f>IF(MOV_CC_NACIONAL!B360="","",MOV_CC_NACIONAL!B360)</f>
        <v/>
      </c>
      <c r="D360" s="33" t="str">
        <f>IF(MOV_CC_NACIONAL!C360="","",MOV_CC_NACIONAL!C360)</f>
        <v/>
      </c>
      <c r="E360" s="32" t="str">
        <f t="shared" si="1"/>
        <v/>
      </c>
      <c r="F360" s="32" t="str">
        <f>IFERROR(__xludf.DUMMYFUNCTION("IF(C360="""","""", OR(REGEXMATCH(LOWER(C360),""cuota""), REGEXMATCH(C360,""\d+\s*/\s*\d+"")))"),"")</f>
        <v/>
      </c>
      <c r="G360" s="32" t="str">
        <f>IFERROR(__xludf.DUMMYFUNCTION("IFERROR(VALUE(REGEXEXTRACT(C360,""(\d+)\s*/\s*\d+"")),"""")"),"")</f>
        <v/>
      </c>
      <c r="H360" s="32" t="str">
        <f>IFERROR(__xludf.DUMMYFUNCTION("IFERROR(VALUE(REGEXEXTRACT(C360,""\d+\s*/\s*(\d+)"")),"""")"),"")</f>
        <v/>
      </c>
      <c r="I360" s="32" t="str">
        <f t="shared" si="2"/>
        <v/>
      </c>
      <c r="J360" s="33" t="str">
        <f t="shared" si="3"/>
        <v/>
      </c>
    </row>
    <row r="361" ht="15.75" customHeight="1">
      <c r="A361" s="22" t="s">
        <v>113</v>
      </c>
      <c r="B361" s="22" t="str">
        <f>IF(MOV_CC_NACIONAL!A361="","",MOV_CC_NACIONAL!A361)</f>
        <v/>
      </c>
      <c r="C361" s="22" t="str">
        <f>IF(MOV_CC_NACIONAL!B361="","",MOV_CC_NACIONAL!B361)</f>
        <v/>
      </c>
      <c r="D361" s="34" t="str">
        <f>IF(MOV_CC_NACIONAL!C361="","",MOV_CC_NACIONAL!C361)</f>
        <v/>
      </c>
      <c r="E361" s="22" t="str">
        <f t="shared" si="1"/>
        <v/>
      </c>
      <c r="F361" s="22" t="str">
        <f>IFERROR(__xludf.DUMMYFUNCTION("IF(C361="""","""", OR(REGEXMATCH(LOWER(C361),""cuota""), REGEXMATCH(C361,""\d+\s*/\s*\d+"")))"),"")</f>
        <v/>
      </c>
      <c r="G361" s="22" t="str">
        <f>IFERROR(__xludf.DUMMYFUNCTION("IFERROR(VALUE(REGEXEXTRACT(C361,""(\d+)\s*/\s*\d+"")),"""")"),"")</f>
        <v/>
      </c>
      <c r="H361" s="22" t="str">
        <f>IFERROR(__xludf.DUMMYFUNCTION("IFERROR(VALUE(REGEXEXTRACT(C361,""\d+\s*/\s*(\d+)"")),"""")"),"")</f>
        <v/>
      </c>
      <c r="I361" s="22" t="str">
        <f t="shared" si="2"/>
        <v/>
      </c>
      <c r="J361" s="34" t="str">
        <f t="shared" si="3"/>
        <v/>
      </c>
    </row>
    <row r="362" ht="15.75" customHeight="1">
      <c r="A362" s="32" t="s">
        <v>113</v>
      </c>
      <c r="B362" s="32" t="str">
        <f>IF(MOV_CC_NACIONAL!A362="","",MOV_CC_NACIONAL!A362)</f>
        <v/>
      </c>
      <c r="C362" s="32" t="str">
        <f>IF(MOV_CC_NACIONAL!B362="","",MOV_CC_NACIONAL!B362)</f>
        <v/>
      </c>
      <c r="D362" s="33" t="str">
        <f>IF(MOV_CC_NACIONAL!C362="","",MOV_CC_NACIONAL!C362)</f>
        <v/>
      </c>
      <c r="E362" s="32" t="str">
        <f t="shared" si="1"/>
        <v/>
      </c>
      <c r="F362" s="32" t="str">
        <f>IFERROR(__xludf.DUMMYFUNCTION("IF(C362="""","""", OR(REGEXMATCH(LOWER(C362),""cuota""), REGEXMATCH(C362,""\d+\s*/\s*\d+"")))"),"")</f>
        <v/>
      </c>
      <c r="G362" s="32" t="str">
        <f>IFERROR(__xludf.DUMMYFUNCTION("IFERROR(VALUE(REGEXEXTRACT(C362,""(\d+)\s*/\s*\d+"")),"""")"),"")</f>
        <v/>
      </c>
      <c r="H362" s="32" t="str">
        <f>IFERROR(__xludf.DUMMYFUNCTION("IFERROR(VALUE(REGEXEXTRACT(C362,""\d+\s*/\s*(\d+)"")),"""")"),"")</f>
        <v/>
      </c>
      <c r="I362" s="32" t="str">
        <f t="shared" si="2"/>
        <v/>
      </c>
      <c r="J362" s="33" t="str">
        <f t="shared" si="3"/>
        <v/>
      </c>
    </row>
    <row r="363" ht="15.75" customHeight="1">
      <c r="A363" s="22" t="s">
        <v>113</v>
      </c>
      <c r="B363" s="22" t="str">
        <f>IF(MOV_CC_NACIONAL!A363="","",MOV_CC_NACIONAL!A363)</f>
        <v/>
      </c>
      <c r="C363" s="22" t="str">
        <f>IF(MOV_CC_NACIONAL!B363="","",MOV_CC_NACIONAL!B363)</f>
        <v/>
      </c>
      <c r="D363" s="34" t="str">
        <f>IF(MOV_CC_NACIONAL!C363="","",MOV_CC_NACIONAL!C363)</f>
        <v/>
      </c>
      <c r="E363" s="22" t="str">
        <f t="shared" si="1"/>
        <v/>
      </c>
      <c r="F363" s="22" t="str">
        <f>IFERROR(__xludf.DUMMYFUNCTION("IF(C363="""","""", OR(REGEXMATCH(LOWER(C363),""cuota""), REGEXMATCH(C363,""\d+\s*/\s*\d+"")))"),"")</f>
        <v/>
      </c>
      <c r="G363" s="22" t="str">
        <f>IFERROR(__xludf.DUMMYFUNCTION("IFERROR(VALUE(REGEXEXTRACT(C363,""(\d+)\s*/\s*\d+"")),"""")"),"")</f>
        <v/>
      </c>
      <c r="H363" s="22" t="str">
        <f>IFERROR(__xludf.DUMMYFUNCTION("IFERROR(VALUE(REGEXEXTRACT(C363,""\d+\s*/\s*(\d+)"")),"""")"),"")</f>
        <v/>
      </c>
      <c r="I363" s="22" t="str">
        <f t="shared" si="2"/>
        <v/>
      </c>
      <c r="J363" s="34" t="str">
        <f t="shared" si="3"/>
        <v/>
      </c>
    </row>
    <row r="364" ht="15.75" customHeight="1">
      <c r="A364" s="32" t="s">
        <v>113</v>
      </c>
      <c r="B364" s="32" t="str">
        <f>IF(MOV_CC_NACIONAL!A364="","",MOV_CC_NACIONAL!A364)</f>
        <v/>
      </c>
      <c r="C364" s="32" t="str">
        <f>IF(MOV_CC_NACIONAL!B364="","",MOV_CC_NACIONAL!B364)</f>
        <v/>
      </c>
      <c r="D364" s="33" t="str">
        <f>IF(MOV_CC_NACIONAL!C364="","",MOV_CC_NACIONAL!C364)</f>
        <v/>
      </c>
      <c r="E364" s="32" t="str">
        <f t="shared" si="1"/>
        <v/>
      </c>
      <c r="F364" s="32" t="str">
        <f>IFERROR(__xludf.DUMMYFUNCTION("IF(C364="""","""", OR(REGEXMATCH(LOWER(C364),""cuota""), REGEXMATCH(C364,""\d+\s*/\s*\d+"")))"),"")</f>
        <v/>
      </c>
      <c r="G364" s="32" t="str">
        <f>IFERROR(__xludf.DUMMYFUNCTION("IFERROR(VALUE(REGEXEXTRACT(C364,""(\d+)\s*/\s*\d+"")),"""")"),"")</f>
        <v/>
      </c>
      <c r="H364" s="32" t="str">
        <f>IFERROR(__xludf.DUMMYFUNCTION("IFERROR(VALUE(REGEXEXTRACT(C364,""\d+\s*/\s*(\d+)"")),"""")"),"")</f>
        <v/>
      </c>
      <c r="I364" s="32" t="str">
        <f t="shared" si="2"/>
        <v/>
      </c>
      <c r="J364" s="33" t="str">
        <f t="shared" si="3"/>
        <v/>
      </c>
    </row>
    <row r="365" ht="15.75" customHeight="1">
      <c r="A365" s="22" t="s">
        <v>113</v>
      </c>
      <c r="B365" s="22" t="str">
        <f>IF(MOV_CC_NACIONAL!A365="","",MOV_CC_NACIONAL!A365)</f>
        <v/>
      </c>
      <c r="C365" s="22" t="str">
        <f>IF(MOV_CC_NACIONAL!B365="","",MOV_CC_NACIONAL!B365)</f>
        <v/>
      </c>
      <c r="D365" s="34" t="str">
        <f>IF(MOV_CC_NACIONAL!C365="","",MOV_CC_NACIONAL!C365)</f>
        <v/>
      </c>
      <c r="E365" s="22" t="str">
        <f t="shared" si="1"/>
        <v/>
      </c>
      <c r="F365" s="22" t="str">
        <f>IFERROR(__xludf.DUMMYFUNCTION("IF(C365="""","""", OR(REGEXMATCH(LOWER(C365),""cuota""), REGEXMATCH(C365,""\d+\s*/\s*\d+"")))"),"")</f>
        <v/>
      </c>
      <c r="G365" s="22" t="str">
        <f>IFERROR(__xludf.DUMMYFUNCTION("IFERROR(VALUE(REGEXEXTRACT(C365,""(\d+)\s*/\s*\d+"")),"""")"),"")</f>
        <v/>
      </c>
      <c r="H365" s="22" t="str">
        <f>IFERROR(__xludf.DUMMYFUNCTION("IFERROR(VALUE(REGEXEXTRACT(C365,""\d+\s*/\s*(\d+)"")),"""")"),"")</f>
        <v/>
      </c>
      <c r="I365" s="22" t="str">
        <f t="shared" si="2"/>
        <v/>
      </c>
      <c r="J365" s="34" t="str">
        <f t="shared" si="3"/>
        <v/>
      </c>
    </row>
    <row r="366" ht="15.75" customHeight="1">
      <c r="A366" s="32" t="s">
        <v>113</v>
      </c>
      <c r="B366" s="32" t="str">
        <f>IF(MOV_CC_NACIONAL!A366="","",MOV_CC_NACIONAL!A366)</f>
        <v/>
      </c>
      <c r="C366" s="32" t="str">
        <f>IF(MOV_CC_NACIONAL!B366="","",MOV_CC_NACIONAL!B366)</f>
        <v/>
      </c>
      <c r="D366" s="33" t="str">
        <f>IF(MOV_CC_NACIONAL!C366="","",MOV_CC_NACIONAL!C366)</f>
        <v/>
      </c>
      <c r="E366" s="32" t="str">
        <f t="shared" si="1"/>
        <v/>
      </c>
      <c r="F366" s="32" t="str">
        <f>IFERROR(__xludf.DUMMYFUNCTION("IF(C366="""","""", OR(REGEXMATCH(LOWER(C366),""cuota""), REGEXMATCH(C366,""\d+\s*/\s*\d+"")))"),"")</f>
        <v/>
      </c>
      <c r="G366" s="32" t="str">
        <f>IFERROR(__xludf.DUMMYFUNCTION("IFERROR(VALUE(REGEXEXTRACT(C366,""(\d+)\s*/\s*\d+"")),"""")"),"")</f>
        <v/>
      </c>
      <c r="H366" s="32" t="str">
        <f>IFERROR(__xludf.DUMMYFUNCTION("IFERROR(VALUE(REGEXEXTRACT(C366,""\d+\s*/\s*(\d+)"")),"""")"),"")</f>
        <v/>
      </c>
      <c r="I366" s="32" t="str">
        <f t="shared" si="2"/>
        <v/>
      </c>
      <c r="J366" s="33" t="str">
        <f t="shared" si="3"/>
        <v/>
      </c>
    </row>
    <row r="367" ht="15.75" customHeight="1">
      <c r="A367" s="22" t="s">
        <v>113</v>
      </c>
      <c r="B367" s="22" t="str">
        <f>IF(MOV_CC_NACIONAL!A367="","",MOV_CC_NACIONAL!A367)</f>
        <v/>
      </c>
      <c r="C367" s="22" t="str">
        <f>IF(MOV_CC_NACIONAL!B367="","",MOV_CC_NACIONAL!B367)</f>
        <v/>
      </c>
      <c r="D367" s="34" t="str">
        <f>IF(MOV_CC_NACIONAL!C367="","",MOV_CC_NACIONAL!C367)</f>
        <v/>
      </c>
      <c r="E367" s="22" t="str">
        <f t="shared" si="1"/>
        <v/>
      </c>
      <c r="F367" s="22" t="str">
        <f>IFERROR(__xludf.DUMMYFUNCTION("IF(C367="""","""", OR(REGEXMATCH(LOWER(C367),""cuota""), REGEXMATCH(C367,""\d+\s*/\s*\d+"")))"),"")</f>
        <v/>
      </c>
      <c r="G367" s="22" t="str">
        <f>IFERROR(__xludf.DUMMYFUNCTION("IFERROR(VALUE(REGEXEXTRACT(C367,""(\d+)\s*/\s*\d+"")),"""")"),"")</f>
        <v/>
      </c>
      <c r="H367" s="22" t="str">
        <f>IFERROR(__xludf.DUMMYFUNCTION("IFERROR(VALUE(REGEXEXTRACT(C367,""\d+\s*/\s*(\d+)"")),"""")"),"")</f>
        <v/>
      </c>
      <c r="I367" s="22" t="str">
        <f t="shared" si="2"/>
        <v/>
      </c>
      <c r="J367" s="34" t="str">
        <f t="shared" si="3"/>
        <v/>
      </c>
    </row>
    <row r="368" ht="15.75" customHeight="1">
      <c r="A368" s="32" t="s">
        <v>113</v>
      </c>
      <c r="B368" s="32" t="str">
        <f>IF(MOV_CC_NACIONAL!A368="","",MOV_CC_NACIONAL!A368)</f>
        <v/>
      </c>
      <c r="C368" s="32" t="str">
        <f>IF(MOV_CC_NACIONAL!B368="","",MOV_CC_NACIONAL!B368)</f>
        <v/>
      </c>
      <c r="D368" s="33" t="str">
        <f>IF(MOV_CC_NACIONAL!C368="","",MOV_CC_NACIONAL!C368)</f>
        <v/>
      </c>
      <c r="E368" s="32" t="str">
        <f t="shared" si="1"/>
        <v/>
      </c>
      <c r="F368" s="32" t="str">
        <f>IFERROR(__xludf.DUMMYFUNCTION("IF(C368="""","""", OR(REGEXMATCH(LOWER(C368),""cuota""), REGEXMATCH(C368,""\d+\s*/\s*\d+"")))"),"")</f>
        <v/>
      </c>
      <c r="G368" s="32" t="str">
        <f>IFERROR(__xludf.DUMMYFUNCTION("IFERROR(VALUE(REGEXEXTRACT(C368,""(\d+)\s*/\s*\d+"")),"""")"),"")</f>
        <v/>
      </c>
      <c r="H368" s="32" t="str">
        <f>IFERROR(__xludf.DUMMYFUNCTION("IFERROR(VALUE(REGEXEXTRACT(C368,""\d+\s*/\s*(\d+)"")),"""")"),"")</f>
        <v/>
      </c>
      <c r="I368" s="32" t="str">
        <f t="shared" si="2"/>
        <v/>
      </c>
      <c r="J368" s="33" t="str">
        <f t="shared" si="3"/>
        <v/>
      </c>
    </row>
    <row r="369" ht="15.75" customHeight="1">
      <c r="A369" s="22" t="s">
        <v>113</v>
      </c>
      <c r="B369" s="22" t="str">
        <f>IF(MOV_CC_NACIONAL!A369="","",MOV_CC_NACIONAL!A369)</f>
        <v/>
      </c>
      <c r="C369" s="22" t="str">
        <f>IF(MOV_CC_NACIONAL!B369="","",MOV_CC_NACIONAL!B369)</f>
        <v/>
      </c>
      <c r="D369" s="34" t="str">
        <f>IF(MOV_CC_NACIONAL!C369="","",MOV_CC_NACIONAL!C369)</f>
        <v/>
      </c>
      <c r="E369" s="22" t="str">
        <f t="shared" si="1"/>
        <v/>
      </c>
      <c r="F369" s="22" t="str">
        <f>IFERROR(__xludf.DUMMYFUNCTION("IF(C369="""","""", OR(REGEXMATCH(LOWER(C369),""cuota""), REGEXMATCH(C369,""\d+\s*/\s*\d+"")))"),"")</f>
        <v/>
      </c>
      <c r="G369" s="22" t="str">
        <f>IFERROR(__xludf.DUMMYFUNCTION("IFERROR(VALUE(REGEXEXTRACT(C369,""(\d+)\s*/\s*\d+"")),"""")"),"")</f>
        <v/>
      </c>
      <c r="H369" s="22" t="str">
        <f>IFERROR(__xludf.DUMMYFUNCTION("IFERROR(VALUE(REGEXEXTRACT(C369,""\d+\s*/\s*(\d+)"")),"""")"),"")</f>
        <v/>
      </c>
      <c r="I369" s="22" t="str">
        <f t="shared" si="2"/>
        <v/>
      </c>
      <c r="J369" s="34" t="str">
        <f t="shared" si="3"/>
        <v/>
      </c>
    </row>
    <row r="370" ht="15.75" customHeight="1">
      <c r="A370" s="32" t="s">
        <v>113</v>
      </c>
      <c r="B370" s="32" t="str">
        <f>IF(MOV_CC_NACIONAL!A370="","",MOV_CC_NACIONAL!A370)</f>
        <v/>
      </c>
      <c r="C370" s="32" t="str">
        <f>IF(MOV_CC_NACIONAL!B370="","",MOV_CC_NACIONAL!B370)</f>
        <v/>
      </c>
      <c r="D370" s="33" t="str">
        <f>IF(MOV_CC_NACIONAL!C370="","",MOV_CC_NACIONAL!C370)</f>
        <v/>
      </c>
      <c r="E370" s="32" t="str">
        <f t="shared" si="1"/>
        <v/>
      </c>
      <c r="F370" s="32" t="str">
        <f>IFERROR(__xludf.DUMMYFUNCTION("IF(C370="""","""", OR(REGEXMATCH(LOWER(C370),""cuota""), REGEXMATCH(C370,""\d+\s*/\s*\d+"")))"),"")</f>
        <v/>
      </c>
      <c r="G370" s="32" t="str">
        <f>IFERROR(__xludf.DUMMYFUNCTION("IFERROR(VALUE(REGEXEXTRACT(C370,""(\d+)\s*/\s*\d+"")),"""")"),"")</f>
        <v/>
      </c>
      <c r="H370" s="32" t="str">
        <f>IFERROR(__xludf.DUMMYFUNCTION("IFERROR(VALUE(REGEXEXTRACT(C370,""\d+\s*/\s*(\d+)"")),"""")"),"")</f>
        <v/>
      </c>
      <c r="I370" s="32" t="str">
        <f t="shared" si="2"/>
        <v/>
      </c>
      <c r="J370" s="33" t="str">
        <f t="shared" si="3"/>
        <v/>
      </c>
    </row>
    <row r="371" ht="15.75" customHeight="1">
      <c r="A371" s="22" t="s">
        <v>113</v>
      </c>
      <c r="B371" s="22" t="str">
        <f>IF(MOV_CC_NACIONAL!A371="","",MOV_CC_NACIONAL!A371)</f>
        <v/>
      </c>
      <c r="C371" s="22" t="str">
        <f>IF(MOV_CC_NACIONAL!B371="","",MOV_CC_NACIONAL!B371)</f>
        <v/>
      </c>
      <c r="D371" s="34" t="str">
        <f>IF(MOV_CC_NACIONAL!C371="","",MOV_CC_NACIONAL!C371)</f>
        <v/>
      </c>
      <c r="E371" s="22" t="str">
        <f t="shared" si="1"/>
        <v/>
      </c>
      <c r="F371" s="22" t="str">
        <f>IFERROR(__xludf.DUMMYFUNCTION("IF(C371="""","""", OR(REGEXMATCH(LOWER(C371),""cuota""), REGEXMATCH(C371,""\d+\s*/\s*\d+"")))"),"")</f>
        <v/>
      </c>
      <c r="G371" s="22" t="str">
        <f>IFERROR(__xludf.DUMMYFUNCTION("IFERROR(VALUE(REGEXEXTRACT(C371,""(\d+)\s*/\s*\d+"")),"""")"),"")</f>
        <v/>
      </c>
      <c r="H371" s="22" t="str">
        <f>IFERROR(__xludf.DUMMYFUNCTION("IFERROR(VALUE(REGEXEXTRACT(C371,""\d+\s*/\s*(\d+)"")),"""")"),"")</f>
        <v/>
      </c>
      <c r="I371" s="22" t="str">
        <f t="shared" si="2"/>
        <v/>
      </c>
      <c r="J371" s="34" t="str">
        <f t="shared" si="3"/>
        <v/>
      </c>
    </row>
    <row r="372" ht="15.75" customHeight="1">
      <c r="A372" s="32" t="s">
        <v>113</v>
      </c>
      <c r="B372" s="32" t="str">
        <f>IF(MOV_CC_NACIONAL!A372="","",MOV_CC_NACIONAL!A372)</f>
        <v/>
      </c>
      <c r="C372" s="32" t="str">
        <f>IF(MOV_CC_NACIONAL!B372="","",MOV_CC_NACIONAL!B372)</f>
        <v/>
      </c>
      <c r="D372" s="33" t="str">
        <f>IF(MOV_CC_NACIONAL!C372="","",MOV_CC_NACIONAL!C372)</f>
        <v/>
      </c>
      <c r="E372" s="32" t="str">
        <f t="shared" si="1"/>
        <v/>
      </c>
      <c r="F372" s="32" t="str">
        <f>IFERROR(__xludf.DUMMYFUNCTION("IF(C372="""","""", OR(REGEXMATCH(LOWER(C372),""cuota""), REGEXMATCH(C372,""\d+\s*/\s*\d+"")))"),"")</f>
        <v/>
      </c>
      <c r="G372" s="32" t="str">
        <f>IFERROR(__xludf.DUMMYFUNCTION("IFERROR(VALUE(REGEXEXTRACT(C372,""(\d+)\s*/\s*\d+"")),"""")"),"")</f>
        <v/>
      </c>
      <c r="H372" s="32" t="str">
        <f>IFERROR(__xludf.DUMMYFUNCTION("IFERROR(VALUE(REGEXEXTRACT(C372,""\d+\s*/\s*(\d+)"")),"""")"),"")</f>
        <v/>
      </c>
      <c r="I372" s="32" t="str">
        <f t="shared" si="2"/>
        <v/>
      </c>
      <c r="J372" s="33" t="str">
        <f t="shared" si="3"/>
        <v/>
      </c>
    </row>
    <row r="373" ht="15.75" customHeight="1">
      <c r="A373" s="22" t="s">
        <v>113</v>
      </c>
      <c r="B373" s="22" t="str">
        <f>IF(MOV_CC_NACIONAL!A373="","",MOV_CC_NACIONAL!A373)</f>
        <v/>
      </c>
      <c r="C373" s="22" t="str">
        <f>IF(MOV_CC_NACIONAL!B373="","",MOV_CC_NACIONAL!B373)</f>
        <v/>
      </c>
      <c r="D373" s="34" t="str">
        <f>IF(MOV_CC_NACIONAL!C373="","",MOV_CC_NACIONAL!C373)</f>
        <v/>
      </c>
      <c r="E373" s="22" t="str">
        <f t="shared" si="1"/>
        <v/>
      </c>
      <c r="F373" s="22" t="str">
        <f>IFERROR(__xludf.DUMMYFUNCTION("IF(C373="""","""", OR(REGEXMATCH(LOWER(C373),""cuota""), REGEXMATCH(C373,""\d+\s*/\s*\d+"")))"),"")</f>
        <v/>
      </c>
      <c r="G373" s="22" t="str">
        <f>IFERROR(__xludf.DUMMYFUNCTION("IFERROR(VALUE(REGEXEXTRACT(C373,""(\d+)\s*/\s*\d+"")),"""")"),"")</f>
        <v/>
      </c>
      <c r="H373" s="22" t="str">
        <f>IFERROR(__xludf.DUMMYFUNCTION("IFERROR(VALUE(REGEXEXTRACT(C373,""\d+\s*/\s*(\d+)"")),"""")"),"")</f>
        <v/>
      </c>
      <c r="I373" s="22" t="str">
        <f t="shared" si="2"/>
        <v/>
      </c>
      <c r="J373" s="34" t="str">
        <f t="shared" si="3"/>
        <v/>
      </c>
    </row>
    <row r="374" ht="15.75" customHeight="1">
      <c r="A374" s="32" t="s">
        <v>113</v>
      </c>
      <c r="B374" s="32" t="str">
        <f>IF(MOV_CC_NACIONAL!A374="","",MOV_CC_NACIONAL!A374)</f>
        <v/>
      </c>
      <c r="C374" s="32" t="str">
        <f>IF(MOV_CC_NACIONAL!B374="","",MOV_CC_NACIONAL!B374)</f>
        <v/>
      </c>
      <c r="D374" s="33" t="str">
        <f>IF(MOV_CC_NACIONAL!C374="","",MOV_CC_NACIONAL!C374)</f>
        <v/>
      </c>
      <c r="E374" s="32" t="str">
        <f t="shared" si="1"/>
        <v/>
      </c>
      <c r="F374" s="32" t="str">
        <f>IFERROR(__xludf.DUMMYFUNCTION("IF(C374="""","""", OR(REGEXMATCH(LOWER(C374),""cuota""), REGEXMATCH(C374,""\d+\s*/\s*\d+"")))"),"")</f>
        <v/>
      </c>
      <c r="G374" s="32" t="str">
        <f>IFERROR(__xludf.DUMMYFUNCTION("IFERROR(VALUE(REGEXEXTRACT(C374,""(\d+)\s*/\s*\d+"")),"""")"),"")</f>
        <v/>
      </c>
      <c r="H374" s="32" t="str">
        <f>IFERROR(__xludf.DUMMYFUNCTION("IFERROR(VALUE(REGEXEXTRACT(C374,""\d+\s*/\s*(\d+)"")),"""")"),"")</f>
        <v/>
      </c>
      <c r="I374" s="32" t="str">
        <f t="shared" si="2"/>
        <v/>
      </c>
      <c r="J374" s="33" t="str">
        <f t="shared" si="3"/>
        <v/>
      </c>
    </row>
    <row r="375" ht="15.75" customHeight="1">
      <c r="A375" s="22" t="s">
        <v>113</v>
      </c>
      <c r="B375" s="22" t="str">
        <f>IF(MOV_CC_NACIONAL!A375="","",MOV_CC_NACIONAL!A375)</f>
        <v/>
      </c>
      <c r="C375" s="22" t="str">
        <f>IF(MOV_CC_NACIONAL!B375="","",MOV_CC_NACIONAL!B375)</f>
        <v/>
      </c>
      <c r="D375" s="34" t="str">
        <f>IF(MOV_CC_NACIONAL!C375="","",MOV_CC_NACIONAL!C375)</f>
        <v/>
      </c>
      <c r="E375" s="22" t="str">
        <f t="shared" si="1"/>
        <v/>
      </c>
      <c r="F375" s="22" t="str">
        <f>IFERROR(__xludf.DUMMYFUNCTION("IF(C375="""","""", OR(REGEXMATCH(LOWER(C375),""cuota""), REGEXMATCH(C375,""\d+\s*/\s*\d+"")))"),"")</f>
        <v/>
      </c>
      <c r="G375" s="22" t="str">
        <f>IFERROR(__xludf.DUMMYFUNCTION("IFERROR(VALUE(REGEXEXTRACT(C375,""(\d+)\s*/\s*\d+"")),"""")"),"")</f>
        <v/>
      </c>
      <c r="H375" s="22" t="str">
        <f>IFERROR(__xludf.DUMMYFUNCTION("IFERROR(VALUE(REGEXEXTRACT(C375,""\d+\s*/\s*(\d+)"")),"""")"),"")</f>
        <v/>
      </c>
      <c r="I375" s="22" t="str">
        <f t="shared" si="2"/>
        <v/>
      </c>
      <c r="J375" s="34" t="str">
        <f t="shared" si="3"/>
        <v/>
      </c>
    </row>
    <row r="376" ht="15.75" customHeight="1">
      <c r="A376" s="32" t="s">
        <v>113</v>
      </c>
      <c r="B376" s="32" t="str">
        <f>IF(MOV_CC_NACIONAL!A376="","",MOV_CC_NACIONAL!A376)</f>
        <v/>
      </c>
      <c r="C376" s="32" t="str">
        <f>IF(MOV_CC_NACIONAL!B376="","",MOV_CC_NACIONAL!B376)</f>
        <v/>
      </c>
      <c r="D376" s="33" t="str">
        <f>IF(MOV_CC_NACIONAL!C376="","",MOV_CC_NACIONAL!C376)</f>
        <v/>
      </c>
      <c r="E376" s="32" t="str">
        <f t="shared" si="1"/>
        <v/>
      </c>
      <c r="F376" s="32" t="str">
        <f>IFERROR(__xludf.DUMMYFUNCTION("IF(C376="""","""", OR(REGEXMATCH(LOWER(C376),""cuota""), REGEXMATCH(C376,""\d+\s*/\s*\d+"")))"),"")</f>
        <v/>
      </c>
      <c r="G376" s="32" t="str">
        <f>IFERROR(__xludf.DUMMYFUNCTION("IFERROR(VALUE(REGEXEXTRACT(C376,""(\d+)\s*/\s*\d+"")),"""")"),"")</f>
        <v/>
      </c>
      <c r="H376" s="32" t="str">
        <f>IFERROR(__xludf.DUMMYFUNCTION("IFERROR(VALUE(REGEXEXTRACT(C376,""\d+\s*/\s*(\d+)"")),"""")"),"")</f>
        <v/>
      </c>
      <c r="I376" s="32" t="str">
        <f t="shared" si="2"/>
        <v/>
      </c>
      <c r="J376" s="33" t="str">
        <f t="shared" si="3"/>
        <v/>
      </c>
    </row>
    <row r="377" ht="15.75" customHeight="1">
      <c r="A377" s="22" t="s">
        <v>113</v>
      </c>
      <c r="B377" s="22" t="str">
        <f>IF(MOV_CC_NACIONAL!A377="","",MOV_CC_NACIONAL!A377)</f>
        <v/>
      </c>
      <c r="C377" s="22" t="str">
        <f>IF(MOV_CC_NACIONAL!B377="","",MOV_CC_NACIONAL!B377)</f>
        <v/>
      </c>
      <c r="D377" s="34" t="str">
        <f>IF(MOV_CC_NACIONAL!C377="","",MOV_CC_NACIONAL!C377)</f>
        <v/>
      </c>
      <c r="E377" s="22" t="str">
        <f t="shared" si="1"/>
        <v/>
      </c>
      <c r="F377" s="22" t="str">
        <f>IFERROR(__xludf.DUMMYFUNCTION("IF(C377="""","""", OR(REGEXMATCH(LOWER(C377),""cuota""), REGEXMATCH(C377,""\d+\s*/\s*\d+"")))"),"")</f>
        <v/>
      </c>
      <c r="G377" s="22" t="str">
        <f>IFERROR(__xludf.DUMMYFUNCTION("IFERROR(VALUE(REGEXEXTRACT(C377,""(\d+)\s*/\s*\d+"")),"""")"),"")</f>
        <v/>
      </c>
      <c r="H377" s="22" t="str">
        <f>IFERROR(__xludf.DUMMYFUNCTION("IFERROR(VALUE(REGEXEXTRACT(C377,""\d+\s*/\s*(\d+)"")),"""")"),"")</f>
        <v/>
      </c>
      <c r="I377" s="22" t="str">
        <f t="shared" si="2"/>
        <v/>
      </c>
      <c r="J377" s="34" t="str">
        <f t="shared" si="3"/>
        <v/>
      </c>
    </row>
    <row r="378" ht="15.75" customHeight="1">
      <c r="A378" s="32" t="s">
        <v>113</v>
      </c>
      <c r="B378" s="32" t="str">
        <f>IF(MOV_CC_NACIONAL!A378="","",MOV_CC_NACIONAL!A378)</f>
        <v/>
      </c>
      <c r="C378" s="32" t="str">
        <f>IF(MOV_CC_NACIONAL!B378="","",MOV_CC_NACIONAL!B378)</f>
        <v/>
      </c>
      <c r="D378" s="33" t="str">
        <f>IF(MOV_CC_NACIONAL!C378="","",MOV_CC_NACIONAL!C378)</f>
        <v/>
      </c>
      <c r="E378" s="32" t="str">
        <f t="shared" si="1"/>
        <v/>
      </c>
      <c r="F378" s="32" t="str">
        <f>IFERROR(__xludf.DUMMYFUNCTION("IF(C378="""","""", OR(REGEXMATCH(LOWER(C378),""cuota""), REGEXMATCH(C378,""\d+\s*/\s*\d+"")))"),"")</f>
        <v/>
      </c>
      <c r="G378" s="32" t="str">
        <f>IFERROR(__xludf.DUMMYFUNCTION("IFERROR(VALUE(REGEXEXTRACT(C378,""(\d+)\s*/\s*\d+"")),"""")"),"")</f>
        <v/>
      </c>
      <c r="H378" s="32" t="str">
        <f>IFERROR(__xludf.DUMMYFUNCTION("IFERROR(VALUE(REGEXEXTRACT(C378,""\d+\s*/\s*(\d+)"")),"""")"),"")</f>
        <v/>
      </c>
      <c r="I378" s="32" t="str">
        <f t="shared" si="2"/>
        <v/>
      </c>
      <c r="J378" s="33" t="str">
        <f t="shared" si="3"/>
        <v/>
      </c>
    </row>
    <row r="379" ht="15.75" customHeight="1">
      <c r="A379" s="22" t="s">
        <v>113</v>
      </c>
      <c r="B379" s="22" t="str">
        <f>IF(MOV_CC_NACIONAL!A379="","",MOV_CC_NACIONAL!A379)</f>
        <v/>
      </c>
      <c r="C379" s="22" t="str">
        <f>IF(MOV_CC_NACIONAL!B379="","",MOV_CC_NACIONAL!B379)</f>
        <v/>
      </c>
      <c r="D379" s="34" t="str">
        <f>IF(MOV_CC_NACIONAL!C379="","",MOV_CC_NACIONAL!C379)</f>
        <v/>
      </c>
      <c r="E379" s="22" t="str">
        <f t="shared" si="1"/>
        <v/>
      </c>
      <c r="F379" s="22" t="str">
        <f>IFERROR(__xludf.DUMMYFUNCTION("IF(C379="""","""", OR(REGEXMATCH(LOWER(C379),""cuota""), REGEXMATCH(C379,""\d+\s*/\s*\d+"")))"),"")</f>
        <v/>
      </c>
      <c r="G379" s="22" t="str">
        <f>IFERROR(__xludf.DUMMYFUNCTION("IFERROR(VALUE(REGEXEXTRACT(C379,""(\d+)\s*/\s*\d+"")),"""")"),"")</f>
        <v/>
      </c>
      <c r="H379" s="22" t="str">
        <f>IFERROR(__xludf.DUMMYFUNCTION("IFERROR(VALUE(REGEXEXTRACT(C379,""\d+\s*/\s*(\d+)"")),"""")"),"")</f>
        <v/>
      </c>
      <c r="I379" s="22" t="str">
        <f t="shared" si="2"/>
        <v/>
      </c>
      <c r="J379" s="34" t="str">
        <f t="shared" si="3"/>
        <v/>
      </c>
    </row>
    <row r="380" ht="15.75" customHeight="1">
      <c r="A380" s="32" t="s">
        <v>113</v>
      </c>
      <c r="B380" s="32" t="str">
        <f>IF(MOV_CC_NACIONAL!A380="","",MOV_CC_NACIONAL!A380)</f>
        <v/>
      </c>
      <c r="C380" s="32" t="str">
        <f>IF(MOV_CC_NACIONAL!B380="","",MOV_CC_NACIONAL!B380)</f>
        <v/>
      </c>
      <c r="D380" s="33" t="str">
        <f>IF(MOV_CC_NACIONAL!C380="","",MOV_CC_NACIONAL!C380)</f>
        <v/>
      </c>
      <c r="E380" s="32" t="str">
        <f t="shared" si="1"/>
        <v/>
      </c>
      <c r="F380" s="32" t="str">
        <f>IFERROR(__xludf.DUMMYFUNCTION("IF(C380="""","""", OR(REGEXMATCH(LOWER(C380),""cuota""), REGEXMATCH(C380,""\d+\s*/\s*\d+"")))"),"")</f>
        <v/>
      </c>
      <c r="G380" s="32" t="str">
        <f>IFERROR(__xludf.DUMMYFUNCTION("IFERROR(VALUE(REGEXEXTRACT(C380,""(\d+)\s*/\s*\d+"")),"""")"),"")</f>
        <v/>
      </c>
      <c r="H380" s="32" t="str">
        <f>IFERROR(__xludf.DUMMYFUNCTION("IFERROR(VALUE(REGEXEXTRACT(C380,""\d+\s*/\s*(\d+)"")),"""")"),"")</f>
        <v/>
      </c>
      <c r="I380" s="32" t="str">
        <f t="shared" si="2"/>
        <v/>
      </c>
      <c r="J380" s="33" t="str">
        <f t="shared" si="3"/>
        <v/>
      </c>
    </row>
    <row r="381" ht="15.75" customHeight="1">
      <c r="A381" s="22" t="s">
        <v>113</v>
      </c>
      <c r="B381" s="22" t="str">
        <f>IF(MOV_CC_NACIONAL!A381="","",MOV_CC_NACIONAL!A381)</f>
        <v/>
      </c>
      <c r="C381" s="22" t="str">
        <f>IF(MOV_CC_NACIONAL!B381="","",MOV_CC_NACIONAL!B381)</f>
        <v/>
      </c>
      <c r="D381" s="34" t="str">
        <f>IF(MOV_CC_NACIONAL!C381="","",MOV_CC_NACIONAL!C381)</f>
        <v/>
      </c>
      <c r="E381" s="22" t="str">
        <f t="shared" si="1"/>
        <v/>
      </c>
      <c r="F381" s="22" t="str">
        <f>IFERROR(__xludf.DUMMYFUNCTION("IF(C381="""","""", OR(REGEXMATCH(LOWER(C381),""cuota""), REGEXMATCH(C381,""\d+\s*/\s*\d+"")))"),"")</f>
        <v/>
      </c>
      <c r="G381" s="22" t="str">
        <f>IFERROR(__xludf.DUMMYFUNCTION("IFERROR(VALUE(REGEXEXTRACT(C381,""(\d+)\s*/\s*\d+"")),"""")"),"")</f>
        <v/>
      </c>
      <c r="H381" s="22" t="str">
        <f>IFERROR(__xludf.DUMMYFUNCTION("IFERROR(VALUE(REGEXEXTRACT(C381,""\d+\s*/\s*(\d+)"")),"""")"),"")</f>
        <v/>
      </c>
      <c r="I381" s="22" t="str">
        <f t="shared" si="2"/>
        <v/>
      </c>
      <c r="J381" s="34" t="str">
        <f t="shared" si="3"/>
        <v/>
      </c>
    </row>
    <row r="382" ht="15.75" customHeight="1">
      <c r="A382" s="32" t="s">
        <v>113</v>
      </c>
      <c r="B382" s="32" t="str">
        <f>IF(MOV_CC_NACIONAL!A382="","",MOV_CC_NACIONAL!A382)</f>
        <v/>
      </c>
      <c r="C382" s="32" t="str">
        <f>IF(MOV_CC_NACIONAL!B382="","",MOV_CC_NACIONAL!B382)</f>
        <v/>
      </c>
      <c r="D382" s="33" t="str">
        <f>IF(MOV_CC_NACIONAL!C382="","",MOV_CC_NACIONAL!C382)</f>
        <v/>
      </c>
      <c r="E382" s="32" t="str">
        <f t="shared" si="1"/>
        <v/>
      </c>
      <c r="F382" s="32" t="str">
        <f>IFERROR(__xludf.DUMMYFUNCTION("IF(C382="""","""", OR(REGEXMATCH(LOWER(C382),""cuota""), REGEXMATCH(C382,""\d+\s*/\s*\d+"")))"),"")</f>
        <v/>
      </c>
      <c r="G382" s="32" t="str">
        <f>IFERROR(__xludf.DUMMYFUNCTION("IFERROR(VALUE(REGEXEXTRACT(C382,""(\d+)\s*/\s*\d+"")),"""")"),"")</f>
        <v/>
      </c>
      <c r="H382" s="32" t="str">
        <f>IFERROR(__xludf.DUMMYFUNCTION("IFERROR(VALUE(REGEXEXTRACT(C382,""\d+\s*/\s*(\d+)"")),"""")"),"")</f>
        <v/>
      </c>
      <c r="I382" s="32" t="str">
        <f t="shared" si="2"/>
        <v/>
      </c>
      <c r="J382" s="33" t="str">
        <f t="shared" si="3"/>
        <v/>
      </c>
    </row>
    <row r="383" ht="15.75" customHeight="1">
      <c r="A383" s="22" t="s">
        <v>113</v>
      </c>
      <c r="B383" s="22" t="str">
        <f>IF(MOV_CC_NACIONAL!A383="","",MOV_CC_NACIONAL!A383)</f>
        <v/>
      </c>
      <c r="C383" s="22" t="str">
        <f>IF(MOV_CC_NACIONAL!B383="","",MOV_CC_NACIONAL!B383)</f>
        <v/>
      </c>
      <c r="D383" s="34" t="str">
        <f>IF(MOV_CC_NACIONAL!C383="","",MOV_CC_NACIONAL!C383)</f>
        <v/>
      </c>
      <c r="E383" s="22" t="str">
        <f t="shared" si="1"/>
        <v/>
      </c>
      <c r="F383" s="22" t="str">
        <f>IFERROR(__xludf.DUMMYFUNCTION("IF(C383="""","""", OR(REGEXMATCH(LOWER(C383),""cuota""), REGEXMATCH(C383,""\d+\s*/\s*\d+"")))"),"")</f>
        <v/>
      </c>
      <c r="G383" s="22" t="str">
        <f>IFERROR(__xludf.DUMMYFUNCTION("IFERROR(VALUE(REGEXEXTRACT(C383,""(\d+)\s*/\s*\d+"")),"""")"),"")</f>
        <v/>
      </c>
      <c r="H383" s="22" t="str">
        <f>IFERROR(__xludf.DUMMYFUNCTION("IFERROR(VALUE(REGEXEXTRACT(C383,""\d+\s*/\s*(\d+)"")),"""")"),"")</f>
        <v/>
      </c>
      <c r="I383" s="22" t="str">
        <f t="shared" si="2"/>
        <v/>
      </c>
      <c r="J383" s="34" t="str">
        <f t="shared" si="3"/>
        <v/>
      </c>
    </row>
    <row r="384" ht="15.75" customHeight="1">
      <c r="A384" s="32" t="s">
        <v>113</v>
      </c>
      <c r="B384" s="32" t="str">
        <f>IF(MOV_CC_NACIONAL!A384="","",MOV_CC_NACIONAL!A384)</f>
        <v/>
      </c>
      <c r="C384" s="32" t="str">
        <f>IF(MOV_CC_NACIONAL!B384="","",MOV_CC_NACIONAL!B384)</f>
        <v/>
      </c>
      <c r="D384" s="33" t="str">
        <f>IF(MOV_CC_NACIONAL!C384="","",MOV_CC_NACIONAL!C384)</f>
        <v/>
      </c>
      <c r="E384" s="32" t="str">
        <f t="shared" si="1"/>
        <v/>
      </c>
      <c r="F384" s="32" t="str">
        <f>IFERROR(__xludf.DUMMYFUNCTION("IF(C384="""","""", OR(REGEXMATCH(LOWER(C384),""cuota""), REGEXMATCH(C384,""\d+\s*/\s*\d+"")))"),"")</f>
        <v/>
      </c>
      <c r="G384" s="32" t="str">
        <f>IFERROR(__xludf.DUMMYFUNCTION("IFERROR(VALUE(REGEXEXTRACT(C384,""(\d+)\s*/\s*\d+"")),"""")"),"")</f>
        <v/>
      </c>
      <c r="H384" s="32" t="str">
        <f>IFERROR(__xludf.DUMMYFUNCTION("IFERROR(VALUE(REGEXEXTRACT(C384,""\d+\s*/\s*(\d+)"")),"""")"),"")</f>
        <v/>
      </c>
      <c r="I384" s="32" t="str">
        <f t="shared" si="2"/>
        <v/>
      </c>
      <c r="J384" s="33" t="str">
        <f t="shared" si="3"/>
        <v/>
      </c>
    </row>
    <row r="385" ht="15.75" customHeight="1">
      <c r="A385" s="22" t="s">
        <v>113</v>
      </c>
      <c r="B385" s="22" t="str">
        <f>IF(MOV_CC_NACIONAL!A385="","",MOV_CC_NACIONAL!A385)</f>
        <v/>
      </c>
      <c r="C385" s="22" t="str">
        <f>IF(MOV_CC_NACIONAL!B385="","",MOV_CC_NACIONAL!B385)</f>
        <v/>
      </c>
      <c r="D385" s="34" t="str">
        <f>IF(MOV_CC_NACIONAL!C385="","",MOV_CC_NACIONAL!C385)</f>
        <v/>
      </c>
      <c r="E385" s="22" t="str">
        <f t="shared" si="1"/>
        <v/>
      </c>
      <c r="F385" s="22" t="str">
        <f>IFERROR(__xludf.DUMMYFUNCTION("IF(C385="""","""", OR(REGEXMATCH(LOWER(C385),""cuota""), REGEXMATCH(C385,""\d+\s*/\s*\d+"")))"),"")</f>
        <v/>
      </c>
      <c r="G385" s="22" t="str">
        <f>IFERROR(__xludf.DUMMYFUNCTION("IFERROR(VALUE(REGEXEXTRACT(C385,""(\d+)\s*/\s*\d+"")),"""")"),"")</f>
        <v/>
      </c>
      <c r="H385" s="22" t="str">
        <f>IFERROR(__xludf.DUMMYFUNCTION("IFERROR(VALUE(REGEXEXTRACT(C385,""\d+\s*/\s*(\d+)"")),"""")"),"")</f>
        <v/>
      </c>
      <c r="I385" s="22" t="str">
        <f t="shared" si="2"/>
        <v/>
      </c>
      <c r="J385" s="34" t="str">
        <f t="shared" si="3"/>
        <v/>
      </c>
    </row>
    <row r="386" ht="15.75" customHeight="1">
      <c r="A386" s="32" t="s">
        <v>113</v>
      </c>
      <c r="B386" s="32" t="str">
        <f>IF(MOV_CC_NACIONAL!A386="","",MOV_CC_NACIONAL!A386)</f>
        <v/>
      </c>
      <c r="C386" s="32" t="str">
        <f>IF(MOV_CC_NACIONAL!B386="","",MOV_CC_NACIONAL!B386)</f>
        <v/>
      </c>
      <c r="D386" s="33" t="str">
        <f>IF(MOV_CC_NACIONAL!C386="","",MOV_CC_NACIONAL!C386)</f>
        <v/>
      </c>
      <c r="E386" s="32" t="str">
        <f t="shared" si="1"/>
        <v/>
      </c>
      <c r="F386" s="32" t="str">
        <f>IFERROR(__xludf.DUMMYFUNCTION("IF(C386="""","""", OR(REGEXMATCH(LOWER(C386),""cuota""), REGEXMATCH(C386,""\d+\s*/\s*\d+"")))"),"")</f>
        <v/>
      </c>
      <c r="G386" s="32" t="str">
        <f>IFERROR(__xludf.DUMMYFUNCTION("IFERROR(VALUE(REGEXEXTRACT(C386,""(\d+)\s*/\s*\d+"")),"""")"),"")</f>
        <v/>
      </c>
      <c r="H386" s="32" t="str">
        <f>IFERROR(__xludf.DUMMYFUNCTION("IFERROR(VALUE(REGEXEXTRACT(C386,""\d+\s*/\s*(\d+)"")),"""")"),"")</f>
        <v/>
      </c>
      <c r="I386" s="32" t="str">
        <f t="shared" si="2"/>
        <v/>
      </c>
      <c r="J386" s="33" t="str">
        <f t="shared" si="3"/>
        <v/>
      </c>
    </row>
    <row r="387" ht="15.75" customHeight="1">
      <c r="A387" s="22" t="s">
        <v>113</v>
      </c>
      <c r="B387" s="22" t="str">
        <f>IF(MOV_CC_NACIONAL!A387="","",MOV_CC_NACIONAL!A387)</f>
        <v/>
      </c>
      <c r="C387" s="22" t="str">
        <f>IF(MOV_CC_NACIONAL!B387="","",MOV_CC_NACIONAL!B387)</f>
        <v/>
      </c>
      <c r="D387" s="34" t="str">
        <f>IF(MOV_CC_NACIONAL!C387="","",MOV_CC_NACIONAL!C387)</f>
        <v/>
      </c>
      <c r="E387" s="22" t="str">
        <f t="shared" si="1"/>
        <v/>
      </c>
      <c r="F387" s="22" t="str">
        <f>IFERROR(__xludf.DUMMYFUNCTION("IF(C387="""","""", OR(REGEXMATCH(LOWER(C387),""cuota""), REGEXMATCH(C387,""\d+\s*/\s*\d+"")))"),"")</f>
        <v/>
      </c>
      <c r="G387" s="22" t="str">
        <f>IFERROR(__xludf.DUMMYFUNCTION("IFERROR(VALUE(REGEXEXTRACT(C387,""(\d+)\s*/\s*\d+"")),"""")"),"")</f>
        <v/>
      </c>
      <c r="H387" s="22" t="str">
        <f>IFERROR(__xludf.DUMMYFUNCTION("IFERROR(VALUE(REGEXEXTRACT(C387,""\d+\s*/\s*(\d+)"")),"""")"),"")</f>
        <v/>
      </c>
      <c r="I387" s="22" t="str">
        <f t="shared" si="2"/>
        <v/>
      </c>
      <c r="J387" s="34" t="str">
        <f t="shared" si="3"/>
        <v/>
      </c>
    </row>
    <row r="388" ht="15.75" customHeight="1">
      <c r="A388" s="32" t="s">
        <v>113</v>
      </c>
      <c r="B388" s="32" t="str">
        <f>IF(MOV_CC_NACIONAL!A388="","",MOV_CC_NACIONAL!A388)</f>
        <v/>
      </c>
      <c r="C388" s="32" t="str">
        <f>IF(MOV_CC_NACIONAL!B388="","",MOV_CC_NACIONAL!B388)</f>
        <v/>
      </c>
      <c r="D388" s="33" t="str">
        <f>IF(MOV_CC_NACIONAL!C388="","",MOV_CC_NACIONAL!C388)</f>
        <v/>
      </c>
      <c r="E388" s="32" t="str">
        <f t="shared" si="1"/>
        <v/>
      </c>
      <c r="F388" s="32" t="str">
        <f>IFERROR(__xludf.DUMMYFUNCTION("IF(C388="""","""", OR(REGEXMATCH(LOWER(C388),""cuota""), REGEXMATCH(C388,""\d+\s*/\s*\d+"")))"),"")</f>
        <v/>
      </c>
      <c r="G388" s="32" t="str">
        <f>IFERROR(__xludf.DUMMYFUNCTION("IFERROR(VALUE(REGEXEXTRACT(C388,""(\d+)\s*/\s*\d+"")),"""")"),"")</f>
        <v/>
      </c>
      <c r="H388" s="32" t="str">
        <f>IFERROR(__xludf.DUMMYFUNCTION("IFERROR(VALUE(REGEXEXTRACT(C388,""\d+\s*/\s*(\d+)"")),"""")"),"")</f>
        <v/>
      </c>
      <c r="I388" s="32" t="str">
        <f t="shared" si="2"/>
        <v/>
      </c>
      <c r="J388" s="33" t="str">
        <f t="shared" si="3"/>
        <v/>
      </c>
    </row>
    <row r="389" ht="15.75" customHeight="1">
      <c r="A389" s="22" t="s">
        <v>113</v>
      </c>
      <c r="B389" s="22" t="str">
        <f>IF(MOV_CC_NACIONAL!A389="","",MOV_CC_NACIONAL!A389)</f>
        <v/>
      </c>
      <c r="C389" s="22" t="str">
        <f>IF(MOV_CC_NACIONAL!B389="","",MOV_CC_NACIONAL!B389)</f>
        <v/>
      </c>
      <c r="D389" s="34" t="str">
        <f>IF(MOV_CC_NACIONAL!C389="","",MOV_CC_NACIONAL!C389)</f>
        <v/>
      </c>
      <c r="E389" s="22" t="str">
        <f t="shared" si="1"/>
        <v/>
      </c>
      <c r="F389" s="22" t="str">
        <f>IFERROR(__xludf.DUMMYFUNCTION("IF(C389="""","""", OR(REGEXMATCH(LOWER(C389),""cuota""), REGEXMATCH(C389,""\d+\s*/\s*\d+"")))"),"")</f>
        <v/>
      </c>
      <c r="G389" s="22" t="str">
        <f>IFERROR(__xludf.DUMMYFUNCTION("IFERROR(VALUE(REGEXEXTRACT(C389,""(\d+)\s*/\s*\d+"")),"""")"),"")</f>
        <v/>
      </c>
      <c r="H389" s="22" t="str">
        <f>IFERROR(__xludf.DUMMYFUNCTION("IFERROR(VALUE(REGEXEXTRACT(C389,""\d+\s*/\s*(\d+)"")),"""")"),"")</f>
        <v/>
      </c>
      <c r="I389" s="22" t="str">
        <f t="shared" si="2"/>
        <v/>
      </c>
      <c r="J389" s="34" t="str">
        <f t="shared" si="3"/>
        <v/>
      </c>
    </row>
    <row r="390" ht="15.75" customHeight="1">
      <c r="A390" s="32" t="s">
        <v>113</v>
      </c>
      <c r="B390" s="32" t="str">
        <f>IF(MOV_CC_NACIONAL!A390="","",MOV_CC_NACIONAL!A390)</f>
        <v/>
      </c>
      <c r="C390" s="32" t="str">
        <f>IF(MOV_CC_NACIONAL!B390="","",MOV_CC_NACIONAL!B390)</f>
        <v/>
      </c>
      <c r="D390" s="33" t="str">
        <f>IF(MOV_CC_NACIONAL!C390="","",MOV_CC_NACIONAL!C390)</f>
        <v/>
      </c>
      <c r="E390" s="32" t="str">
        <f t="shared" si="1"/>
        <v/>
      </c>
      <c r="F390" s="32" t="str">
        <f>IFERROR(__xludf.DUMMYFUNCTION("IF(C390="""","""", OR(REGEXMATCH(LOWER(C390),""cuota""), REGEXMATCH(C390,""\d+\s*/\s*\d+"")))"),"")</f>
        <v/>
      </c>
      <c r="G390" s="32" t="str">
        <f>IFERROR(__xludf.DUMMYFUNCTION("IFERROR(VALUE(REGEXEXTRACT(C390,""(\d+)\s*/\s*\d+"")),"""")"),"")</f>
        <v/>
      </c>
      <c r="H390" s="32" t="str">
        <f>IFERROR(__xludf.DUMMYFUNCTION("IFERROR(VALUE(REGEXEXTRACT(C390,""\d+\s*/\s*(\d+)"")),"""")"),"")</f>
        <v/>
      </c>
      <c r="I390" s="32" t="str">
        <f t="shared" si="2"/>
        <v/>
      </c>
      <c r="J390" s="33" t="str">
        <f t="shared" si="3"/>
        <v/>
      </c>
    </row>
    <row r="391" ht="15.75" customHeight="1">
      <c r="A391" s="22" t="s">
        <v>113</v>
      </c>
      <c r="B391" s="22" t="str">
        <f>IF(MOV_CC_NACIONAL!A391="","",MOV_CC_NACIONAL!A391)</f>
        <v/>
      </c>
      <c r="C391" s="22" t="str">
        <f>IF(MOV_CC_NACIONAL!B391="","",MOV_CC_NACIONAL!B391)</f>
        <v/>
      </c>
      <c r="D391" s="34" t="str">
        <f>IF(MOV_CC_NACIONAL!C391="","",MOV_CC_NACIONAL!C391)</f>
        <v/>
      </c>
      <c r="E391" s="22" t="str">
        <f t="shared" si="1"/>
        <v/>
      </c>
      <c r="F391" s="22" t="str">
        <f>IFERROR(__xludf.DUMMYFUNCTION("IF(C391="""","""", OR(REGEXMATCH(LOWER(C391),""cuota""), REGEXMATCH(C391,""\d+\s*/\s*\d+"")))"),"")</f>
        <v/>
      </c>
      <c r="G391" s="22" t="str">
        <f>IFERROR(__xludf.DUMMYFUNCTION("IFERROR(VALUE(REGEXEXTRACT(C391,""(\d+)\s*/\s*\d+"")),"""")"),"")</f>
        <v/>
      </c>
      <c r="H391" s="22" t="str">
        <f>IFERROR(__xludf.DUMMYFUNCTION("IFERROR(VALUE(REGEXEXTRACT(C391,""\d+\s*/\s*(\d+)"")),"""")"),"")</f>
        <v/>
      </c>
      <c r="I391" s="22" t="str">
        <f t="shared" si="2"/>
        <v/>
      </c>
      <c r="J391" s="34" t="str">
        <f t="shared" si="3"/>
        <v/>
      </c>
    </row>
    <row r="392" ht="15.75" customHeight="1">
      <c r="A392" s="32" t="s">
        <v>113</v>
      </c>
      <c r="B392" s="32" t="str">
        <f>IF(MOV_CC_NACIONAL!A392="","",MOV_CC_NACIONAL!A392)</f>
        <v/>
      </c>
      <c r="C392" s="32" t="str">
        <f>IF(MOV_CC_NACIONAL!B392="","",MOV_CC_NACIONAL!B392)</f>
        <v/>
      </c>
      <c r="D392" s="33" t="str">
        <f>IF(MOV_CC_NACIONAL!C392="","",MOV_CC_NACIONAL!C392)</f>
        <v/>
      </c>
      <c r="E392" s="32" t="str">
        <f t="shared" si="1"/>
        <v/>
      </c>
      <c r="F392" s="32" t="str">
        <f>IFERROR(__xludf.DUMMYFUNCTION("IF(C392="""","""", OR(REGEXMATCH(LOWER(C392),""cuota""), REGEXMATCH(C392,""\d+\s*/\s*\d+"")))"),"")</f>
        <v/>
      </c>
      <c r="G392" s="32" t="str">
        <f>IFERROR(__xludf.DUMMYFUNCTION("IFERROR(VALUE(REGEXEXTRACT(C392,""(\d+)\s*/\s*\d+"")),"""")"),"")</f>
        <v/>
      </c>
      <c r="H392" s="32" t="str">
        <f>IFERROR(__xludf.DUMMYFUNCTION("IFERROR(VALUE(REGEXEXTRACT(C392,""\d+\s*/\s*(\d+)"")),"""")"),"")</f>
        <v/>
      </c>
      <c r="I392" s="32" t="str">
        <f t="shared" si="2"/>
        <v/>
      </c>
      <c r="J392" s="33" t="str">
        <f t="shared" si="3"/>
        <v/>
      </c>
    </row>
    <row r="393" ht="15.75" customHeight="1">
      <c r="A393" s="22" t="s">
        <v>113</v>
      </c>
      <c r="B393" s="22" t="str">
        <f>IF(MOV_CC_NACIONAL!A393="","",MOV_CC_NACIONAL!A393)</f>
        <v/>
      </c>
      <c r="C393" s="22" t="str">
        <f>IF(MOV_CC_NACIONAL!B393="","",MOV_CC_NACIONAL!B393)</f>
        <v/>
      </c>
      <c r="D393" s="34" t="str">
        <f>IF(MOV_CC_NACIONAL!C393="","",MOV_CC_NACIONAL!C393)</f>
        <v/>
      </c>
      <c r="E393" s="22" t="str">
        <f t="shared" si="1"/>
        <v/>
      </c>
      <c r="F393" s="22" t="str">
        <f>IFERROR(__xludf.DUMMYFUNCTION("IF(C393="""","""", OR(REGEXMATCH(LOWER(C393),""cuota""), REGEXMATCH(C393,""\d+\s*/\s*\d+"")))"),"")</f>
        <v/>
      </c>
      <c r="G393" s="22" t="str">
        <f>IFERROR(__xludf.DUMMYFUNCTION("IFERROR(VALUE(REGEXEXTRACT(C393,""(\d+)\s*/\s*\d+"")),"""")"),"")</f>
        <v/>
      </c>
      <c r="H393" s="22" t="str">
        <f>IFERROR(__xludf.DUMMYFUNCTION("IFERROR(VALUE(REGEXEXTRACT(C393,""\d+\s*/\s*(\d+)"")),"""")"),"")</f>
        <v/>
      </c>
      <c r="I393" s="22" t="str">
        <f t="shared" si="2"/>
        <v/>
      </c>
      <c r="J393" s="34" t="str">
        <f t="shared" si="3"/>
        <v/>
      </c>
    </row>
    <row r="394" ht="15.75" customHeight="1">
      <c r="A394" s="32" t="s">
        <v>113</v>
      </c>
      <c r="B394" s="32" t="str">
        <f>IF(MOV_CC_NACIONAL!A394="","",MOV_CC_NACIONAL!A394)</f>
        <v/>
      </c>
      <c r="C394" s="32" t="str">
        <f>IF(MOV_CC_NACIONAL!B394="","",MOV_CC_NACIONAL!B394)</f>
        <v/>
      </c>
      <c r="D394" s="33" t="str">
        <f>IF(MOV_CC_NACIONAL!C394="","",MOV_CC_NACIONAL!C394)</f>
        <v/>
      </c>
      <c r="E394" s="32" t="str">
        <f t="shared" si="1"/>
        <v/>
      </c>
      <c r="F394" s="32" t="str">
        <f>IFERROR(__xludf.DUMMYFUNCTION("IF(C394="""","""", OR(REGEXMATCH(LOWER(C394),""cuota""), REGEXMATCH(C394,""\d+\s*/\s*\d+"")))"),"")</f>
        <v/>
      </c>
      <c r="G394" s="32" t="str">
        <f>IFERROR(__xludf.DUMMYFUNCTION("IFERROR(VALUE(REGEXEXTRACT(C394,""(\d+)\s*/\s*\d+"")),"""")"),"")</f>
        <v/>
      </c>
      <c r="H394" s="32" t="str">
        <f>IFERROR(__xludf.DUMMYFUNCTION("IFERROR(VALUE(REGEXEXTRACT(C394,""\d+\s*/\s*(\d+)"")),"""")"),"")</f>
        <v/>
      </c>
      <c r="I394" s="32" t="str">
        <f t="shared" si="2"/>
        <v/>
      </c>
      <c r="J394" s="33" t="str">
        <f t="shared" si="3"/>
        <v/>
      </c>
    </row>
    <row r="395" ht="15.75" customHeight="1">
      <c r="A395" s="22" t="s">
        <v>113</v>
      </c>
      <c r="B395" s="22" t="str">
        <f>IF(MOV_CC_NACIONAL!A395="","",MOV_CC_NACIONAL!A395)</f>
        <v/>
      </c>
      <c r="C395" s="22" t="str">
        <f>IF(MOV_CC_NACIONAL!B395="","",MOV_CC_NACIONAL!B395)</f>
        <v/>
      </c>
      <c r="D395" s="34" t="str">
        <f>IF(MOV_CC_NACIONAL!C395="","",MOV_CC_NACIONAL!C395)</f>
        <v/>
      </c>
      <c r="E395" s="22" t="str">
        <f t="shared" si="1"/>
        <v/>
      </c>
      <c r="F395" s="22" t="str">
        <f>IFERROR(__xludf.DUMMYFUNCTION("IF(C395="""","""", OR(REGEXMATCH(LOWER(C395),""cuota""), REGEXMATCH(C395,""\d+\s*/\s*\d+"")))"),"")</f>
        <v/>
      </c>
      <c r="G395" s="22" t="str">
        <f>IFERROR(__xludf.DUMMYFUNCTION("IFERROR(VALUE(REGEXEXTRACT(C395,""(\d+)\s*/\s*\d+"")),"""")"),"")</f>
        <v/>
      </c>
      <c r="H395" s="22" t="str">
        <f>IFERROR(__xludf.DUMMYFUNCTION("IFERROR(VALUE(REGEXEXTRACT(C395,""\d+\s*/\s*(\d+)"")),"""")"),"")</f>
        <v/>
      </c>
      <c r="I395" s="22" t="str">
        <f t="shared" si="2"/>
        <v/>
      </c>
      <c r="J395" s="34" t="str">
        <f t="shared" si="3"/>
        <v/>
      </c>
    </row>
    <row r="396" ht="15.75" customHeight="1">
      <c r="A396" s="32" t="s">
        <v>113</v>
      </c>
      <c r="B396" s="32" t="str">
        <f>IF(MOV_CC_NACIONAL!A396="","",MOV_CC_NACIONAL!A396)</f>
        <v/>
      </c>
      <c r="C396" s="32" t="str">
        <f>IF(MOV_CC_NACIONAL!B396="","",MOV_CC_NACIONAL!B396)</f>
        <v/>
      </c>
      <c r="D396" s="33" t="str">
        <f>IF(MOV_CC_NACIONAL!C396="","",MOV_CC_NACIONAL!C396)</f>
        <v/>
      </c>
      <c r="E396" s="32" t="str">
        <f t="shared" si="1"/>
        <v/>
      </c>
      <c r="F396" s="32" t="str">
        <f>IFERROR(__xludf.DUMMYFUNCTION("IF(C396="""","""", OR(REGEXMATCH(LOWER(C396),""cuota""), REGEXMATCH(C396,""\d+\s*/\s*\d+"")))"),"")</f>
        <v/>
      </c>
      <c r="G396" s="32" t="str">
        <f>IFERROR(__xludf.DUMMYFUNCTION("IFERROR(VALUE(REGEXEXTRACT(C396,""(\d+)\s*/\s*\d+"")),"""")"),"")</f>
        <v/>
      </c>
      <c r="H396" s="32" t="str">
        <f>IFERROR(__xludf.DUMMYFUNCTION("IFERROR(VALUE(REGEXEXTRACT(C396,""\d+\s*/\s*(\d+)"")),"""")"),"")</f>
        <v/>
      </c>
      <c r="I396" s="32" t="str">
        <f t="shared" si="2"/>
        <v/>
      </c>
      <c r="J396" s="33" t="str">
        <f t="shared" si="3"/>
        <v/>
      </c>
    </row>
    <row r="397" ht="15.75" customHeight="1">
      <c r="A397" s="22" t="s">
        <v>113</v>
      </c>
      <c r="B397" s="22" t="str">
        <f>IF(MOV_CC_NACIONAL!A397="","",MOV_CC_NACIONAL!A397)</f>
        <v/>
      </c>
      <c r="C397" s="22" t="str">
        <f>IF(MOV_CC_NACIONAL!B397="","",MOV_CC_NACIONAL!B397)</f>
        <v/>
      </c>
      <c r="D397" s="34" t="str">
        <f>IF(MOV_CC_NACIONAL!C397="","",MOV_CC_NACIONAL!C397)</f>
        <v/>
      </c>
      <c r="E397" s="22" t="str">
        <f t="shared" si="1"/>
        <v/>
      </c>
      <c r="F397" s="22" t="str">
        <f>IFERROR(__xludf.DUMMYFUNCTION("IF(C397="""","""", OR(REGEXMATCH(LOWER(C397),""cuota""), REGEXMATCH(C397,""\d+\s*/\s*\d+"")))"),"")</f>
        <v/>
      </c>
      <c r="G397" s="22" t="str">
        <f>IFERROR(__xludf.DUMMYFUNCTION("IFERROR(VALUE(REGEXEXTRACT(C397,""(\d+)\s*/\s*\d+"")),"""")"),"")</f>
        <v/>
      </c>
      <c r="H397" s="22" t="str">
        <f>IFERROR(__xludf.DUMMYFUNCTION("IFERROR(VALUE(REGEXEXTRACT(C397,""\d+\s*/\s*(\d+)"")),"""")"),"")</f>
        <v/>
      </c>
      <c r="I397" s="22" t="str">
        <f t="shared" si="2"/>
        <v/>
      </c>
      <c r="J397" s="34" t="str">
        <f t="shared" si="3"/>
        <v/>
      </c>
    </row>
    <row r="398" ht="15.75" customHeight="1">
      <c r="A398" s="32" t="s">
        <v>113</v>
      </c>
      <c r="B398" s="32" t="str">
        <f>IF(MOV_CC_NACIONAL!A398="","",MOV_CC_NACIONAL!A398)</f>
        <v/>
      </c>
      <c r="C398" s="32" t="str">
        <f>IF(MOV_CC_NACIONAL!B398="","",MOV_CC_NACIONAL!B398)</f>
        <v/>
      </c>
      <c r="D398" s="33" t="str">
        <f>IF(MOV_CC_NACIONAL!C398="","",MOV_CC_NACIONAL!C398)</f>
        <v/>
      </c>
      <c r="E398" s="32" t="str">
        <f t="shared" si="1"/>
        <v/>
      </c>
      <c r="F398" s="32" t="str">
        <f>IFERROR(__xludf.DUMMYFUNCTION("IF(C398="""","""", OR(REGEXMATCH(LOWER(C398),""cuota""), REGEXMATCH(C398,""\d+\s*/\s*\d+"")))"),"")</f>
        <v/>
      </c>
      <c r="G398" s="32" t="str">
        <f>IFERROR(__xludf.DUMMYFUNCTION("IFERROR(VALUE(REGEXEXTRACT(C398,""(\d+)\s*/\s*\d+"")),"""")"),"")</f>
        <v/>
      </c>
      <c r="H398" s="32" t="str">
        <f>IFERROR(__xludf.DUMMYFUNCTION("IFERROR(VALUE(REGEXEXTRACT(C398,""\d+\s*/\s*(\d+)"")),"""")"),"")</f>
        <v/>
      </c>
      <c r="I398" s="32" t="str">
        <f t="shared" si="2"/>
        <v/>
      </c>
      <c r="J398" s="33" t="str">
        <f t="shared" si="3"/>
        <v/>
      </c>
    </row>
    <row r="399" ht="15.75" customHeight="1">
      <c r="A399" s="22" t="s">
        <v>113</v>
      </c>
      <c r="B399" s="22" t="str">
        <f>IF(MOV_CC_NACIONAL!A399="","",MOV_CC_NACIONAL!A399)</f>
        <v/>
      </c>
      <c r="C399" s="22" t="str">
        <f>IF(MOV_CC_NACIONAL!B399="","",MOV_CC_NACIONAL!B399)</f>
        <v/>
      </c>
      <c r="D399" s="34" t="str">
        <f>IF(MOV_CC_NACIONAL!C399="","",MOV_CC_NACIONAL!C399)</f>
        <v/>
      </c>
      <c r="E399" s="22" t="str">
        <f t="shared" si="1"/>
        <v/>
      </c>
      <c r="F399" s="22" t="str">
        <f>IFERROR(__xludf.DUMMYFUNCTION("IF(C399="""","""", OR(REGEXMATCH(LOWER(C399),""cuota""), REGEXMATCH(C399,""\d+\s*/\s*\d+"")))"),"")</f>
        <v/>
      </c>
      <c r="G399" s="22" t="str">
        <f>IFERROR(__xludf.DUMMYFUNCTION("IFERROR(VALUE(REGEXEXTRACT(C399,""(\d+)\s*/\s*\d+"")),"""")"),"")</f>
        <v/>
      </c>
      <c r="H399" s="22" t="str">
        <f>IFERROR(__xludf.DUMMYFUNCTION("IFERROR(VALUE(REGEXEXTRACT(C399,""\d+\s*/\s*(\d+)"")),"""")"),"")</f>
        <v/>
      </c>
      <c r="I399" s="22" t="str">
        <f t="shared" si="2"/>
        <v/>
      </c>
      <c r="J399" s="34" t="str">
        <f t="shared" si="3"/>
        <v/>
      </c>
    </row>
    <row r="400" ht="15.75" customHeight="1">
      <c r="A400" s="32" t="s">
        <v>113</v>
      </c>
      <c r="B400" s="32" t="str">
        <f>IF(MOV_CC_NACIONAL!A400="","",MOV_CC_NACIONAL!A400)</f>
        <v/>
      </c>
      <c r="C400" s="32" t="str">
        <f>IF(MOV_CC_NACIONAL!B400="","",MOV_CC_NACIONAL!B400)</f>
        <v/>
      </c>
      <c r="D400" s="33" t="str">
        <f>IF(MOV_CC_NACIONAL!C400="","",MOV_CC_NACIONAL!C400)</f>
        <v/>
      </c>
      <c r="E400" s="32" t="str">
        <f t="shared" si="1"/>
        <v/>
      </c>
      <c r="F400" s="32" t="str">
        <f>IFERROR(__xludf.DUMMYFUNCTION("IF(C400="""","""", OR(REGEXMATCH(LOWER(C400),""cuota""), REGEXMATCH(C400,""\d+\s*/\s*\d+"")))"),"")</f>
        <v/>
      </c>
      <c r="G400" s="32" t="str">
        <f>IFERROR(__xludf.DUMMYFUNCTION("IFERROR(VALUE(REGEXEXTRACT(C400,""(\d+)\s*/\s*\d+"")),"""")"),"")</f>
        <v/>
      </c>
      <c r="H400" s="32" t="str">
        <f>IFERROR(__xludf.DUMMYFUNCTION("IFERROR(VALUE(REGEXEXTRACT(C400,""\d+\s*/\s*(\d+)"")),"""")"),"")</f>
        <v/>
      </c>
      <c r="I400" s="32" t="str">
        <f t="shared" si="2"/>
        <v/>
      </c>
      <c r="J400" s="33" t="str">
        <f t="shared" si="3"/>
        <v/>
      </c>
    </row>
    <row r="401" ht="15.75" customHeight="1">
      <c r="A401" s="22" t="s">
        <v>113</v>
      </c>
      <c r="B401" s="22" t="str">
        <f>IF(MOV_CC_NACIONAL!A401="","",MOV_CC_NACIONAL!A401)</f>
        <v/>
      </c>
      <c r="C401" s="22" t="str">
        <f>IF(MOV_CC_NACIONAL!B401="","",MOV_CC_NACIONAL!B401)</f>
        <v/>
      </c>
      <c r="D401" s="34" t="str">
        <f>IF(MOV_CC_NACIONAL!C401="","",MOV_CC_NACIONAL!C401)</f>
        <v/>
      </c>
      <c r="E401" s="22" t="str">
        <f t="shared" si="1"/>
        <v/>
      </c>
      <c r="F401" s="22" t="str">
        <f>IFERROR(__xludf.DUMMYFUNCTION("IF(C401="""","""", OR(REGEXMATCH(LOWER(C401),""cuota""), REGEXMATCH(C401,""\d+\s*/\s*\d+"")))"),"")</f>
        <v/>
      </c>
      <c r="G401" s="22" t="str">
        <f>IFERROR(__xludf.DUMMYFUNCTION("IFERROR(VALUE(REGEXEXTRACT(C401,""(\d+)\s*/\s*\d+"")),"""")"),"")</f>
        <v/>
      </c>
      <c r="H401" s="22" t="str">
        <f>IFERROR(__xludf.DUMMYFUNCTION("IFERROR(VALUE(REGEXEXTRACT(C401,""\d+\s*/\s*(\d+)"")),"""")"),"")</f>
        <v/>
      </c>
      <c r="I401" s="22" t="str">
        <f t="shared" si="2"/>
        <v/>
      </c>
      <c r="J401" s="34" t="str">
        <f t="shared" si="3"/>
        <v/>
      </c>
    </row>
    <row r="402" ht="15.75" customHeight="1">
      <c r="A402" s="32" t="s">
        <v>113</v>
      </c>
      <c r="B402" s="32" t="str">
        <f>IF(MOV_CC_NACIONAL!A402="","",MOV_CC_NACIONAL!A402)</f>
        <v/>
      </c>
      <c r="C402" s="32" t="str">
        <f>IF(MOV_CC_NACIONAL!B402="","",MOV_CC_NACIONAL!B402)</f>
        <v/>
      </c>
      <c r="D402" s="33" t="str">
        <f>IF(MOV_CC_NACIONAL!C402="","",MOV_CC_NACIONAL!C402)</f>
        <v/>
      </c>
      <c r="E402" s="32" t="str">
        <f t="shared" si="1"/>
        <v/>
      </c>
      <c r="F402" s="32" t="str">
        <f>IFERROR(__xludf.DUMMYFUNCTION("IF(C402="""","""", OR(REGEXMATCH(LOWER(C402),""cuota""), REGEXMATCH(C402,""\d+\s*/\s*\d+"")))"),"")</f>
        <v/>
      </c>
      <c r="G402" s="32" t="str">
        <f>IFERROR(__xludf.DUMMYFUNCTION("IFERROR(VALUE(REGEXEXTRACT(C402,""(\d+)\s*/\s*\d+"")),"""")"),"")</f>
        <v/>
      </c>
      <c r="H402" s="32" t="str">
        <f>IFERROR(__xludf.DUMMYFUNCTION("IFERROR(VALUE(REGEXEXTRACT(C402,""\d+\s*/\s*(\d+)"")),"""")"),"")</f>
        <v/>
      </c>
      <c r="I402" s="32" t="str">
        <f t="shared" si="2"/>
        <v/>
      </c>
      <c r="J402" s="33" t="str">
        <f t="shared" si="3"/>
        <v/>
      </c>
    </row>
    <row r="403" ht="15.75" customHeight="1">
      <c r="A403" s="22" t="s">
        <v>113</v>
      </c>
      <c r="B403" s="22" t="str">
        <f>IF(MOV_CC_NACIONAL!A403="","",MOV_CC_NACIONAL!A403)</f>
        <v/>
      </c>
      <c r="C403" s="22" t="str">
        <f>IF(MOV_CC_NACIONAL!B403="","",MOV_CC_NACIONAL!B403)</f>
        <v/>
      </c>
      <c r="D403" s="34" t="str">
        <f>IF(MOV_CC_NACIONAL!C403="","",MOV_CC_NACIONAL!C403)</f>
        <v/>
      </c>
      <c r="E403" s="22" t="str">
        <f t="shared" si="1"/>
        <v/>
      </c>
      <c r="F403" s="22" t="str">
        <f>IFERROR(__xludf.DUMMYFUNCTION("IF(C403="""","""", OR(REGEXMATCH(LOWER(C403),""cuota""), REGEXMATCH(C403,""\d+\s*/\s*\d+"")))"),"")</f>
        <v/>
      </c>
      <c r="G403" s="22" t="str">
        <f>IFERROR(__xludf.DUMMYFUNCTION("IFERROR(VALUE(REGEXEXTRACT(C403,""(\d+)\s*/\s*\d+"")),"""")"),"")</f>
        <v/>
      </c>
      <c r="H403" s="22" t="str">
        <f>IFERROR(__xludf.DUMMYFUNCTION("IFERROR(VALUE(REGEXEXTRACT(C403,""\d+\s*/\s*(\d+)"")),"""")"),"")</f>
        <v/>
      </c>
      <c r="I403" s="22" t="str">
        <f t="shared" si="2"/>
        <v/>
      </c>
      <c r="J403" s="34" t="str">
        <f t="shared" si="3"/>
        <v/>
      </c>
    </row>
    <row r="404" ht="15.75" customHeight="1">
      <c r="A404" s="32" t="s">
        <v>113</v>
      </c>
      <c r="B404" s="32" t="str">
        <f>IF(MOV_CC_NACIONAL!A404="","",MOV_CC_NACIONAL!A404)</f>
        <v/>
      </c>
      <c r="C404" s="32" t="str">
        <f>IF(MOV_CC_NACIONAL!B404="","",MOV_CC_NACIONAL!B404)</f>
        <v/>
      </c>
      <c r="D404" s="33" t="str">
        <f>IF(MOV_CC_NACIONAL!C404="","",MOV_CC_NACIONAL!C404)</f>
        <v/>
      </c>
      <c r="E404" s="32" t="str">
        <f t="shared" si="1"/>
        <v/>
      </c>
      <c r="F404" s="32" t="str">
        <f>IFERROR(__xludf.DUMMYFUNCTION("IF(C404="""","""", OR(REGEXMATCH(LOWER(C404),""cuota""), REGEXMATCH(C404,""\d+\s*/\s*\d+"")))"),"")</f>
        <v/>
      </c>
      <c r="G404" s="32" t="str">
        <f>IFERROR(__xludf.DUMMYFUNCTION("IFERROR(VALUE(REGEXEXTRACT(C404,""(\d+)\s*/\s*\d+"")),"""")"),"")</f>
        <v/>
      </c>
      <c r="H404" s="32" t="str">
        <f>IFERROR(__xludf.DUMMYFUNCTION("IFERROR(VALUE(REGEXEXTRACT(C404,""\d+\s*/\s*(\d+)"")),"""")"),"")</f>
        <v/>
      </c>
      <c r="I404" s="32" t="str">
        <f t="shared" si="2"/>
        <v/>
      </c>
      <c r="J404" s="33" t="str">
        <f t="shared" si="3"/>
        <v/>
      </c>
    </row>
    <row r="405" ht="15.75" customHeight="1">
      <c r="A405" s="22" t="s">
        <v>113</v>
      </c>
      <c r="B405" s="22" t="str">
        <f>IF(MOV_CC_NACIONAL!A405="","",MOV_CC_NACIONAL!A405)</f>
        <v/>
      </c>
      <c r="C405" s="22" t="str">
        <f>IF(MOV_CC_NACIONAL!B405="","",MOV_CC_NACIONAL!B405)</f>
        <v/>
      </c>
      <c r="D405" s="34" t="str">
        <f>IF(MOV_CC_NACIONAL!C405="","",MOV_CC_NACIONAL!C405)</f>
        <v/>
      </c>
      <c r="E405" s="22" t="str">
        <f t="shared" si="1"/>
        <v/>
      </c>
      <c r="F405" s="22" t="str">
        <f>IFERROR(__xludf.DUMMYFUNCTION("IF(C405="""","""", OR(REGEXMATCH(LOWER(C405),""cuota""), REGEXMATCH(C405,""\d+\s*/\s*\d+"")))"),"")</f>
        <v/>
      </c>
      <c r="G405" s="22" t="str">
        <f>IFERROR(__xludf.DUMMYFUNCTION("IFERROR(VALUE(REGEXEXTRACT(C405,""(\d+)\s*/\s*\d+"")),"""")"),"")</f>
        <v/>
      </c>
      <c r="H405" s="22" t="str">
        <f>IFERROR(__xludf.DUMMYFUNCTION("IFERROR(VALUE(REGEXEXTRACT(C405,""\d+\s*/\s*(\d+)"")),"""")"),"")</f>
        <v/>
      </c>
      <c r="I405" s="22" t="str">
        <f t="shared" si="2"/>
        <v/>
      </c>
      <c r="J405" s="34" t="str">
        <f t="shared" si="3"/>
        <v/>
      </c>
    </row>
    <row r="406" ht="15.75" customHeight="1">
      <c r="A406" s="32" t="s">
        <v>113</v>
      </c>
      <c r="B406" s="32" t="str">
        <f>IF(MOV_CC_NACIONAL!A406="","",MOV_CC_NACIONAL!A406)</f>
        <v/>
      </c>
      <c r="C406" s="32" t="str">
        <f>IF(MOV_CC_NACIONAL!B406="","",MOV_CC_NACIONAL!B406)</f>
        <v/>
      </c>
      <c r="D406" s="33" t="str">
        <f>IF(MOV_CC_NACIONAL!C406="","",MOV_CC_NACIONAL!C406)</f>
        <v/>
      </c>
      <c r="E406" s="32" t="str">
        <f t="shared" si="1"/>
        <v/>
      </c>
      <c r="F406" s="32" t="str">
        <f>IFERROR(__xludf.DUMMYFUNCTION("IF(C406="""","""", OR(REGEXMATCH(LOWER(C406),""cuota""), REGEXMATCH(C406,""\d+\s*/\s*\d+"")))"),"")</f>
        <v/>
      </c>
      <c r="G406" s="32" t="str">
        <f>IFERROR(__xludf.DUMMYFUNCTION("IFERROR(VALUE(REGEXEXTRACT(C406,""(\d+)\s*/\s*\d+"")),"""")"),"")</f>
        <v/>
      </c>
      <c r="H406" s="32" t="str">
        <f>IFERROR(__xludf.DUMMYFUNCTION("IFERROR(VALUE(REGEXEXTRACT(C406,""\d+\s*/\s*(\d+)"")),"""")"),"")</f>
        <v/>
      </c>
      <c r="I406" s="32" t="str">
        <f t="shared" si="2"/>
        <v/>
      </c>
      <c r="J406" s="33" t="str">
        <f t="shared" si="3"/>
        <v/>
      </c>
    </row>
    <row r="407" ht="15.75" customHeight="1">
      <c r="A407" s="22" t="s">
        <v>113</v>
      </c>
      <c r="B407" s="22" t="str">
        <f>IF(MOV_CC_NACIONAL!A407="","",MOV_CC_NACIONAL!A407)</f>
        <v/>
      </c>
      <c r="C407" s="22" t="str">
        <f>IF(MOV_CC_NACIONAL!B407="","",MOV_CC_NACIONAL!B407)</f>
        <v/>
      </c>
      <c r="D407" s="34" t="str">
        <f>IF(MOV_CC_NACIONAL!C407="","",MOV_CC_NACIONAL!C407)</f>
        <v/>
      </c>
      <c r="E407" s="22" t="str">
        <f t="shared" si="1"/>
        <v/>
      </c>
      <c r="F407" s="22" t="str">
        <f>IFERROR(__xludf.DUMMYFUNCTION("IF(C407="""","""", OR(REGEXMATCH(LOWER(C407),""cuota""), REGEXMATCH(C407,""\d+\s*/\s*\d+"")))"),"")</f>
        <v/>
      </c>
      <c r="G407" s="22" t="str">
        <f>IFERROR(__xludf.DUMMYFUNCTION("IFERROR(VALUE(REGEXEXTRACT(C407,""(\d+)\s*/\s*\d+"")),"""")"),"")</f>
        <v/>
      </c>
      <c r="H407" s="22" t="str">
        <f>IFERROR(__xludf.DUMMYFUNCTION("IFERROR(VALUE(REGEXEXTRACT(C407,""\d+\s*/\s*(\d+)"")),"""")"),"")</f>
        <v/>
      </c>
      <c r="I407" s="22" t="str">
        <f t="shared" si="2"/>
        <v/>
      </c>
      <c r="J407" s="34" t="str">
        <f t="shared" si="3"/>
        <v/>
      </c>
    </row>
    <row r="408" ht="15.75" customHeight="1">
      <c r="A408" s="32" t="s">
        <v>113</v>
      </c>
      <c r="B408" s="32" t="str">
        <f>IF(MOV_CC_NACIONAL!A408="","",MOV_CC_NACIONAL!A408)</f>
        <v/>
      </c>
      <c r="C408" s="32" t="str">
        <f>IF(MOV_CC_NACIONAL!B408="","",MOV_CC_NACIONAL!B408)</f>
        <v/>
      </c>
      <c r="D408" s="33" t="str">
        <f>IF(MOV_CC_NACIONAL!C408="","",MOV_CC_NACIONAL!C408)</f>
        <v/>
      </c>
      <c r="E408" s="32" t="str">
        <f t="shared" si="1"/>
        <v/>
      </c>
      <c r="F408" s="32" t="str">
        <f>IFERROR(__xludf.DUMMYFUNCTION("IF(C408="""","""", OR(REGEXMATCH(LOWER(C408),""cuota""), REGEXMATCH(C408,""\d+\s*/\s*\d+"")))"),"")</f>
        <v/>
      </c>
      <c r="G408" s="32" t="str">
        <f>IFERROR(__xludf.DUMMYFUNCTION("IFERROR(VALUE(REGEXEXTRACT(C408,""(\d+)\s*/\s*\d+"")),"""")"),"")</f>
        <v/>
      </c>
      <c r="H408" s="32" t="str">
        <f>IFERROR(__xludf.DUMMYFUNCTION("IFERROR(VALUE(REGEXEXTRACT(C408,""\d+\s*/\s*(\d+)"")),"""")"),"")</f>
        <v/>
      </c>
      <c r="I408" s="32" t="str">
        <f t="shared" si="2"/>
        <v/>
      </c>
      <c r="J408" s="33" t="str">
        <f t="shared" si="3"/>
        <v/>
      </c>
    </row>
    <row r="409" ht="15.75" customHeight="1">
      <c r="A409" s="22" t="s">
        <v>113</v>
      </c>
      <c r="B409" s="22" t="str">
        <f>IF(MOV_CC_NACIONAL!A409="","",MOV_CC_NACIONAL!A409)</f>
        <v/>
      </c>
      <c r="C409" s="22" t="str">
        <f>IF(MOV_CC_NACIONAL!B409="","",MOV_CC_NACIONAL!B409)</f>
        <v/>
      </c>
      <c r="D409" s="34" t="str">
        <f>IF(MOV_CC_NACIONAL!C409="","",MOV_CC_NACIONAL!C409)</f>
        <v/>
      </c>
      <c r="E409" s="22" t="str">
        <f t="shared" si="1"/>
        <v/>
      </c>
      <c r="F409" s="22" t="str">
        <f>IFERROR(__xludf.DUMMYFUNCTION("IF(C409="""","""", OR(REGEXMATCH(LOWER(C409),""cuota""), REGEXMATCH(C409,""\d+\s*/\s*\d+"")))"),"")</f>
        <v/>
      </c>
      <c r="G409" s="22" t="str">
        <f>IFERROR(__xludf.DUMMYFUNCTION("IFERROR(VALUE(REGEXEXTRACT(C409,""(\d+)\s*/\s*\d+"")),"""")"),"")</f>
        <v/>
      </c>
      <c r="H409" s="22" t="str">
        <f>IFERROR(__xludf.DUMMYFUNCTION("IFERROR(VALUE(REGEXEXTRACT(C409,""\d+\s*/\s*(\d+)"")),"""")"),"")</f>
        <v/>
      </c>
      <c r="I409" s="22" t="str">
        <f t="shared" si="2"/>
        <v/>
      </c>
      <c r="J409" s="34" t="str">
        <f t="shared" si="3"/>
        <v/>
      </c>
    </row>
    <row r="410" ht="15.75" customHeight="1">
      <c r="A410" s="32" t="s">
        <v>113</v>
      </c>
      <c r="B410" s="32" t="str">
        <f>IF(MOV_CC_NACIONAL!A410="","",MOV_CC_NACIONAL!A410)</f>
        <v/>
      </c>
      <c r="C410" s="32" t="str">
        <f>IF(MOV_CC_NACIONAL!B410="","",MOV_CC_NACIONAL!B410)</f>
        <v/>
      </c>
      <c r="D410" s="33" t="str">
        <f>IF(MOV_CC_NACIONAL!C410="","",MOV_CC_NACIONAL!C410)</f>
        <v/>
      </c>
      <c r="E410" s="32" t="str">
        <f t="shared" si="1"/>
        <v/>
      </c>
      <c r="F410" s="32" t="str">
        <f>IFERROR(__xludf.DUMMYFUNCTION("IF(C410="""","""", OR(REGEXMATCH(LOWER(C410),""cuota""), REGEXMATCH(C410,""\d+\s*/\s*\d+"")))"),"")</f>
        <v/>
      </c>
      <c r="G410" s="32" t="str">
        <f>IFERROR(__xludf.DUMMYFUNCTION("IFERROR(VALUE(REGEXEXTRACT(C410,""(\d+)\s*/\s*\d+"")),"""")"),"")</f>
        <v/>
      </c>
      <c r="H410" s="32" t="str">
        <f>IFERROR(__xludf.DUMMYFUNCTION("IFERROR(VALUE(REGEXEXTRACT(C410,""\d+\s*/\s*(\d+)"")),"""")"),"")</f>
        <v/>
      </c>
      <c r="I410" s="32" t="str">
        <f t="shared" si="2"/>
        <v/>
      </c>
      <c r="J410" s="33" t="str">
        <f t="shared" si="3"/>
        <v/>
      </c>
    </row>
    <row r="411" ht="15.75" customHeight="1">
      <c r="A411" s="22" t="s">
        <v>113</v>
      </c>
      <c r="B411" s="22" t="str">
        <f>IF(MOV_CC_NACIONAL!A411="","",MOV_CC_NACIONAL!A411)</f>
        <v/>
      </c>
      <c r="C411" s="22" t="str">
        <f>IF(MOV_CC_NACIONAL!B411="","",MOV_CC_NACIONAL!B411)</f>
        <v/>
      </c>
      <c r="D411" s="34" t="str">
        <f>IF(MOV_CC_NACIONAL!C411="","",MOV_CC_NACIONAL!C411)</f>
        <v/>
      </c>
      <c r="E411" s="22" t="str">
        <f t="shared" si="1"/>
        <v/>
      </c>
      <c r="F411" s="22" t="str">
        <f>IFERROR(__xludf.DUMMYFUNCTION("IF(C411="""","""", OR(REGEXMATCH(LOWER(C411),""cuota""), REGEXMATCH(C411,""\d+\s*/\s*\d+"")))"),"")</f>
        <v/>
      </c>
      <c r="G411" s="22" t="str">
        <f>IFERROR(__xludf.DUMMYFUNCTION("IFERROR(VALUE(REGEXEXTRACT(C411,""(\d+)\s*/\s*\d+"")),"""")"),"")</f>
        <v/>
      </c>
      <c r="H411" s="22" t="str">
        <f>IFERROR(__xludf.DUMMYFUNCTION("IFERROR(VALUE(REGEXEXTRACT(C411,""\d+\s*/\s*(\d+)"")),"""")"),"")</f>
        <v/>
      </c>
      <c r="I411" s="22" t="str">
        <f t="shared" si="2"/>
        <v/>
      </c>
      <c r="J411" s="34" t="str">
        <f t="shared" si="3"/>
        <v/>
      </c>
    </row>
    <row r="412" ht="15.75" customHeight="1">
      <c r="A412" s="32" t="s">
        <v>113</v>
      </c>
      <c r="B412" s="32" t="str">
        <f>IF(MOV_CC_NACIONAL!A412="","",MOV_CC_NACIONAL!A412)</f>
        <v/>
      </c>
      <c r="C412" s="32" t="str">
        <f>IF(MOV_CC_NACIONAL!B412="","",MOV_CC_NACIONAL!B412)</f>
        <v/>
      </c>
      <c r="D412" s="33" t="str">
        <f>IF(MOV_CC_NACIONAL!C412="","",MOV_CC_NACIONAL!C412)</f>
        <v/>
      </c>
      <c r="E412" s="32" t="str">
        <f t="shared" si="1"/>
        <v/>
      </c>
      <c r="F412" s="32" t="str">
        <f>IFERROR(__xludf.DUMMYFUNCTION("IF(C412="""","""", OR(REGEXMATCH(LOWER(C412),""cuota""), REGEXMATCH(C412,""\d+\s*/\s*\d+"")))"),"")</f>
        <v/>
      </c>
      <c r="G412" s="32" t="str">
        <f>IFERROR(__xludf.DUMMYFUNCTION("IFERROR(VALUE(REGEXEXTRACT(C412,""(\d+)\s*/\s*\d+"")),"""")"),"")</f>
        <v/>
      </c>
      <c r="H412" s="32" t="str">
        <f>IFERROR(__xludf.DUMMYFUNCTION("IFERROR(VALUE(REGEXEXTRACT(C412,""\d+\s*/\s*(\d+)"")),"""")"),"")</f>
        <v/>
      </c>
      <c r="I412" s="32" t="str">
        <f t="shared" si="2"/>
        <v/>
      </c>
      <c r="J412" s="33" t="str">
        <f t="shared" si="3"/>
        <v/>
      </c>
    </row>
    <row r="413" ht="15.75" customHeight="1">
      <c r="A413" s="22" t="s">
        <v>113</v>
      </c>
      <c r="B413" s="22" t="str">
        <f>IF(MOV_CC_NACIONAL!A413="","",MOV_CC_NACIONAL!A413)</f>
        <v/>
      </c>
      <c r="C413" s="22" t="str">
        <f>IF(MOV_CC_NACIONAL!B413="","",MOV_CC_NACIONAL!B413)</f>
        <v/>
      </c>
      <c r="D413" s="34" t="str">
        <f>IF(MOV_CC_NACIONAL!C413="","",MOV_CC_NACIONAL!C413)</f>
        <v/>
      </c>
      <c r="E413" s="22" t="str">
        <f t="shared" si="1"/>
        <v/>
      </c>
      <c r="F413" s="22" t="str">
        <f>IFERROR(__xludf.DUMMYFUNCTION("IF(C413="""","""", OR(REGEXMATCH(LOWER(C413),""cuota""), REGEXMATCH(C413,""\d+\s*/\s*\d+"")))"),"")</f>
        <v/>
      </c>
      <c r="G413" s="22" t="str">
        <f>IFERROR(__xludf.DUMMYFUNCTION("IFERROR(VALUE(REGEXEXTRACT(C413,""(\d+)\s*/\s*\d+"")),"""")"),"")</f>
        <v/>
      </c>
      <c r="H413" s="22" t="str">
        <f>IFERROR(__xludf.DUMMYFUNCTION("IFERROR(VALUE(REGEXEXTRACT(C413,""\d+\s*/\s*(\d+)"")),"""")"),"")</f>
        <v/>
      </c>
      <c r="I413" s="22" t="str">
        <f t="shared" si="2"/>
        <v/>
      </c>
      <c r="J413" s="34" t="str">
        <f t="shared" si="3"/>
        <v/>
      </c>
    </row>
    <row r="414" ht="15.75" customHeight="1">
      <c r="A414" s="32" t="s">
        <v>113</v>
      </c>
      <c r="B414" s="32" t="str">
        <f>IF(MOV_CC_NACIONAL!A414="","",MOV_CC_NACIONAL!A414)</f>
        <v/>
      </c>
      <c r="C414" s="32" t="str">
        <f>IF(MOV_CC_NACIONAL!B414="","",MOV_CC_NACIONAL!B414)</f>
        <v/>
      </c>
      <c r="D414" s="33" t="str">
        <f>IF(MOV_CC_NACIONAL!C414="","",MOV_CC_NACIONAL!C414)</f>
        <v/>
      </c>
      <c r="E414" s="32" t="str">
        <f t="shared" si="1"/>
        <v/>
      </c>
      <c r="F414" s="32" t="str">
        <f>IFERROR(__xludf.DUMMYFUNCTION("IF(C414="""","""", OR(REGEXMATCH(LOWER(C414),""cuota""), REGEXMATCH(C414,""\d+\s*/\s*\d+"")))"),"")</f>
        <v/>
      </c>
      <c r="G414" s="32" t="str">
        <f>IFERROR(__xludf.DUMMYFUNCTION("IFERROR(VALUE(REGEXEXTRACT(C414,""(\d+)\s*/\s*\d+"")),"""")"),"")</f>
        <v/>
      </c>
      <c r="H414" s="32" t="str">
        <f>IFERROR(__xludf.DUMMYFUNCTION("IFERROR(VALUE(REGEXEXTRACT(C414,""\d+\s*/\s*(\d+)"")),"""")"),"")</f>
        <v/>
      </c>
      <c r="I414" s="32" t="str">
        <f t="shared" si="2"/>
        <v/>
      </c>
      <c r="J414" s="33" t="str">
        <f t="shared" si="3"/>
        <v/>
      </c>
    </row>
    <row r="415" ht="15.75" customHeight="1">
      <c r="A415" s="22" t="s">
        <v>113</v>
      </c>
      <c r="B415" s="22" t="str">
        <f>IF(MOV_CC_NACIONAL!A415="","",MOV_CC_NACIONAL!A415)</f>
        <v/>
      </c>
      <c r="C415" s="22" t="str">
        <f>IF(MOV_CC_NACIONAL!B415="","",MOV_CC_NACIONAL!B415)</f>
        <v/>
      </c>
      <c r="D415" s="34" t="str">
        <f>IF(MOV_CC_NACIONAL!C415="","",MOV_CC_NACIONAL!C415)</f>
        <v/>
      </c>
      <c r="E415" s="22" t="str">
        <f t="shared" si="1"/>
        <v/>
      </c>
      <c r="F415" s="22" t="str">
        <f>IFERROR(__xludf.DUMMYFUNCTION("IF(C415="""","""", OR(REGEXMATCH(LOWER(C415),""cuota""), REGEXMATCH(C415,""\d+\s*/\s*\d+"")))"),"")</f>
        <v/>
      </c>
      <c r="G415" s="22" t="str">
        <f>IFERROR(__xludf.DUMMYFUNCTION("IFERROR(VALUE(REGEXEXTRACT(C415,""(\d+)\s*/\s*\d+"")),"""")"),"")</f>
        <v/>
      </c>
      <c r="H415" s="22" t="str">
        <f>IFERROR(__xludf.DUMMYFUNCTION("IFERROR(VALUE(REGEXEXTRACT(C415,""\d+\s*/\s*(\d+)"")),"""")"),"")</f>
        <v/>
      </c>
      <c r="I415" s="22" t="str">
        <f t="shared" si="2"/>
        <v/>
      </c>
      <c r="J415" s="34" t="str">
        <f t="shared" si="3"/>
        <v/>
      </c>
    </row>
    <row r="416" ht="15.75" customHeight="1">
      <c r="A416" s="32" t="s">
        <v>113</v>
      </c>
      <c r="B416" s="32" t="str">
        <f>IF(MOV_CC_NACIONAL!A416="","",MOV_CC_NACIONAL!A416)</f>
        <v/>
      </c>
      <c r="C416" s="32" t="str">
        <f>IF(MOV_CC_NACIONAL!B416="","",MOV_CC_NACIONAL!B416)</f>
        <v/>
      </c>
      <c r="D416" s="33" t="str">
        <f>IF(MOV_CC_NACIONAL!C416="","",MOV_CC_NACIONAL!C416)</f>
        <v/>
      </c>
      <c r="E416" s="32" t="str">
        <f t="shared" si="1"/>
        <v/>
      </c>
      <c r="F416" s="32" t="str">
        <f>IFERROR(__xludf.DUMMYFUNCTION("IF(C416="""","""", OR(REGEXMATCH(LOWER(C416),""cuota""), REGEXMATCH(C416,""\d+\s*/\s*\d+"")))"),"")</f>
        <v/>
      </c>
      <c r="G416" s="32" t="str">
        <f>IFERROR(__xludf.DUMMYFUNCTION("IFERROR(VALUE(REGEXEXTRACT(C416,""(\d+)\s*/\s*\d+"")),"""")"),"")</f>
        <v/>
      </c>
      <c r="H416" s="32" t="str">
        <f>IFERROR(__xludf.DUMMYFUNCTION("IFERROR(VALUE(REGEXEXTRACT(C416,""\d+\s*/\s*(\d+)"")),"""")"),"")</f>
        <v/>
      </c>
      <c r="I416" s="32" t="str">
        <f t="shared" si="2"/>
        <v/>
      </c>
      <c r="J416" s="33" t="str">
        <f t="shared" si="3"/>
        <v/>
      </c>
    </row>
    <row r="417" ht="15.75" customHeight="1">
      <c r="A417" s="22" t="s">
        <v>113</v>
      </c>
      <c r="B417" s="22" t="str">
        <f>IF(MOV_CC_NACIONAL!A417="","",MOV_CC_NACIONAL!A417)</f>
        <v/>
      </c>
      <c r="C417" s="22" t="str">
        <f>IF(MOV_CC_NACIONAL!B417="","",MOV_CC_NACIONAL!B417)</f>
        <v/>
      </c>
      <c r="D417" s="34" t="str">
        <f>IF(MOV_CC_NACIONAL!C417="","",MOV_CC_NACIONAL!C417)</f>
        <v/>
      </c>
      <c r="E417" s="22" t="str">
        <f t="shared" si="1"/>
        <v/>
      </c>
      <c r="F417" s="22" t="str">
        <f>IFERROR(__xludf.DUMMYFUNCTION("IF(C417="""","""", OR(REGEXMATCH(LOWER(C417),""cuota""), REGEXMATCH(C417,""\d+\s*/\s*\d+"")))"),"")</f>
        <v/>
      </c>
      <c r="G417" s="22" t="str">
        <f>IFERROR(__xludf.DUMMYFUNCTION("IFERROR(VALUE(REGEXEXTRACT(C417,""(\d+)\s*/\s*\d+"")),"""")"),"")</f>
        <v/>
      </c>
      <c r="H417" s="22" t="str">
        <f>IFERROR(__xludf.DUMMYFUNCTION("IFERROR(VALUE(REGEXEXTRACT(C417,""\d+\s*/\s*(\d+)"")),"""")"),"")</f>
        <v/>
      </c>
      <c r="I417" s="22" t="str">
        <f t="shared" si="2"/>
        <v/>
      </c>
      <c r="J417" s="34" t="str">
        <f t="shared" si="3"/>
        <v/>
      </c>
    </row>
    <row r="418" ht="15.75" customHeight="1">
      <c r="A418" s="32" t="s">
        <v>113</v>
      </c>
      <c r="B418" s="32" t="str">
        <f>IF(MOV_CC_NACIONAL!A418="","",MOV_CC_NACIONAL!A418)</f>
        <v/>
      </c>
      <c r="C418" s="32" t="str">
        <f>IF(MOV_CC_NACIONAL!B418="","",MOV_CC_NACIONAL!B418)</f>
        <v/>
      </c>
      <c r="D418" s="33" t="str">
        <f>IF(MOV_CC_NACIONAL!C418="","",MOV_CC_NACIONAL!C418)</f>
        <v/>
      </c>
      <c r="E418" s="32" t="str">
        <f t="shared" si="1"/>
        <v/>
      </c>
      <c r="F418" s="32" t="str">
        <f>IFERROR(__xludf.DUMMYFUNCTION("IF(C418="""","""", OR(REGEXMATCH(LOWER(C418),""cuota""), REGEXMATCH(C418,""\d+\s*/\s*\d+"")))"),"")</f>
        <v/>
      </c>
      <c r="G418" s="32" t="str">
        <f>IFERROR(__xludf.DUMMYFUNCTION("IFERROR(VALUE(REGEXEXTRACT(C418,""(\d+)\s*/\s*\d+"")),"""")"),"")</f>
        <v/>
      </c>
      <c r="H418" s="32" t="str">
        <f>IFERROR(__xludf.DUMMYFUNCTION("IFERROR(VALUE(REGEXEXTRACT(C418,""\d+\s*/\s*(\d+)"")),"""")"),"")</f>
        <v/>
      </c>
      <c r="I418" s="32" t="str">
        <f t="shared" si="2"/>
        <v/>
      </c>
      <c r="J418" s="33" t="str">
        <f t="shared" si="3"/>
        <v/>
      </c>
    </row>
    <row r="419" ht="15.75" customHeight="1">
      <c r="A419" s="22" t="s">
        <v>113</v>
      </c>
      <c r="B419" s="22" t="str">
        <f>IF(MOV_CC_NACIONAL!A419="","",MOV_CC_NACIONAL!A419)</f>
        <v/>
      </c>
      <c r="C419" s="22" t="str">
        <f>IF(MOV_CC_NACIONAL!B419="","",MOV_CC_NACIONAL!B419)</f>
        <v/>
      </c>
      <c r="D419" s="34" t="str">
        <f>IF(MOV_CC_NACIONAL!C419="","",MOV_CC_NACIONAL!C419)</f>
        <v/>
      </c>
      <c r="E419" s="22" t="str">
        <f t="shared" si="1"/>
        <v/>
      </c>
      <c r="F419" s="22" t="str">
        <f>IFERROR(__xludf.DUMMYFUNCTION("IF(C419="""","""", OR(REGEXMATCH(LOWER(C419),""cuota""), REGEXMATCH(C419,""\d+\s*/\s*\d+"")))"),"")</f>
        <v/>
      </c>
      <c r="G419" s="22" t="str">
        <f>IFERROR(__xludf.DUMMYFUNCTION("IFERROR(VALUE(REGEXEXTRACT(C419,""(\d+)\s*/\s*\d+"")),"""")"),"")</f>
        <v/>
      </c>
      <c r="H419" s="22" t="str">
        <f>IFERROR(__xludf.DUMMYFUNCTION("IFERROR(VALUE(REGEXEXTRACT(C419,""\d+\s*/\s*(\d+)"")),"""")"),"")</f>
        <v/>
      </c>
      <c r="I419" s="22" t="str">
        <f t="shared" si="2"/>
        <v/>
      </c>
      <c r="J419" s="34" t="str">
        <f t="shared" si="3"/>
        <v/>
      </c>
    </row>
    <row r="420" ht="15.75" customHeight="1">
      <c r="A420" s="32" t="s">
        <v>113</v>
      </c>
      <c r="B420" s="32" t="str">
        <f>IF(MOV_CC_NACIONAL!A420="","",MOV_CC_NACIONAL!A420)</f>
        <v/>
      </c>
      <c r="C420" s="32" t="str">
        <f>IF(MOV_CC_NACIONAL!B420="","",MOV_CC_NACIONAL!B420)</f>
        <v/>
      </c>
      <c r="D420" s="33" t="str">
        <f>IF(MOV_CC_NACIONAL!C420="","",MOV_CC_NACIONAL!C420)</f>
        <v/>
      </c>
      <c r="E420" s="32" t="str">
        <f t="shared" si="1"/>
        <v/>
      </c>
      <c r="F420" s="32" t="str">
        <f>IFERROR(__xludf.DUMMYFUNCTION("IF(C420="""","""", OR(REGEXMATCH(LOWER(C420),""cuota""), REGEXMATCH(C420,""\d+\s*/\s*\d+"")))"),"")</f>
        <v/>
      </c>
      <c r="G420" s="32" t="str">
        <f>IFERROR(__xludf.DUMMYFUNCTION("IFERROR(VALUE(REGEXEXTRACT(C420,""(\d+)\s*/\s*\d+"")),"""")"),"")</f>
        <v/>
      </c>
      <c r="H420" s="32" t="str">
        <f>IFERROR(__xludf.DUMMYFUNCTION("IFERROR(VALUE(REGEXEXTRACT(C420,""\d+\s*/\s*(\d+)"")),"""")"),"")</f>
        <v/>
      </c>
      <c r="I420" s="32" t="str">
        <f t="shared" si="2"/>
        <v/>
      </c>
      <c r="J420" s="33" t="str">
        <f t="shared" si="3"/>
        <v/>
      </c>
    </row>
    <row r="421" ht="15.75" customHeight="1">
      <c r="A421" s="22" t="s">
        <v>113</v>
      </c>
      <c r="B421" s="22" t="str">
        <f>IF(MOV_CC_NACIONAL!A421="","",MOV_CC_NACIONAL!A421)</f>
        <v/>
      </c>
      <c r="C421" s="22" t="str">
        <f>IF(MOV_CC_NACIONAL!B421="","",MOV_CC_NACIONAL!B421)</f>
        <v/>
      </c>
      <c r="D421" s="34" t="str">
        <f>IF(MOV_CC_NACIONAL!C421="","",MOV_CC_NACIONAL!C421)</f>
        <v/>
      </c>
      <c r="E421" s="22" t="str">
        <f t="shared" si="1"/>
        <v/>
      </c>
      <c r="F421" s="22" t="str">
        <f>IFERROR(__xludf.DUMMYFUNCTION("IF(C421="""","""", OR(REGEXMATCH(LOWER(C421),""cuota""), REGEXMATCH(C421,""\d+\s*/\s*\d+"")))"),"")</f>
        <v/>
      </c>
      <c r="G421" s="22" t="str">
        <f>IFERROR(__xludf.DUMMYFUNCTION("IFERROR(VALUE(REGEXEXTRACT(C421,""(\d+)\s*/\s*\d+"")),"""")"),"")</f>
        <v/>
      </c>
      <c r="H421" s="22" t="str">
        <f>IFERROR(__xludf.DUMMYFUNCTION("IFERROR(VALUE(REGEXEXTRACT(C421,""\d+\s*/\s*(\d+)"")),"""")"),"")</f>
        <v/>
      </c>
      <c r="I421" s="22" t="str">
        <f t="shared" si="2"/>
        <v/>
      </c>
      <c r="J421" s="34" t="str">
        <f t="shared" si="3"/>
        <v/>
      </c>
    </row>
    <row r="422" ht="15.75" customHeight="1">
      <c r="A422" s="32" t="s">
        <v>113</v>
      </c>
      <c r="B422" s="32" t="str">
        <f>IF(MOV_CC_NACIONAL!A422="","",MOV_CC_NACIONAL!A422)</f>
        <v/>
      </c>
      <c r="C422" s="32" t="str">
        <f>IF(MOV_CC_NACIONAL!B422="","",MOV_CC_NACIONAL!B422)</f>
        <v/>
      </c>
      <c r="D422" s="33" t="str">
        <f>IF(MOV_CC_NACIONAL!C422="","",MOV_CC_NACIONAL!C422)</f>
        <v/>
      </c>
      <c r="E422" s="32" t="str">
        <f t="shared" si="1"/>
        <v/>
      </c>
      <c r="F422" s="32" t="str">
        <f>IFERROR(__xludf.DUMMYFUNCTION("IF(C422="""","""", OR(REGEXMATCH(LOWER(C422),""cuota""), REGEXMATCH(C422,""\d+\s*/\s*\d+"")))"),"")</f>
        <v/>
      </c>
      <c r="G422" s="32" t="str">
        <f>IFERROR(__xludf.DUMMYFUNCTION("IFERROR(VALUE(REGEXEXTRACT(C422,""(\d+)\s*/\s*\d+"")),"""")"),"")</f>
        <v/>
      </c>
      <c r="H422" s="32" t="str">
        <f>IFERROR(__xludf.DUMMYFUNCTION("IFERROR(VALUE(REGEXEXTRACT(C422,""\d+\s*/\s*(\d+)"")),"""")"),"")</f>
        <v/>
      </c>
      <c r="I422" s="32" t="str">
        <f t="shared" si="2"/>
        <v/>
      </c>
      <c r="J422" s="33" t="str">
        <f t="shared" si="3"/>
        <v/>
      </c>
    </row>
    <row r="423" ht="15.75" customHeight="1">
      <c r="A423" s="22" t="s">
        <v>113</v>
      </c>
      <c r="B423" s="22" t="str">
        <f>IF(MOV_CC_NACIONAL!A423="","",MOV_CC_NACIONAL!A423)</f>
        <v/>
      </c>
      <c r="C423" s="22" t="str">
        <f>IF(MOV_CC_NACIONAL!B423="","",MOV_CC_NACIONAL!B423)</f>
        <v/>
      </c>
      <c r="D423" s="34" t="str">
        <f>IF(MOV_CC_NACIONAL!C423="","",MOV_CC_NACIONAL!C423)</f>
        <v/>
      </c>
      <c r="E423" s="22" t="str">
        <f t="shared" si="1"/>
        <v/>
      </c>
      <c r="F423" s="22" t="str">
        <f>IFERROR(__xludf.DUMMYFUNCTION("IF(C423="""","""", OR(REGEXMATCH(LOWER(C423),""cuota""), REGEXMATCH(C423,""\d+\s*/\s*\d+"")))"),"")</f>
        <v/>
      </c>
      <c r="G423" s="22" t="str">
        <f>IFERROR(__xludf.DUMMYFUNCTION("IFERROR(VALUE(REGEXEXTRACT(C423,""(\d+)\s*/\s*\d+"")),"""")"),"")</f>
        <v/>
      </c>
      <c r="H423" s="22" t="str">
        <f>IFERROR(__xludf.DUMMYFUNCTION("IFERROR(VALUE(REGEXEXTRACT(C423,""\d+\s*/\s*(\d+)"")),"""")"),"")</f>
        <v/>
      </c>
      <c r="I423" s="22" t="str">
        <f t="shared" si="2"/>
        <v/>
      </c>
      <c r="J423" s="34" t="str">
        <f t="shared" si="3"/>
        <v/>
      </c>
    </row>
    <row r="424" ht="15.75" customHeight="1">
      <c r="A424" s="32" t="s">
        <v>113</v>
      </c>
      <c r="B424" s="32" t="str">
        <f>IF(MOV_CC_NACIONAL!A424="","",MOV_CC_NACIONAL!A424)</f>
        <v/>
      </c>
      <c r="C424" s="32" t="str">
        <f>IF(MOV_CC_NACIONAL!B424="","",MOV_CC_NACIONAL!B424)</f>
        <v/>
      </c>
      <c r="D424" s="33" t="str">
        <f>IF(MOV_CC_NACIONAL!C424="","",MOV_CC_NACIONAL!C424)</f>
        <v/>
      </c>
      <c r="E424" s="32" t="str">
        <f t="shared" si="1"/>
        <v/>
      </c>
      <c r="F424" s="32" t="str">
        <f>IFERROR(__xludf.DUMMYFUNCTION("IF(C424="""","""", OR(REGEXMATCH(LOWER(C424),""cuota""), REGEXMATCH(C424,""\d+\s*/\s*\d+"")))"),"")</f>
        <v/>
      </c>
      <c r="G424" s="32" t="str">
        <f>IFERROR(__xludf.DUMMYFUNCTION("IFERROR(VALUE(REGEXEXTRACT(C424,""(\d+)\s*/\s*\d+"")),"""")"),"")</f>
        <v/>
      </c>
      <c r="H424" s="32" t="str">
        <f>IFERROR(__xludf.DUMMYFUNCTION("IFERROR(VALUE(REGEXEXTRACT(C424,""\d+\s*/\s*(\d+)"")),"""")"),"")</f>
        <v/>
      </c>
      <c r="I424" s="32" t="str">
        <f t="shared" si="2"/>
        <v/>
      </c>
      <c r="J424" s="33" t="str">
        <f t="shared" si="3"/>
        <v/>
      </c>
    </row>
    <row r="425" ht="15.75" customHeight="1">
      <c r="A425" s="22" t="s">
        <v>113</v>
      </c>
      <c r="B425" s="22" t="str">
        <f>IF(MOV_CC_NACIONAL!A425="","",MOV_CC_NACIONAL!A425)</f>
        <v/>
      </c>
      <c r="C425" s="22" t="str">
        <f>IF(MOV_CC_NACIONAL!B425="","",MOV_CC_NACIONAL!B425)</f>
        <v/>
      </c>
      <c r="D425" s="34" t="str">
        <f>IF(MOV_CC_NACIONAL!C425="","",MOV_CC_NACIONAL!C425)</f>
        <v/>
      </c>
      <c r="E425" s="22" t="str">
        <f t="shared" si="1"/>
        <v/>
      </c>
      <c r="F425" s="22" t="str">
        <f>IFERROR(__xludf.DUMMYFUNCTION("IF(C425="""","""", OR(REGEXMATCH(LOWER(C425),""cuota""), REGEXMATCH(C425,""\d+\s*/\s*\d+"")))"),"")</f>
        <v/>
      </c>
      <c r="G425" s="22" t="str">
        <f>IFERROR(__xludf.DUMMYFUNCTION("IFERROR(VALUE(REGEXEXTRACT(C425,""(\d+)\s*/\s*\d+"")),"""")"),"")</f>
        <v/>
      </c>
      <c r="H425" s="22" t="str">
        <f>IFERROR(__xludf.DUMMYFUNCTION("IFERROR(VALUE(REGEXEXTRACT(C425,""\d+\s*/\s*(\d+)"")),"""")"),"")</f>
        <v/>
      </c>
      <c r="I425" s="22" t="str">
        <f t="shared" si="2"/>
        <v/>
      </c>
      <c r="J425" s="34" t="str">
        <f t="shared" si="3"/>
        <v/>
      </c>
    </row>
    <row r="426" ht="15.75" customHeight="1">
      <c r="A426" s="32" t="s">
        <v>113</v>
      </c>
      <c r="B426" s="32" t="str">
        <f>IF(MOV_CC_NACIONAL!A426="","",MOV_CC_NACIONAL!A426)</f>
        <v/>
      </c>
      <c r="C426" s="32" t="str">
        <f>IF(MOV_CC_NACIONAL!B426="","",MOV_CC_NACIONAL!B426)</f>
        <v/>
      </c>
      <c r="D426" s="33" t="str">
        <f>IF(MOV_CC_NACIONAL!C426="","",MOV_CC_NACIONAL!C426)</f>
        <v/>
      </c>
      <c r="E426" s="32" t="str">
        <f t="shared" si="1"/>
        <v/>
      </c>
      <c r="F426" s="32" t="str">
        <f>IFERROR(__xludf.DUMMYFUNCTION("IF(C426="""","""", OR(REGEXMATCH(LOWER(C426),""cuota""), REGEXMATCH(C426,""\d+\s*/\s*\d+"")))"),"")</f>
        <v/>
      </c>
      <c r="G426" s="32" t="str">
        <f>IFERROR(__xludf.DUMMYFUNCTION("IFERROR(VALUE(REGEXEXTRACT(C426,""(\d+)\s*/\s*\d+"")),"""")"),"")</f>
        <v/>
      </c>
      <c r="H426" s="32" t="str">
        <f>IFERROR(__xludf.DUMMYFUNCTION("IFERROR(VALUE(REGEXEXTRACT(C426,""\d+\s*/\s*(\d+)"")),"""")"),"")</f>
        <v/>
      </c>
      <c r="I426" s="32" t="str">
        <f t="shared" si="2"/>
        <v/>
      </c>
      <c r="J426" s="33" t="str">
        <f t="shared" si="3"/>
        <v/>
      </c>
    </row>
    <row r="427" ht="15.75" customHeight="1">
      <c r="A427" s="22" t="s">
        <v>113</v>
      </c>
      <c r="B427" s="22" t="str">
        <f>IF(MOV_CC_NACIONAL!A427="","",MOV_CC_NACIONAL!A427)</f>
        <v/>
      </c>
      <c r="C427" s="22" t="str">
        <f>IF(MOV_CC_NACIONAL!B427="","",MOV_CC_NACIONAL!B427)</f>
        <v/>
      </c>
      <c r="D427" s="34" t="str">
        <f>IF(MOV_CC_NACIONAL!C427="","",MOV_CC_NACIONAL!C427)</f>
        <v/>
      </c>
      <c r="E427" s="22" t="str">
        <f t="shared" si="1"/>
        <v/>
      </c>
      <c r="F427" s="22" t="str">
        <f>IFERROR(__xludf.DUMMYFUNCTION("IF(C427="""","""", OR(REGEXMATCH(LOWER(C427),""cuota""), REGEXMATCH(C427,""\d+\s*/\s*\d+"")))"),"")</f>
        <v/>
      </c>
      <c r="G427" s="22" t="str">
        <f>IFERROR(__xludf.DUMMYFUNCTION("IFERROR(VALUE(REGEXEXTRACT(C427,""(\d+)\s*/\s*\d+"")),"""")"),"")</f>
        <v/>
      </c>
      <c r="H427" s="22" t="str">
        <f>IFERROR(__xludf.DUMMYFUNCTION("IFERROR(VALUE(REGEXEXTRACT(C427,""\d+\s*/\s*(\d+)"")),"""")"),"")</f>
        <v/>
      </c>
      <c r="I427" s="22" t="str">
        <f t="shared" si="2"/>
        <v/>
      </c>
      <c r="J427" s="34" t="str">
        <f t="shared" si="3"/>
        <v/>
      </c>
    </row>
    <row r="428" ht="15.75" customHeight="1">
      <c r="A428" s="32" t="s">
        <v>113</v>
      </c>
      <c r="B428" s="32" t="str">
        <f>IF(MOV_CC_NACIONAL!A428="","",MOV_CC_NACIONAL!A428)</f>
        <v/>
      </c>
      <c r="C428" s="32" t="str">
        <f>IF(MOV_CC_NACIONAL!B428="","",MOV_CC_NACIONAL!B428)</f>
        <v/>
      </c>
      <c r="D428" s="33" t="str">
        <f>IF(MOV_CC_NACIONAL!C428="","",MOV_CC_NACIONAL!C428)</f>
        <v/>
      </c>
      <c r="E428" s="32" t="str">
        <f t="shared" si="1"/>
        <v/>
      </c>
      <c r="F428" s="32" t="str">
        <f>IFERROR(__xludf.DUMMYFUNCTION("IF(C428="""","""", OR(REGEXMATCH(LOWER(C428),""cuota""), REGEXMATCH(C428,""\d+\s*/\s*\d+"")))"),"")</f>
        <v/>
      </c>
      <c r="G428" s="32" t="str">
        <f>IFERROR(__xludf.DUMMYFUNCTION("IFERROR(VALUE(REGEXEXTRACT(C428,""(\d+)\s*/\s*\d+"")),"""")"),"")</f>
        <v/>
      </c>
      <c r="H428" s="32" t="str">
        <f>IFERROR(__xludf.DUMMYFUNCTION("IFERROR(VALUE(REGEXEXTRACT(C428,""\d+\s*/\s*(\d+)"")),"""")"),"")</f>
        <v/>
      </c>
      <c r="I428" s="32" t="str">
        <f t="shared" si="2"/>
        <v/>
      </c>
      <c r="J428" s="33" t="str">
        <f t="shared" si="3"/>
        <v/>
      </c>
    </row>
    <row r="429" ht="15.75" customHeight="1">
      <c r="A429" s="22" t="s">
        <v>113</v>
      </c>
      <c r="B429" s="22" t="str">
        <f>IF(MOV_CC_NACIONAL!A429="","",MOV_CC_NACIONAL!A429)</f>
        <v/>
      </c>
      <c r="C429" s="22" t="str">
        <f>IF(MOV_CC_NACIONAL!B429="","",MOV_CC_NACIONAL!B429)</f>
        <v/>
      </c>
      <c r="D429" s="34" t="str">
        <f>IF(MOV_CC_NACIONAL!C429="","",MOV_CC_NACIONAL!C429)</f>
        <v/>
      </c>
      <c r="E429" s="22" t="str">
        <f t="shared" si="1"/>
        <v/>
      </c>
      <c r="F429" s="22" t="str">
        <f>IFERROR(__xludf.DUMMYFUNCTION("IF(C429="""","""", OR(REGEXMATCH(LOWER(C429),""cuota""), REGEXMATCH(C429,""\d+\s*/\s*\d+"")))"),"")</f>
        <v/>
      </c>
      <c r="G429" s="22" t="str">
        <f>IFERROR(__xludf.DUMMYFUNCTION("IFERROR(VALUE(REGEXEXTRACT(C429,""(\d+)\s*/\s*\d+"")),"""")"),"")</f>
        <v/>
      </c>
      <c r="H429" s="22" t="str">
        <f>IFERROR(__xludf.DUMMYFUNCTION("IFERROR(VALUE(REGEXEXTRACT(C429,""\d+\s*/\s*(\d+)"")),"""")"),"")</f>
        <v/>
      </c>
      <c r="I429" s="22" t="str">
        <f t="shared" si="2"/>
        <v/>
      </c>
      <c r="J429" s="34" t="str">
        <f t="shared" si="3"/>
        <v/>
      </c>
    </row>
    <row r="430" ht="15.75" customHeight="1">
      <c r="A430" s="32" t="s">
        <v>113</v>
      </c>
      <c r="B430" s="32" t="str">
        <f>IF(MOV_CC_NACIONAL!A430="","",MOV_CC_NACIONAL!A430)</f>
        <v/>
      </c>
      <c r="C430" s="32" t="str">
        <f>IF(MOV_CC_NACIONAL!B430="","",MOV_CC_NACIONAL!B430)</f>
        <v/>
      </c>
      <c r="D430" s="33" t="str">
        <f>IF(MOV_CC_NACIONAL!C430="","",MOV_CC_NACIONAL!C430)</f>
        <v/>
      </c>
      <c r="E430" s="32" t="str">
        <f t="shared" si="1"/>
        <v/>
      </c>
      <c r="F430" s="32" t="str">
        <f>IFERROR(__xludf.DUMMYFUNCTION("IF(C430="""","""", OR(REGEXMATCH(LOWER(C430),""cuota""), REGEXMATCH(C430,""\d+\s*/\s*\d+"")))"),"")</f>
        <v/>
      </c>
      <c r="G430" s="32" t="str">
        <f>IFERROR(__xludf.DUMMYFUNCTION("IFERROR(VALUE(REGEXEXTRACT(C430,""(\d+)\s*/\s*\d+"")),"""")"),"")</f>
        <v/>
      </c>
      <c r="H430" s="32" t="str">
        <f>IFERROR(__xludf.DUMMYFUNCTION("IFERROR(VALUE(REGEXEXTRACT(C430,""\d+\s*/\s*(\d+)"")),"""")"),"")</f>
        <v/>
      </c>
      <c r="I430" s="32" t="str">
        <f t="shared" si="2"/>
        <v/>
      </c>
      <c r="J430" s="33" t="str">
        <f t="shared" si="3"/>
        <v/>
      </c>
    </row>
    <row r="431" ht="15.75" customHeight="1">
      <c r="A431" s="22" t="s">
        <v>113</v>
      </c>
      <c r="B431" s="22" t="str">
        <f>IF(MOV_CC_NACIONAL!A431="","",MOV_CC_NACIONAL!A431)</f>
        <v/>
      </c>
      <c r="C431" s="22" t="str">
        <f>IF(MOV_CC_NACIONAL!B431="","",MOV_CC_NACIONAL!B431)</f>
        <v/>
      </c>
      <c r="D431" s="34" t="str">
        <f>IF(MOV_CC_NACIONAL!C431="","",MOV_CC_NACIONAL!C431)</f>
        <v/>
      </c>
      <c r="E431" s="22" t="str">
        <f t="shared" si="1"/>
        <v/>
      </c>
      <c r="F431" s="22" t="str">
        <f>IFERROR(__xludf.DUMMYFUNCTION("IF(C431="""","""", OR(REGEXMATCH(LOWER(C431),""cuota""), REGEXMATCH(C431,""\d+\s*/\s*\d+"")))"),"")</f>
        <v/>
      </c>
      <c r="G431" s="22" t="str">
        <f>IFERROR(__xludf.DUMMYFUNCTION("IFERROR(VALUE(REGEXEXTRACT(C431,""(\d+)\s*/\s*\d+"")),"""")"),"")</f>
        <v/>
      </c>
      <c r="H431" s="22" t="str">
        <f>IFERROR(__xludf.DUMMYFUNCTION("IFERROR(VALUE(REGEXEXTRACT(C431,""\d+\s*/\s*(\d+)"")),"""")"),"")</f>
        <v/>
      </c>
      <c r="I431" s="22" t="str">
        <f t="shared" si="2"/>
        <v/>
      </c>
      <c r="J431" s="34" t="str">
        <f t="shared" si="3"/>
        <v/>
      </c>
    </row>
    <row r="432" ht="15.75" customHeight="1">
      <c r="A432" s="32" t="s">
        <v>113</v>
      </c>
      <c r="B432" s="32" t="str">
        <f>IF(MOV_CC_NACIONAL!A432="","",MOV_CC_NACIONAL!A432)</f>
        <v/>
      </c>
      <c r="C432" s="32" t="str">
        <f>IF(MOV_CC_NACIONAL!B432="","",MOV_CC_NACIONAL!B432)</f>
        <v/>
      </c>
      <c r="D432" s="33" t="str">
        <f>IF(MOV_CC_NACIONAL!C432="","",MOV_CC_NACIONAL!C432)</f>
        <v/>
      </c>
      <c r="E432" s="32" t="str">
        <f t="shared" si="1"/>
        <v/>
      </c>
      <c r="F432" s="32" t="str">
        <f>IFERROR(__xludf.DUMMYFUNCTION("IF(C432="""","""", OR(REGEXMATCH(LOWER(C432),""cuota""), REGEXMATCH(C432,""\d+\s*/\s*\d+"")))"),"")</f>
        <v/>
      </c>
      <c r="G432" s="32" t="str">
        <f>IFERROR(__xludf.DUMMYFUNCTION("IFERROR(VALUE(REGEXEXTRACT(C432,""(\d+)\s*/\s*\d+"")),"""")"),"")</f>
        <v/>
      </c>
      <c r="H432" s="32" t="str">
        <f>IFERROR(__xludf.DUMMYFUNCTION("IFERROR(VALUE(REGEXEXTRACT(C432,""\d+\s*/\s*(\d+)"")),"""")"),"")</f>
        <v/>
      </c>
      <c r="I432" s="32" t="str">
        <f t="shared" si="2"/>
        <v/>
      </c>
      <c r="J432" s="33" t="str">
        <f t="shared" si="3"/>
        <v/>
      </c>
    </row>
    <row r="433" ht="15.75" customHeight="1">
      <c r="A433" s="22" t="s">
        <v>113</v>
      </c>
      <c r="B433" s="22" t="str">
        <f>IF(MOV_CC_NACIONAL!A433="","",MOV_CC_NACIONAL!A433)</f>
        <v/>
      </c>
      <c r="C433" s="22" t="str">
        <f>IF(MOV_CC_NACIONAL!B433="","",MOV_CC_NACIONAL!B433)</f>
        <v/>
      </c>
      <c r="D433" s="34" t="str">
        <f>IF(MOV_CC_NACIONAL!C433="","",MOV_CC_NACIONAL!C433)</f>
        <v/>
      </c>
      <c r="E433" s="22" t="str">
        <f t="shared" si="1"/>
        <v/>
      </c>
      <c r="F433" s="22" t="str">
        <f>IFERROR(__xludf.DUMMYFUNCTION("IF(C433="""","""", OR(REGEXMATCH(LOWER(C433),""cuota""), REGEXMATCH(C433,""\d+\s*/\s*\d+"")))"),"")</f>
        <v/>
      </c>
      <c r="G433" s="22" t="str">
        <f>IFERROR(__xludf.DUMMYFUNCTION("IFERROR(VALUE(REGEXEXTRACT(C433,""(\d+)\s*/\s*\d+"")),"""")"),"")</f>
        <v/>
      </c>
      <c r="H433" s="22" t="str">
        <f>IFERROR(__xludf.DUMMYFUNCTION("IFERROR(VALUE(REGEXEXTRACT(C433,""\d+\s*/\s*(\d+)"")),"""")"),"")</f>
        <v/>
      </c>
      <c r="I433" s="22" t="str">
        <f t="shared" si="2"/>
        <v/>
      </c>
      <c r="J433" s="34" t="str">
        <f t="shared" si="3"/>
        <v/>
      </c>
    </row>
    <row r="434" ht="15.75" customHeight="1">
      <c r="A434" s="32" t="s">
        <v>113</v>
      </c>
      <c r="B434" s="32" t="str">
        <f>IF(MOV_CC_NACIONAL!A434="","",MOV_CC_NACIONAL!A434)</f>
        <v/>
      </c>
      <c r="C434" s="32" t="str">
        <f>IF(MOV_CC_NACIONAL!B434="","",MOV_CC_NACIONAL!B434)</f>
        <v/>
      </c>
      <c r="D434" s="33" t="str">
        <f>IF(MOV_CC_NACIONAL!C434="","",MOV_CC_NACIONAL!C434)</f>
        <v/>
      </c>
      <c r="E434" s="32" t="str">
        <f t="shared" si="1"/>
        <v/>
      </c>
      <c r="F434" s="32" t="str">
        <f>IFERROR(__xludf.DUMMYFUNCTION("IF(C434="""","""", OR(REGEXMATCH(LOWER(C434),""cuota""), REGEXMATCH(C434,""\d+\s*/\s*\d+"")))"),"")</f>
        <v/>
      </c>
      <c r="G434" s="32" t="str">
        <f>IFERROR(__xludf.DUMMYFUNCTION("IFERROR(VALUE(REGEXEXTRACT(C434,""(\d+)\s*/\s*\d+"")),"""")"),"")</f>
        <v/>
      </c>
      <c r="H434" s="32" t="str">
        <f>IFERROR(__xludf.DUMMYFUNCTION("IFERROR(VALUE(REGEXEXTRACT(C434,""\d+\s*/\s*(\d+)"")),"""")"),"")</f>
        <v/>
      </c>
      <c r="I434" s="32" t="str">
        <f t="shared" si="2"/>
        <v/>
      </c>
      <c r="J434" s="33" t="str">
        <f t="shared" si="3"/>
        <v/>
      </c>
    </row>
    <row r="435" ht="15.75" customHeight="1">
      <c r="A435" s="22" t="s">
        <v>113</v>
      </c>
      <c r="B435" s="22" t="str">
        <f>IF(MOV_CC_NACIONAL!A435="","",MOV_CC_NACIONAL!A435)</f>
        <v/>
      </c>
      <c r="C435" s="22" t="str">
        <f>IF(MOV_CC_NACIONAL!B435="","",MOV_CC_NACIONAL!B435)</f>
        <v/>
      </c>
      <c r="D435" s="34" t="str">
        <f>IF(MOV_CC_NACIONAL!C435="","",MOV_CC_NACIONAL!C435)</f>
        <v/>
      </c>
      <c r="E435" s="22" t="str">
        <f t="shared" si="1"/>
        <v/>
      </c>
      <c r="F435" s="22" t="str">
        <f>IFERROR(__xludf.DUMMYFUNCTION("IF(C435="""","""", OR(REGEXMATCH(LOWER(C435),""cuota""), REGEXMATCH(C435,""\d+\s*/\s*\d+"")))"),"")</f>
        <v/>
      </c>
      <c r="G435" s="22" t="str">
        <f>IFERROR(__xludf.DUMMYFUNCTION("IFERROR(VALUE(REGEXEXTRACT(C435,""(\d+)\s*/\s*\d+"")),"""")"),"")</f>
        <v/>
      </c>
      <c r="H435" s="22" t="str">
        <f>IFERROR(__xludf.DUMMYFUNCTION("IFERROR(VALUE(REGEXEXTRACT(C435,""\d+\s*/\s*(\d+)"")),"""")"),"")</f>
        <v/>
      </c>
      <c r="I435" s="22" t="str">
        <f t="shared" si="2"/>
        <v/>
      </c>
      <c r="J435" s="34" t="str">
        <f t="shared" si="3"/>
        <v/>
      </c>
    </row>
    <row r="436" ht="15.75" customHeight="1">
      <c r="A436" s="32" t="s">
        <v>113</v>
      </c>
      <c r="B436" s="32" t="str">
        <f>IF(MOV_CC_NACIONAL!A436="","",MOV_CC_NACIONAL!A436)</f>
        <v/>
      </c>
      <c r="C436" s="32" t="str">
        <f>IF(MOV_CC_NACIONAL!B436="","",MOV_CC_NACIONAL!B436)</f>
        <v/>
      </c>
      <c r="D436" s="33" t="str">
        <f>IF(MOV_CC_NACIONAL!C436="","",MOV_CC_NACIONAL!C436)</f>
        <v/>
      </c>
      <c r="E436" s="32" t="str">
        <f t="shared" si="1"/>
        <v/>
      </c>
      <c r="F436" s="32" t="str">
        <f>IFERROR(__xludf.DUMMYFUNCTION("IF(C436="""","""", OR(REGEXMATCH(LOWER(C436),""cuota""), REGEXMATCH(C436,""\d+\s*/\s*\d+"")))"),"")</f>
        <v/>
      </c>
      <c r="G436" s="32" t="str">
        <f>IFERROR(__xludf.DUMMYFUNCTION("IFERROR(VALUE(REGEXEXTRACT(C436,""(\d+)\s*/\s*\d+"")),"""")"),"")</f>
        <v/>
      </c>
      <c r="H436" s="32" t="str">
        <f>IFERROR(__xludf.DUMMYFUNCTION("IFERROR(VALUE(REGEXEXTRACT(C436,""\d+\s*/\s*(\d+)"")),"""")"),"")</f>
        <v/>
      </c>
      <c r="I436" s="32" t="str">
        <f t="shared" si="2"/>
        <v/>
      </c>
      <c r="J436" s="33" t="str">
        <f t="shared" si="3"/>
        <v/>
      </c>
    </row>
    <row r="437" ht="15.75" customHeight="1">
      <c r="A437" s="22" t="s">
        <v>113</v>
      </c>
      <c r="B437" s="22" t="str">
        <f>IF(MOV_CC_NACIONAL!A437="","",MOV_CC_NACIONAL!A437)</f>
        <v/>
      </c>
      <c r="C437" s="22" t="str">
        <f>IF(MOV_CC_NACIONAL!B437="","",MOV_CC_NACIONAL!B437)</f>
        <v/>
      </c>
      <c r="D437" s="34" t="str">
        <f>IF(MOV_CC_NACIONAL!C437="","",MOV_CC_NACIONAL!C437)</f>
        <v/>
      </c>
      <c r="E437" s="22" t="str">
        <f t="shared" si="1"/>
        <v/>
      </c>
      <c r="F437" s="22" t="str">
        <f>IFERROR(__xludf.DUMMYFUNCTION("IF(C437="""","""", OR(REGEXMATCH(LOWER(C437),""cuota""), REGEXMATCH(C437,""\d+\s*/\s*\d+"")))"),"")</f>
        <v/>
      </c>
      <c r="G437" s="22" t="str">
        <f>IFERROR(__xludf.DUMMYFUNCTION("IFERROR(VALUE(REGEXEXTRACT(C437,""(\d+)\s*/\s*\d+"")),"""")"),"")</f>
        <v/>
      </c>
      <c r="H437" s="22" t="str">
        <f>IFERROR(__xludf.DUMMYFUNCTION("IFERROR(VALUE(REGEXEXTRACT(C437,""\d+\s*/\s*(\d+)"")),"""")"),"")</f>
        <v/>
      </c>
      <c r="I437" s="22" t="str">
        <f t="shared" si="2"/>
        <v/>
      </c>
      <c r="J437" s="34" t="str">
        <f t="shared" si="3"/>
        <v/>
      </c>
    </row>
    <row r="438" ht="15.75" customHeight="1">
      <c r="A438" s="32" t="s">
        <v>113</v>
      </c>
      <c r="B438" s="32" t="str">
        <f>IF(MOV_CC_NACIONAL!A438="","",MOV_CC_NACIONAL!A438)</f>
        <v/>
      </c>
      <c r="C438" s="32" t="str">
        <f>IF(MOV_CC_NACIONAL!B438="","",MOV_CC_NACIONAL!B438)</f>
        <v/>
      </c>
      <c r="D438" s="33" t="str">
        <f>IF(MOV_CC_NACIONAL!C438="","",MOV_CC_NACIONAL!C438)</f>
        <v/>
      </c>
      <c r="E438" s="32" t="str">
        <f t="shared" si="1"/>
        <v/>
      </c>
      <c r="F438" s="32" t="str">
        <f>IFERROR(__xludf.DUMMYFUNCTION("IF(C438="""","""", OR(REGEXMATCH(LOWER(C438),""cuota""), REGEXMATCH(C438,""\d+\s*/\s*\d+"")))"),"")</f>
        <v/>
      </c>
      <c r="G438" s="32" t="str">
        <f>IFERROR(__xludf.DUMMYFUNCTION("IFERROR(VALUE(REGEXEXTRACT(C438,""(\d+)\s*/\s*\d+"")),"""")"),"")</f>
        <v/>
      </c>
      <c r="H438" s="32" t="str">
        <f>IFERROR(__xludf.DUMMYFUNCTION("IFERROR(VALUE(REGEXEXTRACT(C438,""\d+\s*/\s*(\d+)"")),"""")"),"")</f>
        <v/>
      </c>
      <c r="I438" s="32" t="str">
        <f t="shared" si="2"/>
        <v/>
      </c>
      <c r="J438" s="33" t="str">
        <f t="shared" si="3"/>
        <v/>
      </c>
    </row>
    <row r="439" ht="15.75" customHeight="1">
      <c r="A439" s="22" t="s">
        <v>113</v>
      </c>
      <c r="B439" s="22" t="str">
        <f>IF(MOV_CC_NACIONAL!A439="","",MOV_CC_NACIONAL!A439)</f>
        <v/>
      </c>
      <c r="C439" s="22" t="str">
        <f>IF(MOV_CC_NACIONAL!B439="","",MOV_CC_NACIONAL!B439)</f>
        <v/>
      </c>
      <c r="D439" s="34" t="str">
        <f>IF(MOV_CC_NACIONAL!C439="","",MOV_CC_NACIONAL!C439)</f>
        <v/>
      </c>
      <c r="E439" s="22" t="str">
        <f t="shared" si="1"/>
        <v/>
      </c>
      <c r="F439" s="22" t="str">
        <f>IFERROR(__xludf.DUMMYFUNCTION("IF(C439="""","""", OR(REGEXMATCH(LOWER(C439),""cuota""), REGEXMATCH(C439,""\d+\s*/\s*\d+"")))"),"")</f>
        <v/>
      </c>
      <c r="G439" s="22" t="str">
        <f>IFERROR(__xludf.DUMMYFUNCTION("IFERROR(VALUE(REGEXEXTRACT(C439,""(\d+)\s*/\s*\d+"")),"""")"),"")</f>
        <v/>
      </c>
      <c r="H439" s="22" t="str">
        <f>IFERROR(__xludf.DUMMYFUNCTION("IFERROR(VALUE(REGEXEXTRACT(C439,""\d+\s*/\s*(\d+)"")),"""")"),"")</f>
        <v/>
      </c>
      <c r="I439" s="22" t="str">
        <f t="shared" si="2"/>
        <v/>
      </c>
      <c r="J439" s="34" t="str">
        <f t="shared" si="3"/>
        <v/>
      </c>
    </row>
    <row r="440" ht="15.75" customHeight="1">
      <c r="A440" s="32" t="s">
        <v>113</v>
      </c>
      <c r="B440" s="32" t="str">
        <f>IF(MOV_CC_NACIONAL!A440="","",MOV_CC_NACIONAL!A440)</f>
        <v/>
      </c>
      <c r="C440" s="32" t="str">
        <f>IF(MOV_CC_NACIONAL!B440="","",MOV_CC_NACIONAL!B440)</f>
        <v/>
      </c>
      <c r="D440" s="33" t="str">
        <f>IF(MOV_CC_NACIONAL!C440="","",MOV_CC_NACIONAL!C440)</f>
        <v/>
      </c>
      <c r="E440" s="32" t="str">
        <f t="shared" si="1"/>
        <v/>
      </c>
      <c r="F440" s="32" t="str">
        <f>IFERROR(__xludf.DUMMYFUNCTION("IF(C440="""","""", OR(REGEXMATCH(LOWER(C440),""cuota""), REGEXMATCH(C440,""\d+\s*/\s*\d+"")))"),"")</f>
        <v/>
      </c>
      <c r="G440" s="32" t="str">
        <f>IFERROR(__xludf.DUMMYFUNCTION("IFERROR(VALUE(REGEXEXTRACT(C440,""(\d+)\s*/\s*\d+"")),"""")"),"")</f>
        <v/>
      </c>
      <c r="H440" s="32" t="str">
        <f>IFERROR(__xludf.DUMMYFUNCTION("IFERROR(VALUE(REGEXEXTRACT(C440,""\d+\s*/\s*(\d+)"")),"""")"),"")</f>
        <v/>
      </c>
      <c r="I440" s="32" t="str">
        <f t="shared" si="2"/>
        <v/>
      </c>
      <c r="J440" s="33" t="str">
        <f t="shared" si="3"/>
        <v/>
      </c>
    </row>
    <row r="441" ht="15.75" customHeight="1">
      <c r="A441" s="22" t="s">
        <v>113</v>
      </c>
      <c r="B441" s="22" t="str">
        <f>IF(MOV_CC_NACIONAL!A441="","",MOV_CC_NACIONAL!A441)</f>
        <v/>
      </c>
      <c r="C441" s="22" t="str">
        <f>IF(MOV_CC_NACIONAL!B441="","",MOV_CC_NACIONAL!B441)</f>
        <v/>
      </c>
      <c r="D441" s="34" t="str">
        <f>IF(MOV_CC_NACIONAL!C441="","",MOV_CC_NACIONAL!C441)</f>
        <v/>
      </c>
      <c r="E441" s="22" t="str">
        <f t="shared" si="1"/>
        <v/>
      </c>
      <c r="F441" s="22" t="str">
        <f>IFERROR(__xludf.DUMMYFUNCTION("IF(C441="""","""", OR(REGEXMATCH(LOWER(C441),""cuota""), REGEXMATCH(C441,""\d+\s*/\s*\d+"")))"),"")</f>
        <v/>
      </c>
      <c r="G441" s="22" t="str">
        <f>IFERROR(__xludf.DUMMYFUNCTION("IFERROR(VALUE(REGEXEXTRACT(C441,""(\d+)\s*/\s*\d+"")),"""")"),"")</f>
        <v/>
      </c>
      <c r="H441" s="22" t="str">
        <f>IFERROR(__xludf.DUMMYFUNCTION("IFERROR(VALUE(REGEXEXTRACT(C441,""\d+\s*/\s*(\d+)"")),"""")"),"")</f>
        <v/>
      </c>
      <c r="I441" s="22" t="str">
        <f t="shared" si="2"/>
        <v/>
      </c>
      <c r="J441" s="34" t="str">
        <f t="shared" si="3"/>
        <v/>
      </c>
    </row>
    <row r="442" ht="15.75" customHeight="1">
      <c r="A442" s="32" t="s">
        <v>113</v>
      </c>
      <c r="B442" s="32" t="str">
        <f>IF(MOV_CC_NACIONAL!A442="","",MOV_CC_NACIONAL!A442)</f>
        <v/>
      </c>
      <c r="C442" s="32" t="str">
        <f>IF(MOV_CC_NACIONAL!B442="","",MOV_CC_NACIONAL!B442)</f>
        <v/>
      </c>
      <c r="D442" s="33" t="str">
        <f>IF(MOV_CC_NACIONAL!C442="","",MOV_CC_NACIONAL!C442)</f>
        <v/>
      </c>
      <c r="E442" s="32" t="str">
        <f t="shared" si="1"/>
        <v/>
      </c>
      <c r="F442" s="32" t="str">
        <f>IFERROR(__xludf.DUMMYFUNCTION("IF(C442="""","""", OR(REGEXMATCH(LOWER(C442),""cuota""), REGEXMATCH(C442,""\d+\s*/\s*\d+"")))"),"")</f>
        <v/>
      </c>
      <c r="G442" s="32" t="str">
        <f>IFERROR(__xludf.DUMMYFUNCTION("IFERROR(VALUE(REGEXEXTRACT(C442,""(\d+)\s*/\s*\d+"")),"""")"),"")</f>
        <v/>
      </c>
      <c r="H442" s="32" t="str">
        <f>IFERROR(__xludf.DUMMYFUNCTION("IFERROR(VALUE(REGEXEXTRACT(C442,""\d+\s*/\s*(\d+)"")),"""")"),"")</f>
        <v/>
      </c>
      <c r="I442" s="32" t="str">
        <f t="shared" si="2"/>
        <v/>
      </c>
      <c r="J442" s="33" t="str">
        <f t="shared" si="3"/>
        <v/>
      </c>
    </row>
    <row r="443" ht="15.75" customHeight="1">
      <c r="A443" s="22" t="s">
        <v>113</v>
      </c>
      <c r="B443" s="22" t="str">
        <f>IF(MOV_CC_NACIONAL!A443="","",MOV_CC_NACIONAL!A443)</f>
        <v/>
      </c>
      <c r="C443" s="22" t="str">
        <f>IF(MOV_CC_NACIONAL!B443="","",MOV_CC_NACIONAL!B443)</f>
        <v/>
      </c>
      <c r="D443" s="34" t="str">
        <f>IF(MOV_CC_NACIONAL!C443="","",MOV_CC_NACIONAL!C443)</f>
        <v/>
      </c>
      <c r="E443" s="22" t="str">
        <f t="shared" si="1"/>
        <v/>
      </c>
      <c r="F443" s="22" t="str">
        <f>IFERROR(__xludf.DUMMYFUNCTION("IF(C443="""","""", OR(REGEXMATCH(LOWER(C443),""cuota""), REGEXMATCH(C443,""\d+\s*/\s*\d+"")))"),"")</f>
        <v/>
      </c>
      <c r="G443" s="22" t="str">
        <f>IFERROR(__xludf.DUMMYFUNCTION("IFERROR(VALUE(REGEXEXTRACT(C443,""(\d+)\s*/\s*\d+"")),"""")"),"")</f>
        <v/>
      </c>
      <c r="H443" s="22" t="str">
        <f>IFERROR(__xludf.DUMMYFUNCTION("IFERROR(VALUE(REGEXEXTRACT(C443,""\d+\s*/\s*(\d+)"")),"""")"),"")</f>
        <v/>
      </c>
      <c r="I443" s="22" t="str">
        <f t="shared" si="2"/>
        <v/>
      </c>
      <c r="J443" s="34" t="str">
        <f t="shared" si="3"/>
        <v/>
      </c>
    </row>
    <row r="444" ht="15.75" customHeight="1">
      <c r="A444" s="32" t="s">
        <v>113</v>
      </c>
      <c r="B444" s="32" t="str">
        <f>IF(MOV_CC_NACIONAL!A444="","",MOV_CC_NACIONAL!A444)</f>
        <v/>
      </c>
      <c r="C444" s="32" t="str">
        <f>IF(MOV_CC_NACIONAL!B444="","",MOV_CC_NACIONAL!B444)</f>
        <v/>
      </c>
      <c r="D444" s="33" t="str">
        <f>IF(MOV_CC_NACIONAL!C444="","",MOV_CC_NACIONAL!C444)</f>
        <v/>
      </c>
      <c r="E444" s="32" t="str">
        <f t="shared" si="1"/>
        <v/>
      </c>
      <c r="F444" s="32" t="str">
        <f>IFERROR(__xludf.DUMMYFUNCTION("IF(C444="""","""", OR(REGEXMATCH(LOWER(C444),""cuota""), REGEXMATCH(C444,""\d+\s*/\s*\d+"")))"),"")</f>
        <v/>
      </c>
      <c r="G444" s="32" t="str">
        <f>IFERROR(__xludf.DUMMYFUNCTION("IFERROR(VALUE(REGEXEXTRACT(C444,""(\d+)\s*/\s*\d+"")),"""")"),"")</f>
        <v/>
      </c>
      <c r="H444" s="32" t="str">
        <f>IFERROR(__xludf.DUMMYFUNCTION("IFERROR(VALUE(REGEXEXTRACT(C444,""\d+\s*/\s*(\d+)"")),"""")"),"")</f>
        <v/>
      </c>
      <c r="I444" s="32" t="str">
        <f t="shared" si="2"/>
        <v/>
      </c>
      <c r="J444" s="33" t="str">
        <f t="shared" si="3"/>
        <v/>
      </c>
    </row>
    <row r="445" ht="15.75" customHeight="1">
      <c r="A445" s="22" t="s">
        <v>113</v>
      </c>
      <c r="B445" s="22" t="str">
        <f>IF(MOV_CC_NACIONAL!A445="","",MOV_CC_NACIONAL!A445)</f>
        <v/>
      </c>
      <c r="C445" s="22" t="str">
        <f>IF(MOV_CC_NACIONAL!B445="","",MOV_CC_NACIONAL!B445)</f>
        <v/>
      </c>
      <c r="D445" s="34" t="str">
        <f>IF(MOV_CC_NACIONAL!C445="","",MOV_CC_NACIONAL!C445)</f>
        <v/>
      </c>
      <c r="E445" s="22" t="str">
        <f t="shared" si="1"/>
        <v/>
      </c>
      <c r="F445" s="22" t="str">
        <f>IFERROR(__xludf.DUMMYFUNCTION("IF(C445="""","""", OR(REGEXMATCH(LOWER(C445),""cuota""), REGEXMATCH(C445,""\d+\s*/\s*\d+"")))"),"")</f>
        <v/>
      </c>
      <c r="G445" s="22" t="str">
        <f>IFERROR(__xludf.DUMMYFUNCTION("IFERROR(VALUE(REGEXEXTRACT(C445,""(\d+)\s*/\s*\d+"")),"""")"),"")</f>
        <v/>
      </c>
      <c r="H445" s="22" t="str">
        <f>IFERROR(__xludf.DUMMYFUNCTION("IFERROR(VALUE(REGEXEXTRACT(C445,""\d+\s*/\s*(\d+)"")),"""")"),"")</f>
        <v/>
      </c>
      <c r="I445" s="22" t="str">
        <f t="shared" si="2"/>
        <v/>
      </c>
      <c r="J445" s="34" t="str">
        <f t="shared" si="3"/>
        <v/>
      </c>
    </row>
    <row r="446" ht="15.75" customHeight="1">
      <c r="A446" s="32" t="s">
        <v>113</v>
      </c>
      <c r="B446" s="32" t="str">
        <f>IF(MOV_CC_NACIONAL!A446="","",MOV_CC_NACIONAL!A446)</f>
        <v/>
      </c>
      <c r="C446" s="32" t="str">
        <f>IF(MOV_CC_NACIONAL!B446="","",MOV_CC_NACIONAL!B446)</f>
        <v/>
      </c>
      <c r="D446" s="33" t="str">
        <f>IF(MOV_CC_NACIONAL!C446="","",MOV_CC_NACIONAL!C446)</f>
        <v/>
      </c>
      <c r="E446" s="32" t="str">
        <f t="shared" si="1"/>
        <v/>
      </c>
      <c r="F446" s="32" t="str">
        <f>IFERROR(__xludf.DUMMYFUNCTION("IF(C446="""","""", OR(REGEXMATCH(LOWER(C446),""cuota""), REGEXMATCH(C446,""\d+\s*/\s*\d+"")))"),"")</f>
        <v/>
      </c>
      <c r="G446" s="32" t="str">
        <f>IFERROR(__xludf.DUMMYFUNCTION("IFERROR(VALUE(REGEXEXTRACT(C446,""(\d+)\s*/\s*\d+"")),"""")"),"")</f>
        <v/>
      </c>
      <c r="H446" s="32" t="str">
        <f>IFERROR(__xludf.DUMMYFUNCTION("IFERROR(VALUE(REGEXEXTRACT(C446,""\d+\s*/\s*(\d+)"")),"""")"),"")</f>
        <v/>
      </c>
      <c r="I446" s="32" t="str">
        <f t="shared" si="2"/>
        <v/>
      </c>
      <c r="J446" s="33" t="str">
        <f t="shared" si="3"/>
        <v/>
      </c>
    </row>
    <row r="447" ht="15.75" customHeight="1">
      <c r="A447" s="22" t="s">
        <v>113</v>
      </c>
      <c r="B447" s="22" t="str">
        <f>IF(MOV_CC_NACIONAL!A447="","",MOV_CC_NACIONAL!A447)</f>
        <v/>
      </c>
      <c r="C447" s="22" t="str">
        <f>IF(MOV_CC_NACIONAL!B447="","",MOV_CC_NACIONAL!B447)</f>
        <v/>
      </c>
      <c r="D447" s="34" t="str">
        <f>IF(MOV_CC_NACIONAL!C447="","",MOV_CC_NACIONAL!C447)</f>
        <v/>
      </c>
      <c r="E447" s="22" t="str">
        <f t="shared" si="1"/>
        <v/>
      </c>
      <c r="F447" s="22" t="str">
        <f>IFERROR(__xludf.DUMMYFUNCTION("IF(C447="""","""", OR(REGEXMATCH(LOWER(C447),""cuota""), REGEXMATCH(C447,""\d+\s*/\s*\d+"")))"),"")</f>
        <v/>
      </c>
      <c r="G447" s="22" t="str">
        <f>IFERROR(__xludf.DUMMYFUNCTION("IFERROR(VALUE(REGEXEXTRACT(C447,""(\d+)\s*/\s*\d+"")),"""")"),"")</f>
        <v/>
      </c>
      <c r="H447" s="22" t="str">
        <f>IFERROR(__xludf.DUMMYFUNCTION("IFERROR(VALUE(REGEXEXTRACT(C447,""\d+\s*/\s*(\d+)"")),"""")"),"")</f>
        <v/>
      </c>
      <c r="I447" s="22" t="str">
        <f t="shared" si="2"/>
        <v/>
      </c>
      <c r="J447" s="34" t="str">
        <f t="shared" si="3"/>
        <v/>
      </c>
    </row>
    <row r="448" ht="15.75" customHeight="1">
      <c r="A448" s="32" t="s">
        <v>113</v>
      </c>
      <c r="B448" s="32" t="str">
        <f>IF(MOV_CC_NACIONAL!A448="","",MOV_CC_NACIONAL!A448)</f>
        <v/>
      </c>
      <c r="C448" s="32" t="str">
        <f>IF(MOV_CC_NACIONAL!B448="","",MOV_CC_NACIONAL!B448)</f>
        <v/>
      </c>
      <c r="D448" s="33" t="str">
        <f>IF(MOV_CC_NACIONAL!C448="","",MOV_CC_NACIONAL!C448)</f>
        <v/>
      </c>
      <c r="E448" s="32" t="str">
        <f t="shared" si="1"/>
        <v/>
      </c>
      <c r="F448" s="32" t="str">
        <f>IFERROR(__xludf.DUMMYFUNCTION("IF(C448="""","""", OR(REGEXMATCH(LOWER(C448),""cuota""), REGEXMATCH(C448,""\d+\s*/\s*\d+"")))"),"")</f>
        <v/>
      </c>
      <c r="G448" s="32" t="str">
        <f>IFERROR(__xludf.DUMMYFUNCTION("IFERROR(VALUE(REGEXEXTRACT(C448,""(\d+)\s*/\s*\d+"")),"""")"),"")</f>
        <v/>
      </c>
      <c r="H448" s="32" t="str">
        <f>IFERROR(__xludf.DUMMYFUNCTION("IFERROR(VALUE(REGEXEXTRACT(C448,""\d+\s*/\s*(\d+)"")),"""")"),"")</f>
        <v/>
      </c>
      <c r="I448" s="32" t="str">
        <f t="shared" si="2"/>
        <v/>
      </c>
      <c r="J448" s="33" t="str">
        <f t="shared" si="3"/>
        <v/>
      </c>
    </row>
    <row r="449" ht="15.75" customHeight="1">
      <c r="A449" s="22" t="s">
        <v>113</v>
      </c>
      <c r="B449" s="22" t="str">
        <f>IF(MOV_CC_NACIONAL!A449="","",MOV_CC_NACIONAL!A449)</f>
        <v/>
      </c>
      <c r="C449" s="22" t="str">
        <f>IF(MOV_CC_NACIONAL!B449="","",MOV_CC_NACIONAL!B449)</f>
        <v/>
      </c>
      <c r="D449" s="34" t="str">
        <f>IF(MOV_CC_NACIONAL!C449="","",MOV_CC_NACIONAL!C449)</f>
        <v/>
      </c>
      <c r="E449" s="22" t="str">
        <f t="shared" si="1"/>
        <v/>
      </c>
      <c r="F449" s="22" t="str">
        <f>IFERROR(__xludf.DUMMYFUNCTION("IF(C449="""","""", OR(REGEXMATCH(LOWER(C449),""cuota""), REGEXMATCH(C449,""\d+\s*/\s*\d+"")))"),"")</f>
        <v/>
      </c>
      <c r="G449" s="22" t="str">
        <f>IFERROR(__xludf.DUMMYFUNCTION("IFERROR(VALUE(REGEXEXTRACT(C449,""(\d+)\s*/\s*\d+"")),"""")"),"")</f>
        <v/>
      </c>
      <c r="H449" s="22" t="str">
        <f>IFERROR(__xludf.DUMMYFUNCTION("IFERROR(VALUE(REGEXEXTRACT(C449,""\d+\s*/\s*(\d+)"")),"""")"),"")</f>
        <v/>
      </c>
      <c r="I449" s="22" t="str">
        <f t="shared" si="2"/>
        <v/>
      </c>
      <c r="J449" s="34" t="str">
        <f t="shared" si="3"/>
        <v/>
      </c>
    </row>
    <row r="450" ht="15.75" customHeight="1">
      <c r="A450" s="32" t="s">
        <v>113</v>
      </c>
      <c r="B450" s="32" t="str">
        <f>IF(MOV_CC_NACIONAL!A450="","",MOV_CC_NACIONAL!A450)</f>
        <v/>
      </c>
      <c r="C450" s="32" t="str">
        <f>IF(MOV_CC_NACIONAL!B450="","",MOV_CC_NACIONAL!B450)</f>
        <v/>
      </c>
      <c r="D450" s="33" t="str">
        <f>IF(MOV_CC_NACIONAL!C450="","",MOV_CC_NACIONAL!C450)</f>
        <v/>
      </c>
      <c r="E450" s="32" t="str">
        <f t="shared" si="1"/>
        <v/>
      </c>
      <c r="F450" s="32" t="str">
        <f>IFERROR(__xludf.DUMMYFUNCTION("IF(C450="""","""", OR(REGEXMATCH(LOWER(C450),""cuota""), REGEXMATCH(C450,""\d+\s*/\s*\d+"")))"),"")</f>
        <v/>
      </c>
      <c r="G450" s="32" t="str">
        <f>IFERROR(__xludf.DUMMYFUNCTION("IFERROR(VALUE(REGEXEXTRACT(C450,""(\d+)\s*/\s*\d+"")),"""")"),"")</f>
        <v/>
      </c>
      <c r="H450" s="32" t="str">
        <f>IFERROR(__xludf.DUMMYFUNCTION("IFERROR(VALUE(REGEXEXTRACT(C450,""\d+\s*/\s*(\d+)"")),"""")"),"")</f>
        <v/>
      </c>
      <c r="I450" s="32" t="str">
        <f t="shared" si="2"/>
        <v/>
      </c>
      <c r="J450" s="33" t="str">
        <f t="shared" si="3"/>
        <v/>
      </c>
    </row>
    <row r="451" ht="15.75" customHeight="1">
      <c r="A451" s="22" t="s">
        <v>113</v>
      </c>
      <c r="B451" s="22" t="str">
        <f>IF(MOV_CC_NACIONAL!A451="","",MOV_CC_NACIONAL!A451)</f>
        <v/>
      </c>
      <c r="C451" s="22" t="str">
        <f>IF(MOV_CC_NACIONAL!B451="","",MOV_CC_NACIONAL!B451)</f>
        <v/>
      </c>
      <c r="D451" s="34" t="str">
        <f>IF(MOV_CC_NACIONAL!C451="","",MOV_CC_NACIONAL!C451)</f>
        <v/>
      </c>
      <c r="E451" s="22" t="str">
        <f t="shared" si="1"/>
        <v/>
      </c>
      <c r="F451" s="22" t="str">
        <f>IFERROR(__xludf.DUMMYFUNCTION("IF(C451="""","""", OR(REGEXMATCH(LOWER(C451),""cuota""), REGEXMATCH(C451,""\d+\s*/\s*\d+"")))"),"")</f>
        <v/>
      </c>
      <c r="G451" s="22" t="str">
        <f>IFERROR(__xludf.DUMMYFUNCTION("IFERROR(VALUE(REGEXEXTRACT(C451,""(\d+)\s*/\s*\d+"")),"""")"),"")</f>
        <v/>
      </c>
      <c r="H451" s="22" t="str">
        <f>IFERROR(__xludf.DUMMYFUNCTION("IFERROR(VALUE(REGEXEXTRACT(C451,""\d+\s*/\s*(\d+)"")),"""")"),"")</f>
        <v/>
      </c>
      <c r="I451" s="22" t="str">
        <f t="shared" si="2"/>
        <v/>
      </c>
      <c r="J451" s="34" t="str">
        <f t="shared" si="3"/>
        <v/>
      </c>
    </row>
    <row r="452" ht="15.75" customHeight="1">
      <c r="A452" s="32" t="s">
        <v>113</v>
      </c>
      <c r="B452" s="32" t="str">
        <f>IF(MOV_CC_NACIONAL!A452="","",MOV_CC_NACIONAL!A452)</f>
        <v/>
      </c>
      <c r="C452" s="32" t="str">
        <f>IF(MOV_CC_NACIONAL!B452="","",MOV_CC_NACIONAL!B452)</f>
        <v/>
      </c>
      <c r="D452" s="33" t="str">
        <f>IF(MOV_CC_NACIONAL!C452="","",MOV_CC_NACIONAL!C452)</f>
        <v/>
      </c>
      <c r="E452" s="32" t="str">
        <f t="shared" si="1"/>
        <v/>
      </c>
      <c r="F452" s="32" t="str">
        <f>IFERROR(__xludf.DUMMYFUNCTION("IF(C452="""","""", OR(REGEXMATCH(LOWER(C452),""cuota""), REGEXMATCH(C452,""\d+\s*/\s*\d+"")))"),"")</f>
        <v/>
      </c>
      <c r="G452" s="32" t="str">
        <f>IFERROR(__xludf.DUMMYFUNCTION("IFERROR(VALUE(REGEXEXTRACT(C452,""(\d+)\s*/\s*\d+"")),"""")"),"")</f>
        <v/>
      </c>
      <c r="H452" s="32" t="str">
        <f>IFERROR(__xludf.DUMMYFUNCTION("IFERROR(VALUE(REGEXEXTRACT(C452,""\d+\s*/\s*(\d+)"")),"""")"),"")</f>
        <v/>
      </c>
      <c r="I452" s="32" t="str">
        <f t="shared" si="2"/>
        <v/>
      </c>
      <c r="J452" s="33" t="str">
        <f t="shared" si="3"/>
        <v/>
      </c>
    </row>
    <row r="453" ht="15.75" customHeight="1">
      <c r="A453" s="22" t="s">
        <v>113</v>
      </c>
      <c r="B453" s="22" t="str">
        <f>IF(MOV_CC_NACIONAL!A453="","",MOV_CC_NACIONAL!A453)</f>
        <v/>
      </c>
      <c r="C453" s="22" t="str">
        <f>IF(MOV_CC_NACIONAL!B453="","",MOV_CC_NACIONAL!B453)</f>
        <v/>
      </c>
      <c r="D453" s="34" t="str">
        <f>IF(MOV_CC_NACIONAL!C453="","",MOV_CC_NACIONAL!C453)</f>
        <v/>
      </c>
      <c r="E453" s="22" t="str">
        <f t="shared" si="1"/>
        <v/>
      </c>
      <c r="F453" s="22" t="str">
        <f>IFERROR(__xludf.DUMMYFUNCTION("IF(C453="""","""", OR(REGEXMATCH(LOWER(C453),""cuota""), REGEXMATCH(C453,""\d+\s*/\s*\d+"")))"),"")</f>
        <v/>
      </c>
      <c r="G453" s="22" t="str">
        <f>IFERROR(__xludf.DUMMYFUNCTION("IFERROR(VALUE(REGEXEXTRACT(C453,""(\d+)\s*/\s*\d+"")),"""")"),"")</f>
        <v/>
      </c>
      <c r="H453" s="22" t="str">
        <f>IFERROR(__xludf.DUMMYFUNCTION("IFERROR(VALUE(REGEXEXTRACT(C453,""\d+\s*/\s*(\d+)"")),"""")"),"")</f>
        <v/>
      </c>
      <c r="I453" s="22" t="str">
        <f t="shared" si="2"/>
        <v/>
      </c>
      <c r="J453" s="34" t="str">
        <f t="shared" si="3"/>
        <v/>
      </c>
    </row>
    <row r="454" ht="15.75" customHeight="1">
      <c r="A454" s="32" t="s">
        <v>113</v>
      </c>
      <c r="B454" s="32" t="str">
        <f>IF(MOV_CC_NACIONAL!A454="","",MOV_CC_NACIONAL!A454)</f>
        <v/>
      </c>
      <c r="C454" s="32" t="str">
        <f>IF(MOV_CC_NACIONAL!B454="","",MOV_CC_NACIONAL!B454)</f>
        <v/>
      </c>
      <c r="D454" s="33" t="str">
        <f>IF(MOV_CC_NACIONAL!C454="","",MOV_CC_NACIONAL!C454)</f>
        <v/>
      </c>
      <c r="E454" s="32" t="str">
        <f t="shared" si="1"/>
        <v/>
      </c>
      <c r="F454" s="32" t="str">
        <f>IFERROR(__xludf.DUMMYFUNCTION("IF(C454="""","""", OR(REGEXMATCH(LOWER(C454),""cuota""), REGEXMATCH(C454,""\d+\s*/\s*\d+"")))"),"")</f>
        <v/>
      </c>
      <c r="G454" s="32" t="str">
        <f>IFERROR(__xludf.DUMMYFUNCTION("IFERROR(VALUE(REGEXEXTRACT(C454,""(\d+)\s*/\s*\d+"")),"""")"),"")</f>
        <v/>
      </c>
      <c r="H454" s="32" t="str">
        <f>IFERROR(__xludf.DUMMYFUNCTION("IFERROR(VALUE(REGEXEXTRACT(C454,""\d+\s*/\s*(\d+)"")),"""")"),"")</f>
        <v/>
      </c>
      <c r="I454" s="32" t="str">
        <f t="shared" si="2"/>
        <v/>
      </c>
      <c r="J454" s="33" t="str">
        <f t="shared" si="3"/>
        <v/>
      </c>
    </row>
    <row r="455" ht="15.75" customHeight="1">
      <c r="A455" s="22" t="s">
        <v>113</v>
      </c>
      <c r="B455" s="22" t="str">
        <f>IF(MOV_CC_NACIONAL!A455="","",MOV_CC_NACIONAL!A455)</f>
        <v/>
      </c>
      <c r="C455" s="22" t="str">
        <f>IF(MOV_CC_NACIONAL!B455="","",MOV_CC_NACIONAL!B455)</f>
        <v/>
      </c>
      <c r="D455" s="34" t="str">
        <f>IF(MOV_CC_NACIONAL!C455="","",MOV_CC_NACIONAL!C455)</f>
        <v/>
      </c>
      <c r="E455" s="22" t="str">
        <f t="shared" si="1"/>
        <v/>
      </c>
      <c r="F455" s="22" t="str">
        <f>IFERROR(__xludf.DUMMYFUNCTION("IF(C455="""","""", OR(REGEXMATCH(LOWER(C455),""cuota""), REGEXMATCH(C455,""\d+\s*/\s*\d+"")))"),"")</f>
        <v/>
      </c>
      <c r="G455" s="22" t="str">
        <f>IFERROR(__xludf.DUMMYFUNCTION("IFERROR(VALUE(REGEXEXTRACT(C455,""(\d+)\s*/\s*\d+"")),"""")"),"")</f>
        <v/>
      </c>
      <c r="H455" s="22" t="str">
        <f>IFERROR(__xludf.DUMMYFUNCTION("IFERROR(VALUE(REGEXEXTRACT(C455,""\d+\s*/\s*(\d+)"")),"""")"),"")</f>
        <v/>
      </c>
      <c r="I455" s="22" t="str">
        <f t="shared" si="2"/>
        <v/>
      </c>
      <c r="J455" s="34" t="str">
        <f t="shared" si="3"/>
        <v/>
      </c>
    </row>
    <row r="456" ht="15.75" customHeight="1">
      <c r="A456" s="32" t="s">
        <v>113</v>
      </c>
      <c r="B456" s="32" t="str">
        <f>IF(MOV_CC_NACIONAL!A456="","",MOV_CC_NACIONAL!A456)</f>
        <v/>
      </c>
      <c r="C456" s="32" t="str">
        <f>IF(MOV_CC_NACIONAL!B456="","",MOV_CC_NACIONAL!B456)</f>
        <v/>
      </c>
      <c r="D456" s="33" t="str">
        <f>IF(MOV_CC_NACIONAL!C456="","",MOV_CC_NACIONAL!C456)</f>
        <v/>
      </c>
      <c r="E456" s="32" t="str">
        <f t="shared" si="1"/>
        <v/>
      </c>
      <c r="F456" s="32" t="str">
        <f>IFERROR(__xludf.DUMMYFUNCTION("IF(C456="""","""", OR(REGEXMATCH(LOWER(C456),""cuota""), REGEXMATCH(C456,""\d+\s*/\s*\d+"")))"),"")</f>
        <v/>
      </c>
      <c r="G456" s="32" t="str">
        <f>IFERROR(__xludf.DUMMYFUNCTION("IFERROR(VALUE(REGEXEXTRACT(C456,""(\d+)\s*/\s*\d+"")),"""")"),"")</f>
        <v/>
      </c>
      <c r="H456" s="32" t="str">
        <f>IFERROR(__xludf.DUMMYFUNCTION("IFERROR(VALUE(REGEXEXTRACT(C456,""\d+\s*/\s*(\d+)"")),"""")"),"")</f>
        <v/>
      </c>
      <c r="I456" s="32" t="str">
        <f t="shared" si="2"/>
        <v/>
      </c>
      <c r="J456" s="33" t="str">
        <f t="shared" si="3"/>
        <v/>
      </c>
    </row>
    <row r="457" ht="15.75" customHeight="1">
      <c r="A457" s="22" t="s">
        <v>113</v>
      </c>
      <c r="B457" s="22" t="str">
        <f>IF(MOV_CC_NACIONAL!A457="","",MOV_CC_NACIONAL!A457)</f>
        <v/>
      </c>
      <c r="C457" s="22" t="str">
        <f>IF(MOV_CC_NACIONAL!B457="","",MOV_CC_NACIONAL!B457)</f>
        <v/>
      </c>
      <c r="D457" s="34" t="str">
        <f>IF(MOV_CC_NACIONAL!C457="","",MOV_CC_NACIONAL!C457)</f>
        <v/>
      </c>
      <c r="E457" s="22" t="str">
        <f t="shared" si="1"/>
        <v/>
      </c>
      <c r="F457" s="22" t="str">
        <f>IFERROR(__xludf.DUMMYFUNCTION("IF(C457="""","""", OR(REGEXMATCH(LOWER(C457),""cuota""), REGEXMATCH(C457,""\d+\s*/\s*\d+"")))"),"")</f>
        <v/>
      </c>
      <c r="G457" s="22" t="str">
        <f>IFERROR(__xludf.DUMMYFUNCTION("IFERROR(VALUE(REGEXEXTRACT(C457,""(\d+)\s*/\s*\d+"")),"""")"),"")</f>
        <v/>
      </c>
      <c r="H457" s="22" t="str">
        <f>IFERROR(__xludf.DUMMYFUNCTION("IFERROR(VALUE(REGEXEXTRACT(C457,""\d+\s*/\s*(\d+)"")),"""")"),"")</f>
        <v/>
      </c>
      <c r="I457" s="22" t="str">
        <f t="shared" si="2"/>
        <v/>
      </c>
      <c r="J457" s="34" t="str">
        <f t="shared" si="3"/>
        <v/>
      </c>
    </row>
    <row r="458" ht="15.75" customHeight="1">
      <c r="A458" s="32" t="s">
        <v>113</v>
      </c>
      <c r="B458" s="32" t="str">
        <f>IF(MOV_CC_NACIONAL!A458="","",MOV_CC_NACIONAL!A458)</f>
        <v/>
      </c>
      <c r="C458" s="32" t="str">
        <f>IF(MOV_CC_NACIONAL!B458="","",MOV_CC_NACIONAL!B458)</f>
        <v/>
      </c>
      <c r="D458" s="33" t="str">
        <f>IF(MOV_CC_NACIONAL!C458="","",MOV_CC_NACIONAL!C458)</f>
        <v/>
      </c>
      <c r="E458" s="32" t="str">
        <f t="shared" si="1"/>
        <v/>
      </c>
      <c r="F458" s="32" t="str">
        <f>IFERROR(__xludf.DUMMYFUNCTION("IF(C458="""","""", OR(REGEXMATCH(LOWER(C458),""cuota""), REGEXMATCH(C458,""\d+\s*/\s*\d+"")))"),"")</f>
        <v/>
      </c>
      <c r="G458" s="32" t="str">
        <f>IFERROR(__xludf.DUMMYFUNCTION("IFERROR(VALUE(REGEXEXTRACT(C458,""(\d+)\s*/\s*\d+"")),"""")"),"")</f>
        <v/>
      </c>
      <c r="H458" s="32" t="str">
        <f>IFERROR(__xludf.DUMMYFUNCTION("IFERROR(VALUE(REGEXEXTRACT(C458,""\d+\s*/\s*(\d+)"")),"""")"),"")</f>
        <v/>
      </c>
      <c r="I458" s="32" t="str">
        <f t="shared" si="2"/>
        <v/>
      </c>
      <c r="J458" s="33" t="str">
        <f t="shared" si="3"/>
        <v/>
      </c>
    </row>
    <row r="459" ht="15.75" customHeight="1">
      <c r="A459" s="22" t="s">
        <v>113</v>
      </c>
      <c r="B459" s="22" t="str">
        <f>IF(MOV_CC_NACIONAL!A459="","",MOV_CC_NACIONAL!A459)</f>
        <v/>
      </c>
      <c r="C459" s="22" t="str">
        <f>IF(MOV_CC_NACIONAL!B459="","",MOV_CC_NACIONAL!B459)</f>
        <v/>
      </c>
      <c r="D459" s="34" t="str">
        <f>IF(MOV_CC_NACIONAL!C459="","",MOV_CC_NACIONAL!C459)</f>
        <v/>
      </c>
      <c r="E459" s="22" t="str">
        <f t="shared" si="1"/>
        <v/>
      </c>
      <c r="F459" s="22" t="str">
        <f>IFERROR(__xludf.DUMMYFUNCTION("IF(C459="""","""", OR(REGEXMATCH(LOWER(C459),""cuota""), REGEXMATCH(C459,""\d+\s*/\s*\d+"")))"),"")</f>
        <v/>
      </c>
      <c r="G459" s="22" t="str">
        <f>IFERROR(__xludf.DUMMYFUNCTION("IFERROR(VALUE(REGEXEXTRACT(C459,""(\d+)\s*/\s*\d+"")),"""")"),"")</f>
        <v/>
      </c>
      <c r="H459" s="22" t="str">
        <f>IFERROR(__xludf.DUMMYFUNCTION("IFERROR(VALUE(REGEXEXTRACT(C459,""\d+\s*/\s*(\d+)"")),"""")"),"")</f>
        <v/>
      </c>
      <c r="I459" s="22" t="str">
        <f t="shared" si="2"/>
        <v/>
      </c>
      <c r="J459" s="34" t="str">
        <f t="shared" si="3"/>
        <v/>
      </c>
    </row>
    <row r="460" ht="15.75" customHeight="1">
      <c r="A460" s="32" t="s">
        <v>113</v>
      </c>
      <c r="B460" s="32" t="str">
        <f>IF(MOV_CC_NACIONAL!A460="","",MOV_CC_NACIONAL!A460)</f>
        <v/>
      </c>
      <c r="C460" s="32" t="str">
        <f>IF(MOV_CC_NACIONAL!B460="","",MOV_CC_NACIONAL!B460)</f>
        <v/>
      </c>
      <c r="D460" s="33" t="str">
        <f>IF(MOV_CC_NACIONAL!C460="","",MOV_CC_NACIONAL!C460)</f>
        <v/>
      </c>
      <c r="E460" s="32" t="str">
        <f t="shared" si="1"/>
        <v/>
      </c>
      <c r="F460" s="32" t="str">
        <f>IFERROR(__xludf.DUMMYFUNCTION("IF(C460="""","""", OR(REGEXMATCH(LOWER(C460),""cuota""), REGEXMATCH(C460,""\d+\s*/\s*\d+"")))"),"")</f>
        <v/>
      </c>
      <c r="G460" s="32" t="str">
        <f>IFERROR(__xludf.DUMMYFUNCTION("IFERROR(VALUE(REGEXEXTRACT(C460,""(\d+)\s*/\s*\d+"")),"""")"),"")</f>
        <v/>
      </c>
      <c r="H460" s="32" t="str">
        <f>IFERROR(__xludf.DUMMYFUNCTION("IFERROR(VALUE(REGEXEXTRACT(C460,""\d+\s*/\s*(\d+)"")),"""")"),"")</f>
        <v/>
      </c>
      <c r="I460" s="32" t="str">
        <f t="shared" si="2"/>
        <v/>
      </c>
      <c r="J460" s="33" t="str">
        <f t="shared" si="3"/>
        <v/>
      </c>
    </row>
    <row r="461" ht="15.75" customHeight="1">
      <c r="A461" s="22" t="s">
        <v>113</v>
      </c>
      <c r="B461" s="22" t="str">
        <f>IF(MOV_CC_NACIONAL!A461="","",MOV_CC_NACIONAL!A461)</f>
        <v/>
      </c>
      <c r="C461" s="22" t="str">
        <f>IF(MOV_CC_NACIONAL!B461="","",MOV_CC_NACIONAL!B461)</f>
        <v/>
      </c>
      <c r="D461" s="34" t="str">
        <f>IF(MOV_CC_NACIONAL!C461="","",MOV_CC_NACIONAL!C461)</f>
        <v/>
      </c>
      <c r="E461" s="22" t="str">
        <f t="shared" si="1"/>
        <v/>
      </c>
      <c r="F461" s="22" t="str">
        <f>IFERROR(__xludf.DUMMYFUNCTION("IF(C461="""","""", OR(REGEXMATCH(LOWER(C461),""cuota""), REGEXMATCH(C461,""\d+\s*/\s*\d+"")))"),"")</f>
        <v/>
      </c>
      <c r="G461" s="22" t="str">
        <f>IFERROR(__xludf.DUMMYFUNCTION("IFERROR(VALUE(REGEXEXTRACT(C461,""(\d+)\s*/\s*\d+"")),"""")"),"")</f>
        <v/>
      </c>
      <c r="H461" s="22" t="str">
        <f>IFERROR(__xludf.DUMMYFUNCTION("IFERROR(VALUE(REGEXEXTRACT(C461,""\d+\s*/\s*(\d+)"")),"""")"),"")</f>
        <v/>
      </c>
      <c r="I461" s="22" t="str">
        <f t="shared" si="2"/>
        <v/>
      </c>
      <c r="J461" s="34" t="str">
        <f t="shared" si="3"/>
        <v/>
      </c>
    </row>
    <row r="462" ht="15.75" customHeight="1">
      <c r="A462" s="32" t="s">
        <v>113</v>
      </c>
      <c r="B462" s="32" t="str">
        <f>IF(MOV_CC_NACIONAL!A462="","",MOV_CC_NACIONAL!A462)</f>
        <v/>
      </c>
      <c r="C462" s="32" t="str">
        <f>IF(MOV_CC_NACIONAL!B462="","",MOV_CC_NACIONAL!B462)</f>
        <v/>
      </c>
      <c r="D462" s="33" t="str">
        <f>IF(MOV_CC_NACIONAL!C462="","",MOV_CC_NACIONAL!C462)</f>
        <v/>
      </c>
      <c r="E462" s="32" t="str">
        <f t="shared" si="1"/>
        <v/>
      </c>
      <c r="F462" s="32" t="str">
        <f>IFERROR(__xludf.DUMMYFUNCTION("IF(C462="""","""", OR(REGEXMATCH(LOWER(C462),""cuota""), REGEXMATCH(C462,""\d+\s*/\s*\d+"")))"),"")</f>
        <v/>
      </c>
      <c r="G462" s="32" t="str">
        <f>IFERROR(__xludf.DUMMYFUNCTION("IFERROR(VALUE(REGEXEXTRACT(C462,""(\d+)\s*/\s*\d+"")),"""")"),"")</f>
        <v/>
      </c>
      <c r="H462" s="32" t="str">
        <f>IFERROR(__xludf.DUMMYFUNCTION("IFERROR(VALUE(REGEXEXTRACT(C462,""\d+\s*/\s*(\d+)"")),"""")"),"")</f>
        <v/>
      </c>
      <c r="I462" s="32" t="str">
        <f t="shared" si="2"/>
        <v/>
      </c>
      <c r="J462" s="33" t="str">
        <f t="shared" si="3"/>
        <v/>
      </c>
    </row>
    <row r="463" ht="15.75" customHeight="1">
      <c r="A463" s="22" t="s">
        <v>113</v>
      </c>
      <c r="B463" s="22" t="str">
        <f>IF(MOV_CC_NACIONAL!A463="","",MOV_CC_NACIONAL!A463)</f>
        <v/>
      </c>
      <c r="C463" s="22" t="str">
        <f>IF(MOV_CC_NACIONAL!B463="","",MOV_CC_NACIONAL!B463)</f>
        <v/>
      </c>
      <c r="D463" s="34" t="str">
        <f>IF(MOV_CC_NACIONAL!C463="","",MOV_CC_NACIONAL!C463)</f>
        <v/>
      </c>
      <c r="E463" s="22" t="str">
        <f t="shared" si="1"/>
        <v/>
      </c>
      <c r="F463" s="22" t="str">
        <f>IFERROR(__xludf.DUMMYFUNCTION("IF(C463="""","""", OR(REGEXMATCH(LOWER(C463),""cuota""), REGEXMATCH(C463,""\d+\s*/\s*\d+"")))"),"")</f>
        <v/>
      </c>
      <c r="G463" s="22" t="str">
        <f>IFERROR(__xludf.DUMMYFUNCTION("IFERROR(VALUE(REGEXEXTRACT(C463,""(\d+)\s*/\s*\d+"")),"""")"),"")</f>
        <v/>
      </c>
      <c r="H463" s="22" t="str">
        <f>IFERROR(__xludf.DUMMYFUNCTION("IFERROR(VALUE(REGEXEXTRACT(C463,""\d+\s*/\s*(\d+)"")),"""")"),"")</f>
        <v/>
      </c>
      <c r="I463" s="22" t="str">
        <f t="shared" si="2"/>
        <v/>
      </c>
      <c r="J463" s="34" t="str">
        <f t="shared" si="3"/>
        <v/>
      </c>
    </row>
    <row r="464" ht="15.75" customHeight="1">
      <c r="A464" s="32" t="s">
        <v>113</v>
      </c>
      <c r="B464" s="32" t="str">
        <f>IF(MOV_CC_NACIONAL!A464="","",MOV_CC_NACIONAL!A464)</f>
        <v/>
      </c>
      <c r="C464" s="32" t="str">
        <f>IF(MOV_CC_NACIONAL!B464="","",MOV_CC_NACIONAL!B464)</f>
        <v/>
      </c>
      <c r="D464" s="33" t="str">
        <f>IF(MOV_CC_NACIONAL!C464="","",MOV_CC_NACIONAL!C464)</f>
        <v/>
      </c>
      <c r="E464" s="32" t="str">
        <f t="shared" si="1"/>
        <v/>
      </c>
      <c r="F464" s="32" t="str">
        <f>IFERROR(__xludf.DUMMYFUNCTION("IF(C464="""","""", OR(REGEXMATCH(LOWER(C464),""cuota""), REGEXMATCH(C464,""\d+\s*/\s*\d+"")))"),"")</f>
        <v/>
      </c>
      <c r="G464" s="32" t="str">
        <f>IFERROR(__xludf.DUMMYFUNCTION("IFERROR(VALUE(REGEXEXTRACT(C464,""(\d+)\s*/\s*\d+"")),"""")"),"")</f>
        <v/>
      </c>
      <c r="H464" s="32" t="str">
        <f>IFERROR(__xludf.DUMMYFUNCTION("IFERROR(VALUE(REGEXEXTRACT(C464,""\d+\s*/\s*(\d+)"")),"""")"),"")</f>
        <v/>
      </c>
      <c r="I464" s="32" t="str">
        <f t="shared" si="2"/>
        <v/>
      </c>
      <c r="J464" s="33" t="str">
        <f t="shared" si="3"/>
        <v/>
      </c>
    </row>
    <row r="465" ht="15.75" customHeight="1">
      <c r="A465" s="22" t="s">
        <v>113</v>
      </c>
      <c r="B465" s="22" t="str">
        <f>IF(MOV_CC_NACIONAL!A465="","",MOV_CC_NACIONAL!A465)</f>
        <v/>
      </c>
      <c r="C465" s="22" t="str">
        <f>IF(MOV_CC_NACIONAL!B465="","",MOV_CC_NACIONAL!B465)</f>
        <v/>
      </c>
      <c r="D465" s="34" t="str">
        <f>IF(MOV_CC_NACIONAL!C465="","",MOV_CC_NACIONAL!C465)</f>
        <v/>
      </c>
      <c r="E465" s="22" t="str">
        <f t="shared" si="1"/>
        <v/>
      </c>
      <c r="F465" s="22" t="str">
        <f>IFERROR(__xludf.DUMMYFUNCTION("IF(C465="""","""", OR(REGEXMATCH(LOWER(C465),""cuota""), REGEXMATCH(C465,""\d+\s*/\s*\d+"")))"),"")</f>
        <v/>
      </c>
      <c r="G465" s="22" t="str">
        <f>IFERROR(__xludf.DUMMYFUNCTION("IFERROR(VALUE(REGEXEXTRACT(C465,""(\d+)\s*/\s*\d+"")),"""")"),"")</f>
        <v/>
      </c>
      <c r="H465" s="22" t="str">
        <f>IFERROR(__xludf.DUMMYFUNCTION("IFERROR(VALUE(REGEXEXTRACT(C465,""\d+\s*/\s*(\d+)"")),"""")"),"")</f>
        <v/>
      </c>
      <c r="I465" s="22" t="str">
        <f t="shared" si="2"/>
        <v/>
      </c>
      <c r="J465" s="34" t="str">
        <f t="shared" si="3"/>
        <v/>
      </c>
    </row>
    <row r="466" ht="15.75" customHeight="1">
      <c r="A466" s="32" t="s">
        <v>113</v>
      </c>
      <c r="B466" s="32" t="str">
        <f>IF(MOV_CC_NACIONAL!A466="","",MOV_CC_NACIONAL!A466)</f>
        <v/>
      </c>
      <c r="C466" s="32" t="str">
        <f>IF(MOV_CC_NACIONAL!B466="","",MOV_CC_NACIONAL!B466)</f>
        <v/>
      </c>
      <c r="D466" s="33" t="str">
        <f>IF(MOV_CC_NACIONAL!C466="","",MOV_CC_NACIONAL!C466)</f>
        <v/>
      </c>
      <c r="E466" s="32" t="str">
        <f t="shared" si="1"/>
        <v/>
      </c>
      <c r="F466" s="32" t="str">
        <f>IFERROR(__xludf.DUMMYFUNCTION("IF(C466="""","""", OR(REGEXMATCH(LOWER(C466),""cuota""), REGEXMATCH(C466,""\d+\s*/\s*\d+"")))"),"")</f>
        <v/>
      </c>
      <c r="G466" s="32" t="str">
        <f>IFERROR(__xludf.DUMMYFUNCTION("IFERROR(VALUE(REGEXEXTRACT(C466,""(\d+)\s*/\s*\d+"")),"""")"),"")</f>
        <v/>
      </c>
      <c r="H466" s="32" t="str">
        <f>IFERROR(__xludf.DUMMYFUNCTION("IFERROR(VALUE(REGEXEXTRACT(C466,""\d+\s*/\s*(\d+)"")),"""")"),"")</f>
        <v/>
      </c>
      <c r="I466" s="32" t="str">
        <f t="shared" si="2"/>
        <v/>
      </c>
      <c r="J466" s="33" t="str">
        <f t="shared" si="3"/>
        <v/>
      </c>
    </row>
    <row r="467" ht="15.75" customHeight="1">
      <c r="A467" s="22" t="s">
        <v>113</v>
      </c>
      <c r="B467" s="22" t="str">
        <f>IF(MOV_CC_NACIONAL!A467="","",MOV_CC_NACIONAL!A467)</f>
        <v/>
      </c>
      <c r="C467" s="22" t="str">
        <f>IF(MOV_CC_NACIONAL!B467="","",MOV_CC_NACIONAL!B467)</f>
        <v/>
      </c>
      <c r="D467" s="34" t="str">
        <f>IF(MOV_CC_NACIONAL!C467="","",MOV_CC_NACIONAL!C467)</f>
        <v/>
      </c>
      <c r="E467" s="22" t="str">
        <f t="shared" si="1"/>
        <v/>
      </c>
      <c r="F467" s="22" t="str">
        <f>IFERROR(__xludf.DUMMYFUNCTION("IF(C467="""","""", OR(REGEXMATCH(LOWER(C467),""cuota""), REGEXMATCH(C467,""\d+\s*/\s*\d+"")))"),"")</f>
        <v/>
      </c>
      <c r="G467" s="22" t="str">
        <f>IFERROR(__xludf.DUMMYFUNCTION("IFERROR(VALUE(REGEXEXTRACT(C467,""(\d+)\s*/\s*\d+"")),"""")"),"")</f>
        <v/>
      </c>
      <c r="H467" s="22" t="str">
        <f>IFERROR(__xludf.DUMMYFUNCTION("IFERROR(VALUE(REGEXEXTRACT(C467,""\d+\s*/\s*(\d+)"")),"""")"),"")</f>
        <v/>
      </c>
      <c r="I467" s="22" t="str">
        <f t="shared" si="2"/>
        <v/>
      </c>
      <c r="J467" s="34" t="str">
        <f t="shared" si="3"/>
        <v/>
      </c>
    </row>
    <row r="468" ht="15.75" customHeight="1">
      <c r="A468" s="32" t="s">
        <v>113</v>
      </c>
      <c r="B468" s="32" t="str">
        <f>IF(MOV_CC_NACIONAL!A468="","",MOV_CC_NACIONAL!A468)</f>
        <v/>
      </c>
      <c r="C468" s="32" t="str">
        <f>IF(MOV_CC_NACIONAL!B468="","",MOV_CC_NACIONAL!B468)</f>
        <v/>
      </c>
      <c r="D468" s="33" t="str">
        <f>IF(MOV_CC_NACIONAL!C468="","",MOV_CC_NACIONAL!C468)</f>
        <v/>
      </c>
      <c r="E468" s="32" t="str">
        <f t="shared" si="1"/>
        <v/>
      </c>
      <c r="F468" s="32" t="str">
        <f>IFERROR(__xludf.DUMMYFUNCTION("IF(C468="""","""", OR(REGEXMATCH(LOWER(C468),""cuota""), REGEXMATCH(C468,""\d+\s*/\s*\d+"")))"),"")</f>
        <v/>
      </c>
      <c r="G468" s="32" t="str">
        <f>IFERROR(__xludf.DUMMYFUNCTION("IFERROR(VALUE(REGEXEXTRACT(C468,""(\d+)\s*/\s*\d+"")),"""")"),"")</f>
        <v/>
      </c>
      <c r="H468" s="32" t="str">
        <f>IFERROR(__xludf.DUMMYFUNCTION("IFERROR(VALUE(REGEXEXTRACT(C468,""\d+\s*/\s*(\d+)"")),"""")"),"")</f>
        <v/>
      </c>
      <c r="I468" s="32" t="str">
        <f t="shared" si="2"/>
        <v/>
      </c>
      <c r="J468" s="33" t="str">
        <f t="shared" si="3"/>
        <v/>
      </c>
    </row>
    <row r="469" ht="15.75" customHeight="1">
      <c r="A469" s="22" t="s">
        <v>113</v>
      </c>
      <c r="B469" s="22" t="str">
        <f>IF(MOV_CC_NACIONAL!A469="","",MOV_CC_NACIONAL!A469)</f>
        <v/>
      </c>
      <c r="C469" s="22" t="str">
        <f>IF(MOV_CC_NACIONAL!B469="","",MOV_CC_NACIONAL!B469)</f>
        <v/>
      </c>
      <c r="D469" s="34" t="str">
        <f>IF(MOV_CC_NACIONAL!C469="","",MOV_CC_NACIONAL!C469)</f>
        <v/>
      </c>
      <c r="E469" s="22" t="str">
        <f t="shared" si="1"/>
        <v/>
      </c>
      <c r="F469" s="22" t="str">
        <f>IFERROR(__xludf.DUMMYFUNCTION("IF(C469="""","""", OR(REGEXMATCH(LOWER(C469),""cuota""), REGEXMATCH(C469,""\d+\s*/\s*\d+"")))"),"")</f>
        <v/>
      </c>
      <c r="G469" s="22" t="str">
        <f>IFERROR(__xludf.DUMMYFUNCTION("IFERROR(VALUE(REGEXEXTRACT(C469,""(\d+)\s*/\s*\d+"")),"""")"),"")</f>
        <v/>
      </c>
      <c r="H469" s="22" t="str">
        <f>IFERROR(__xludf.DUMMYFUNCTION("IFERROR(VALUE(REGEXEXTRACT(C469,""\d+\s*/\s*(\d+)"")),"""")"),"")</f>
        <v/>
      </c>
      <c r="I469" s="22" t="str">
        <f t="shared" si="2"/>
        <v/>
      </c>
      <c r="J469" s="34" t="str">
        <f t="shared" si="3"/>
        <v/>
      </c>
    </row>
    <row r="470" ht="15.75" customHeight="1">
      <c r="A470" s="32" t="s">
        <v>113</v>
      </c>
      <c r="B470" s="32" t="str">
        <f>IF(MOV_CC_NACIONAL!A470="","",MOV_CC_NACIONAL!A470)</f>
        <v/>
      </c>
      <c r="C470" s="32" t="str">
        <f>IF(MOV_CC_NACIONAL!B470="","",MOV_CC_NACIONAL!B470)</f>
        <v/>
      </c>
      <c r="D470" s="33" t="str">
        <f>IF(MOV_CC_NACIONAL!C470="","",MOV_CC_NACIONAL!C470)</f>
        <v/>
      </c>
      <c r="E470" s="32" t="str">
        <f t="shared" si="1"/>
        <v/>
      </c>
      <c r="F470" s="32" t="str">
        <f>IFERROR(__xludf.DUMMYFUNCTION("IF(C470="""","""", OR(REGEXMATCH(LOWER(C470),""cuota""), REGEXMATCH(C470,""\d+\s*/\s*\d+"")))"),"")</f>
        <v/>
      </c>
      <c r="G470" s="32" t="str">
        <f>IFERROR(__xludf.DUMMYFUNCTION("IFERROR(VALUE(REGEXEXTRACT(C470,""(\d+)\s*/\s*\d+"")),"""")"),"")</f>
        <v/>
      </c>
      <c r="H470" s="32" t="str">
        <f>IFERROR(__xludf.DUMMYFUNCTION("IFERROR(VALUE(REGEXEXTRACT(C470,""\d+\s*/\s*(\d+)"")),"""")"),"")</f>
        <v/>
      </c>
      <c r="I470" s="32" t="str">
        <f t="shared" si="2"/>
        <v/>
      </c>
      <c r="J470" s="33" t="str">
        <f t="shared" si="3"/>
        <v/>
      </c>
    </row>
    <row r="471" ht="15.75" customHeight="1">
      <c r="A471" s="22" t="s">
        <v>113</v>
      </c>
      <c r="B471" s="22" t="str">
        <f>IF(MOV_CC_NACIONAL!A471="","",MOV_CC_NACIONAL!A471)</f>
        <v/>
      </c>
      <c r="C471" s="22" t="str">
        <f>IF(MOV_CC_NACIONAL!B471="","",MOV_CC_NACIONAL!B471)</f>
        <v/>
      </c>
      <c r="D471" s="34" t="str">
        <f>IF(MOV_CC_NACIONAL!C471="","",MOV_CC_NACIONAL!C471)</f>
        <v/>
      </c>
      <c r="E471" s="22" t="str">
        <f t="shared" si="1"/>
        <v/>
      </c>
      <c r="F471" s="22" t="str">
        <f>IFERROR(__xludf.DUMMYFUNCTION("IF(C471="""","""", OR(REGEXMATCH(LOWER(C471),""cuota""), REGEXMATCH(C471,""\d+\s*/\s*\d+"")))"),"")</f>
        <v/>
      </c>
      <c r="G471" s="22" t="str">
        <f>IFERROR(__xludf.DUMMYFUNCTION("IFERROR(VALUE(REGEXEXTRACT(C471,""(\d+)\s*/\s*\d+"")),"""")"),"")</f>
        <v/>
      </c>
      <c r="H471" s="22" t="str">
        <f>IFERROR(__xludf.DUMMYFUNCTION("IFERROR(VALUE(REGEXEXTRACT(C471,""\d+\s*/\s*(\d+)"")),"""")"),"")</f>
        <v/>
      </c>
      <c r="I471" s="22" t="str">
        <f t="shared" si="2"/>
        <v/>
      </c>
      <c r="J471" s="34" t="str">
        <f t="shared" si="3"/>
        <v/>
      </c>
    </row>
    <row r="472" ht="15.75" customHeight="1">
      <c r="A472" s="32" t="s">
        <v>113</v>
      </c>
      <c r="B472" s="32" t="str">
        <f>IF(MOV_CC_NACIONAL!A472="","",MOV_CC_NACIONAL!A472)</f>
        <v/>
      </c>
      <c r="C472" s="32" t="str">
        <f>IF(MOV_CC_NACIONAL!B472="","",MOV_CC_NACIONAL!B472)</f>
        <v/>
      </c>
      <c r="D472" s="33" t="str">
        <f>IF(MOV_CC_NACIONAL!C472="","",MOV_CC_NACIONAL!C472)</f>
        <v/>
      </c>
      <c r="E472" s="32" t="str">
        <f t="shared" si="1"/>
        <v/>
      </c>
      <c r="F472" s="32" t="str">
        <f>IFERROR(__xludf.DUMMYFUNCTION("IF(C472="""","""", OR(REGEXMATCH(LOWER(C472),""cuota""), REGEXMATCH(C472,""\d+\s*/\s*\d+"")))"),"")</f>
        <v/>
      </c>
      <c r="G472" s="32" t="str">
        <f>IFERROR(__xludf.DUMMYFUNCTION("IFERROR(VALUE(REGEXEXTRACT(C472,""(\d+)\s*/\s*\d+"")),"""")"),"")</f>
        <v/>
      </c>
      <c r="H472" s="32" t="str">
        <f>IFERROR(__xludf.DUMMYFUNCTION("IFERROR(VALUE(REGEXEXTRACT(C472,""\d+\s*/\s*(\d+)"")),"""")"),"")</f>
        <v/>
      </c>
      <c r="I472" s="32" t="str">
        <f t="shared" si="2"/>
        <v/>
      </c>
      <c r="J472" s="33" t="str">
        <f t="shared" si="3"/>
        <v/>
      </c>
    </row>
    <row r="473" ht="15.75" customHeight="1">
      <c r="A473" s="22" t="s">
        <v>113</v>
      </c>
      <c r="B473" s="22" t="str">
        <f>IF(MOV_CC_NACIONAL!A473="","",MOV_CC_NACIONAL!A473)</f>
        <v/>
      </c>
      <c r="C473" s="22" t="str">
        <f>IF(MOV_CC_NACIONAL!B473="","",MOV_CC_NACIONAL!B473)</f>
        <v/>
      </c>
      <c r="D473" s="34" t="str">
        <f>IF(MOV_CC_NACIONAL!C473="","",MOV_CC_NACIONAL!C473)</f>
        <v/>
      </c>
      <c r="E473" s="22" t="str">
        <f t="shared" si="1"/>
        <v/>
      </c>
      <c r="F473" s="22" t="str">
        <f>IFERROR(__xludf.DUMMYFUNCTION("IF(C473="""","""", OR(REGEXMATCH(LOWER(C473),""cuota""), REGEXMATCH(C473,""\d+\s*/\s*\d+"")))"),"")</f>
        <v/>
      </c>
      <c r="G473" s="22" t="str">
        <f>IFERROR(__xludf.DUMMYFUNCTION("IFERROR(VALUE(REGEXEXTRACT(C473,""(\d+)\s*/\s*\d+"")),"""")"),"")</f>
        <v/>
      </c>
      <c r="H473" s="22" t="str">
        <f>IFERROR(__xludf.DUMMYFUNCTION("IFERROR(VALUE(REGEXEXTRACT(C473,""\d+\s*/\s*(\d+)"")),"""")"),"")</f>
        <v/>
      </c>
      <c r="I473" s="22" t="str">
        <f t="shared" si="2"/>
        <v/>
      </c>
      <c r="J473" s="34" t="str">
        <f t="shared" si="3"/>
        <v/>
      </c>
    </row>
    <row r="474" ht="15.75" customHeight="1">
      <c r="A474" s="32" t="s">
        <v>113</v>
      </c>
      <c r="B474" s="32" t="str">
        <f>IF(MOV_CC_NACIONAL!A474="","",MOV_CC_NACIONAL!A474)</f>
        <v/>
      </c>
      <c r="C474" s="32" t="str">
        <f>IF(MOV_CC_NACIONAL!B474="","",MOV_CC_NACIONAL!B474)</f>
        <v/>
      </c>
      <c r="D474" s="33" t="str">
        <f>IF(MOV_CC_NACIONAL!C474="","",MOV_CC_NACIONAL!C474)</f>
        <v/>
      </c>
      <c r="E474" s="32" t="str">
        <f t="shared" si="1"/>
        <v/>
      </c>
      <c r="F474" s="32" t="str">
        <f>IFERROR(__xludf.DUMMYFUNCTION("IF(C474="""","""", OR(REGEXMATCH(LOWER(C474),""cuota""), REGEXMATCH(C474,""\d+\s*/\s*\d+"")))"),"")</f>
        <v/>
      </c>
      <c r="G474" s="32" t="str">
        <f>IFERROR(__xludf.DUMMYFUNCTION("IFERROR(VALUE(REGEXEXTRACT(C474,""(\d+)\s*/\s*\d+"")),"""")"),"")</f>
        <v/>
      </c>
      <c r="H474" s="32" t="str">
        <f>IFERROR(__xludf.DUMMYFUNCTION("IFERROR(VALUE(REGEXEXTRACT(C474,""\d+\s*/\s*(\d+)"")),"""")"),"")</f>
        <v/>
      </c>
      <c r="I474" s="32" t="str">
        <f t="shared" si="2"/>
        <v/>
      </c>
      <c r="J474" s="33" t="str">
        <f t="shared" si="3"/>
        <v/>
      </c>
    </row>
    <row r="475" ht="15.75" customHeight="1">
      <c r="A475" s="22" t="s">
        <v>113</v>
      </c>
      <c r="B475" s="22" t="str">
        <f>IF(MOV_CC_NACIONAL!A475="","",MOV_CC_NACIONAL!A475)</f>
        <v/>
      </c>
      <c r="C475" s="22" t="str">
        <f>IF(MOV_CC_NACIONAL!B475="","",MOV_CC_NACIONAL!B475)</f>
        <v/>
      </c>
      <c r="D475" s="34" t="str">
        <f>IF(MOV_CC_NACIONAL!C475="","",MOV_CC_NACIONAL!C475)</f>
        <v/>
      </c>
      <c r="E475" s="22" t="str">
        <f t="shared" si="1"/>
        <v/>
      </c>
      <c r="F475" s="22" t="str">
        <f>IFERROR(__xludf.DUMMYFUNCTION("IF(C475="""","""", OR(REGEXMATCH(LOWER(C475),""cuota""), REGEXMATCH(C475,""\d+\s*/\s*\d+"")))"),"")</f>
        <v/>
      </c>
      <c r="G475" s="22" t="str">
        <f>IFERROR(__xludf.DUMMYFUNCTION("IFERROR(VALUE(REGEXEXTRACT(C475,""(\d+)\s*/\s*\d+"")),"""")"),"")</f>
        <v/>
      </c>
      <c r="H475" s="22" t="str">
        <f>IFERROR(__xludf.DUMMYFUNCTION("IFERROR(VALUE(REGEXEXTRACT(C475,""\d+\s*/\s*(\d+)"")),"""")"),"")</f>
        <v/>
      </c>
      <c r="I475" s="22" t="str">
        <f t="shared" si="2"/>
        <v/>
      </c>
      <c r="J475" s="34" t="str">
        <f t="shared" si="3"/>
        <v/>
      </c>
    </row>
    <row r="476" ht="15.75" customHeight="1">
      <c r="A476" s="32" t="s">
        <v>113</v>
      </c>
      <c r="B476" s="32" t="str">
        <f>IF(MOV_CC_NACIONAL!A476="","",MOV_CC_NACIONAL!A476)</f>
        <v/>
      </c>
      <c r="C476" s="32" t="str">
        <f>IF(MOV_CC_NACIONAL!B476="","",MOV_CC_NACIONAL!B476)</f>
        <v/>
      </c>
      <c r="D476" s="33" t="str">
        <f>IF(MOV_CC_NACIONAL!C476="","",MOV_CC_NACIONAL!C476)</f>
        <v/>
      </c>
      <c r="E476" s="32" t="str">
        <f t="shared" si="1"/>
        <v/>
      </c>
      <c r="F476" s="32" t="str">
        <f>IFERROR(__xludf.DUMMYFUNCTION("IF(C476="""","""", OR(REGEXMATCH(LOWER(C476),""cuota""), REGEXMATCH(C476,""\d+\s*/\s*\d+"")))"),"")</f>
        <v/>
      </c>
      <c r="G476" s="32" t="str">
        <f>IFERROR(__xludf.DUMMYFUNCTION("IFERROR(VALUE(REGEXEXTRACT(C476,""(\d+)\s*/\s*\d+"")),"""")"),"")</f>
        <v/>
      </c>
      <c r="H476" s="32" t="str">
        <f>IFERROR(__xludf.DUMMYFUNCTION("IFERROR(VALUE(REGEXEXTRACT(C476,""\d+\s*/\s*(\d+)"")),"""")"),"")</f>
        <v/>
      </c>
      <c r="I476" s="32" t="str">
        <f t="shared" si="2"/>
        <v/>
      </c>
      <c r="J476" s="33" t="str">
        <f t="shared" si="3"/>
        <v/>
      </c>
    </row>
    <row r="477" ht="15.75" customHeight="1">
      <c r="A477" s="22" t="s">
        <v>113</v>
      </c>
      <c r="B477" s="22" t="str">
        <f>IF(MOV_CC_NACIONAL!A477="","",MOV_CC_NACIONAL!A477)</f>
        <v/>
      </c>
      <c r="C477" s="22" t="str">
        <f>IF(MOV_CC_NACIONAL!B477="","",MOV_CC_NACIONAL!B477)</f>
        <v/>
      </c>
      <c r="D477" s="34" t="str">
        <f>IF(MOV_CC_NACIONAL!C477="","",MOV_CC_NACIONAL!C477)</f>
        <v/>
      </c>
      <c r="E477" s="22" t="str">
        <f t="shared" si="1"/>
        <v/>
      </c>
      <c r="F477" s="22" t="str">
        <f>IFERROR(__xludf.DUMMYFUNCTION("IF(C477="""","""", OR(REGEXMATCH(LOWER(C477),""cuota""), REGEXMATCH(C477,""\d+\s*/\s*\d+"")))"),"")</f>
        <v/>
      </c>
      <c r="G477" s="22" t="str">
        <f>IFERROR(__xludf.DUMMYFUNCTION("IFERROR(VALUE(REGEXEXTRACT(C477,""(\d+)\s*/\s*\d+"")),"""")"),"")</f>
        <v/>
      </c>
      <c r="H477" s="22" t="str">
        <f>IFERROR(__xludf.DUMMYFUNCTION("IFERROR(VALUE(REGEXEXTRACT(C477,""\d+\s*/\s*(\d+)"")),"""")"),"")</f>
        <v/>
      </c>
      <c r="I477" s="22" t="str">
        <f t="shared" si="2"/>
        <v/>
      </c>
      <c r="J477" s="34" t="str">
        <f t="shared" si="3"/>
        <v/>
      </c>
    </row>
    <row r="478" ht="15.75" customHeight="1">
      <c r="A478" s="32" t="s">
        <v>113</v>
      </c>
      <c r="B478" s="32" t="str">
        <f>IF(MOV_CC_NACIONAL!A478="","",MOV_CC_NACIONAL!A478)</f>
        <v/>
      </c>
      <c r="C478" s="32" t="str">
        <f>IF(MOV_CC_NACIONAL!B478="","",MOV_CC_NACIONAL!B478)</f>
        <v/>
      </c>
      <c r="D478" s="33" t="str">
        <f>IF(MOV_CC_NACIONAL!C478="","",MOV_CC_NACIONAL!C478)</f>
        <v/>
      </c>
      <c r="E478" s="32" t="str">
        <f t="shared" si="1"/>
        <v/>
      </c>
      <c r="F478" s="32" t="str">
        <f>IFERROR(__xludf.DUMMYFUNCTION("IF(C478="""","""", OR(REGEXMATCH(LOWER(C478),""cuota""), REGEXMATCH(C478,""\d+\s*/\s*\d+"")))"),"")</f>
        <v/>
      </c>
      <c r="G478" s="32" t="str">
        <f>IFERROR(__xludf.DUMMYFUNCTION("IFERROR(VALUE(REGEXEXTRACT(C478,""(\d+)\s*/\s*\d+"")),"""")"),"")</f>
        <v/>
      </c>
      <c r="H478" s="32" t="str">
        <f>IFERROR(__xludf.DUMMYFUNCTION("IFERROR(VALUE(REGEXEXTRACT(C478,""\d+\s*/\s*(\d+)"")),"""")"),"")</f>
        <v/>
      </c>
      <c r="I478" s="32" t="str">
        <f t="shared" si="2"/>
        <v/>
      </c>
      <c r="J478" s="33" t="str">
        <f t="shared" si="3"/>
        <v/>
      </c>
    </row>
    <row r="479" ht="15.75" customHeight="1">
      <c r="A479" s="22" t="s">
        <v>113</v>
      </c>
      <c r="B479" s="22" t="str">
        <f>IF(MOV_CC_NACIONAL!A479="","",MOV_CC_NACIONAL!A479)</f>
        <v/>
      </c>
      <c r="C479" s="22" t="str">
        <f>IF(MOV_CC_NACIONAL!B479="","",MOV_CC_NACIONAL!B479)</f>
        <v/>
      </c>
      <c r="D479" s="34" t="str">
        <f>IF(MOV_CC_NACIONAL!C479="","",MOV_CC_NACIONAL!C479)</f>
        <v/>
      </c>
      <c r="E479" s="22" t="str">
        <f t="shared" si="1"/>
        <v/>
      </c>
      <c r="F479" s="22" t="str">
        <f>IFERROR(__xludf.DUMMYFUNCTION("IF(C479="""","""", OR(REGEXMATCH(LOWER(C479),""cuota""), REGEXMATCH(C479,""\d+\s*/\s*\d+"")))"),"")</f>
        <v/>
      </c>
      <c r="G479" s="22" t="str">
        <f>IFERROR(__xludf.DUMMYFUNCTION("IFERROR(VALUE(REGEXEXTRACT(C479,""(\d+)\s*/\s*\d+"")),"""")"),"")</f>
        <v/>
      </c>
      <c r="H479" s="22" t="str">
        <f>IFERROR(__xludf.DUMMYFUNCTION("IFERROR(VALUE(REGEXEXTRACT(C479,""\d+\s*/\s*(\d+)"")),"""")"),"")</f>
        <v/>
      </c>
      <c r="I479" s="22" t="str">
        <f t="shared" si="2"/>
        <v/>
      </c>
      <c r="J479" s="34" t="str">
        <f t="shared" si="3"/>
        <v/>
      </c>
    </row>
    <row r="480" ht="15.75" customHeight="1">
      <c r="A480" s="32" t="s">
        <v>113</v>
      </c>
      <c r="B480" s="32" t="str">
        <f>IF(MOV_CC_NACIONAL!A480="","",MOV_CC_NACIONAL!A480)</f>
        <v/>
      </c>
      <c r="C480" s="32" t="str">
        <f>IF(MOV_CC_NACIONAL!B480="","",MOV_CC_NACIONAL!B480)</f>
        <v/>
      </c>
      <c r="D480" s="33" t="str">
        <f>IF(MOV_CC_NACIONAL!C480="","",MOV_CC_NACIONAL!C480)</f>
        <v/>
      </c>
      <c r="E480" s="32" t="str">
        <f t="shared" si="1"/>
        <v/>
      </c>
      <c r="F480" s="32" t="str">
        <f>IFERROR(__xludf.DUMMYFUNCTION("IF(C480="""","""", OR(REGEXMATCH(LOWER(C480),""cuota""), REGEXMATCH(C480,""\d+\s*/\s*\d+"")))"),"")</f>
        <v/>
      </c>
      <c r="G480" s="32" t="str">
        <f>IFERROR(__xludf.DUMMYFUNCTION("IFERROR(VALUE(REGEXEXTRACT(C480,""(\d+)\s*/\s*\d+"")),"""")"),"")</f>
        <v/>
      </c>
      <c r="H480" s="32" t="str">
        <f>IFERROR(__xludf.DUMMYFUNCTION("IFERROR(VALUE(REGEXEXTRACT(C480,""\d+\s*/\s*(\d+)"")),"""")"),"")</f>
        <v/>
      </c>
      <c r="I480" s="32" t="str">
        <f t="shared" si="2"/>
        <v/>
      </c>
      <c r="J480" s="33" t="str">
        <f t="shared" si="3"/>
        <v/>
      </c>
    </row>
    <row r="481" ht="15.75" customHeight="1">
      <c r="A481" s="22" t="s">
        <v>113</v>
      </c>
      <c r="B481" s="22" t="str">
        <f>IF(MOV_CC_NACIONAL!A481="","",MOV_CC_NACIONAL!A481)</f>
        <v/>
      </c>
      <c r="C481" s="22" t="str">
        <f>IF(MOV_CC_NACIONAL!B481="","",MOV_CC_NACIONAL!B481)</f>
        <v/>
      </c>
      <c r="D481" s="34" t="str">
        <f>IF(MOV_CC_NACIONAL!C481="","",MOV_CC_NACIONAL!C481)</f>
        <v/>
      </c>
      <c r="E481" s="22" t="str">
        <f t="shared" si="1"/>
        <v/>
      </c>
      <c r="F481" s="22" t="str">
        <f>IFERROR(__xludf.DUMMYFUNCTION("IF(C481="""","""", OR(REGEXMATCH(LOWER(C481),""cuota""), REGEXMATCH(C481,""\d+\s*/\s*\d+"")))"),"")</f>
        <v/>
      </c>
      <c r="G481" s="22" t="str">
        <f>IFERROR(__xludf.DUMMYFUNCTION("IFERROR(VALUE(REGEXEXTRACT(C481,""(\d+)\s*/\s*\d+"")),"""")"),"")</f>
        <v/>
      </c>
      <c r="H481" s="22" t="str">
        <f>IFERROR(__xludf.DUMMYFUNCTION("IFERROR(VALUE(REGEXEXTRACT(C481,""\d+\s*/\s*(\d+)"")),"""")"),"")</f>
        <v/>
      </c>
      <c r="I481" s="22" t="str">
        <f t="shared" si="2"/>
        <v/>
      </c>
      <c r="J481" s="34" t="str">
        <f t="shared" si="3"/>
        <v/>
      </c>
    </row>
    <row r="482" ht="15.75" customHeight="1">
      <c r="A482" s="32" t="s">
        <v>113</v>
      </c>
      <c r="B482" s="32" t="str">
        <f>IF(MOV_CC_NACIONAL!A482="","",MOV_CC_NACIONAL!A482)</f>
        <v/>
      </c>
      <c r="C482" s="32" t="str">
        <f>IF(MOV_CC_NACIONAL!B482="","",MOV_CC_NACIONAL!B482)</f>
        <v/>
      </c>
      <c r="D482" s="33" t="str">
        <f>IF(MOV_CC_NACIONAL!C482="","",MOV_CC_NACIONAL!C482)</f>
        <v/>
      </c>
      <c r="E482" s="32" t="str">
        <f t="shared" si="1"/>
        <v/>
      </c>
      <c r="F482" s="32" t="str">
        <f>IFERROR(__xludf.DUMMYFUNCTION("IF(C482="""","""", OR(REGEXMATCH(LOWER(C482),""cuota""), REGEXMATCH(C482,""\d+\s*/\s*\d+"")))"),"")</f>
        <v/>
      </c>
      <c r="G482" s="32" t="str">
        <f>IFERROR(__xludf.DUMMYFUNCTION("IFERROR(VALUE(REGEXEXTRACT(C482,""(\d+)\s*/\s*\d+"")),"""")"),"")</f>
        <v/>
      </c>
      <c r="H482" s="32" t="str">
        <f>IFERROR(__xludf.DUMMYFUNCTION("IFERROR(VALUE(REGEXEXTRACT(C482,""\d+\s*/\s*(\d+)"")),"""")"),"")</f>
        <v/>
      </c>
      <c r="I482" s="32" t="str">
        <f t="shared" si="2"/>
        <v/>
      </c>
      <c r="J482" s="33" t="str">
        <f t="shared" si="3"/>
        <v/>
      </c>
    </row>
    <row r="483" ht="15.75" customHeight="1">
      <c r="A483" s="22" t="s">
        <v>113</v>
      </c>
      <c r="B483" s="22" t="str">
        <f>IF(MOV_CC_NACIONAL!A483="","",MOV_CC_NACIONAL!A483)</f>
        <v/>
      </c>
      <c r="C483" s="22" t="str">
        <f>IF(MOV_CC_NACIONAL!B483="","",MOV_CC_NACIONAL!B483)</f>
        <v/>
      </c>
      <c r="D483" s="34" t="str">
        <f>IF(MOV_CC_NACIONAL!C483="","",MOV_CC_NACIONAL!C483)</f>
        <v/>
      </c>
      <c r="E483" s="22" t="str">
        <f t="shared" si="1"/>
        <v/>
      </c>
      <c r="F483" s="22" t="str">
        <f>IFERROR(__xludf.DUMMYFUNCTION("IF(C483="""","""", OR(REGEXMATCH(LOWER(C483),""cuota""), REGEXMATCH(C483,""\d+\s*/\s*\d+"")))"),"")</f>
        <v/>
      </c>
      <c r="G483" s="22" t="str">
        <f>IFERROR(__xludf.DUMMYFUNCTION("IFERROR(VALUE(REGEXEXTRACT(C483,""(\d+)\s*/\s*\d+"")),"""")"),"")</f>
        <v/>
      </c>
      <c r="H483" s="22" t="str">
        <f>IFERROR(__xludf.DUMMYFUNCTION("IFERROR(VALUE(REGEXEXTRACT(C483,""\d+\s*/\s*(\d+)"")),"""")"),"")</f>
        <v/>
      </c>
      <c r="I483" s="22" t="str">
        <f t="shared" si="2"/>
        <v/>
      </c>
      <c r="J483" s="34" t="str">
        <f t="shared" si="3"/>
        <v/>
      </c>
    </row>
    <row r="484" ht="15.75" customHeight="1">
      <c r="A484" s="32" t="s">
        <v>113</v>
      </c>
      <c r="B484" s="32" t="str">
        <f>IF(MOV_CC_NACIONAL!A484="","",MOV_CC_NACIONAL!A484)</f>
        <v/>
      </c>
      <c r="C484" s="32" t="str">
        <f>IF(MOV_CC_NACIONAL!B484="","",MOV_CC_NACIONAL!B484)</f>
        <v/>
      </c>
      <c r="D484" s="33" t="str">
        <f>IF(MOV_CC_NACIONAL!C484="","",MOV_CC_NACIONAL!C484)</f>
        <v/>
      </c>
      <c r="E484" s="32" t="str">
        <f t="shared" si="1"/>
        <v/>
      </c>
      <c r="F484" s="32" t="str">
        <f>IFERROR(__xludf.DUMMYFUNCTION("IF(C484="""","""", OR(REGEXMATCH(LOWER(C484),""cuota""), REGEXMATCH(C484,""\d+\s*/\s*\d+"")))"),"")</f>
        <v/>
      </c>
      <c r="G484" s="32" t="str">
        <f>IFERROR(__xludf.DUMMYFUNCTION("IFERROR(VALUE(REGEXEXTRACT(C484,""(\d+)\s*/\s*\d+"")),"""")"),"")</f>
        <v/>
      </c>
      <c r="H484" s="32" t="str">
        <f>IFERROR(__xludf.DUMMYFUNCTION("IFERROR(VALUE(REGEXEXTRACT(C484,""\d+\s*/\s*(\d+)"")),"""")"),"")</f>
        <v/>
      </c>
      <c r="I484" s="32" t="str">
        <f t="shared" si="2"/>
        <v/>
      </c>
      <c r="J484" s="33" t="str">
        <f t="shared" si="3"/>
        <v/>
      </c>
    </row>
    <row r="485" ht="15.75" customHeight="1">
      <c r="A485" s="22" t="s">
        <v>113</v>
      </c>
      <c r="B485" s="22" t="str">
        <f>IF(MOV_CC_NACIONAL!A485="","",MOV_CC_NACIONAL!A485)</f>
        <v/>
      </c>
      <c r="C485" s="22" t="str">
        <f>IF(MOV_CC_NACIONAL!B485="","",MOV_CC_NACIONAL!B485)</f>
        <v/>
      </c>
      <c r="D485" s="34" t="str">
        <f>IF(MOV_CC_NACIONAL!C485="","",MOV_CC_NACIONAL!C485)</f>
        <v/>
      </c>
      <c r="E485" s="22" t="str">
        <f t="shared" si="1"/>
        <v/>
      </c>
      <c r="F485" s="22" t="str">
        <f>IFERROR(__xludf.DUMMYFUNCTION("IF(C485="""","""", OR(REGEXMATCH(LOWER(C485),""cuota""), REGEXMATCH(C485,""\d+\s*/\s*\d+"")))"),"")</f>
        <v/>
      </c>
      <c r="G485" s="22" t="str">
        <f>IFERROR(__xludf.DUMMYFUNCTION("IFERROR(VALUE(REGEXEXTRACT(C485,""(\d+)\s*/\s*\d+"")),"""")"),"")</f>
        <v/>
      </c>
      <c r="H485" s="22" t="str">
        <f>IFERROR(__xludf.DUMMYFUNCTION("IFERROR(VALUE(REGEXEXTRACT(C485,""\d+\s*/\s*(\d+)"")),"""")"),"")</f>
        <v/>
      </c>
      <c r="I485" s="22" t="str">
        <f t="shared" si="2"/>
        <v/>
      </c>
      <c r="J485" s="34" t="str">
        <f t="shared" si="3"/>
        <v/>
      </c>
    </row>
    <row r="486" ht="15.75" customHeight="1">
      <c r="A486" s="32" t="s">
        <v>113</v>
      </c>
      <c r="B486" s="32" t="str">
        <f>IF(MOV_CC_NACIONAL!A486="","",MOV_CC_NACIONAL!A486)</f>
        <v/>
      </c>
      <c r="C486" s="32" t="str">
        <f>IF(MOV_CC_NACIONAL!B486="","",MOV_CC_NACIONAL!B486)</f>
        <v/>
      </c>
      <c r="D486" s="33" t="str">
        <f>IF(MOV_CC_NACIONAL!C486="","",MOV_CC_NACIONAL!C486)</f>
        <v/>
      </c>
      <c r="E486" s="32" t="str">
        <f t="shared" si="1"/>
        <v/>
      </c>
      <c r="F486" s="32" t="str">
        <f>IFERROR(__xludf.DUMMYFUNCTION("IF(C486="""","""", OR(REGEXMATCH(LOWER(C486),""cuota""), REGEXMATCH(C486,""\d+\s*/\s*\d+"")))"),"")</f>
        <v/>
      </c>
      <c r="G486" s="32" t="str">
        <f>IFERROR(__xludf.DUMMYFUNCTION("IFERROR(VALUE(REGEXEXTRACT(C486,""(\d+)\s*/\s*\d+"")),"""")"),"")</f>
        <v/>
      </c>
      <c r="H486" s="32" t="str">
        <f>IFERROR(__xludf.DUMMYFUNCTION("IFERROR(VALUE(REGEXEXTRACT(C486,""\d+\s*/\s*(\d+)"")),"""")"),"")</f>
        <v/>
      </c>
      <c r="I486" s="32" t="str">
        <f t="shared" si="2"/>
        <v/>
      </c>
      <c r="J486" s="33" t="str">
        <f t="shared" si="3"/>
        <v/>
      </c>
    </row>
    <row r="487" ht="15.75" customHeight="1">
      <c r="A487" s="22" t="s">
        <v>113</v>
      </c>
      <c r="B487" s="22" t="str">
        <f>IF(MOV_CC_NACIONAL!A487="","",MOV_CC_NACIONAL!A487)</f>
        <v/>
      </c>
      <c r="C487" s="22" t="str">
        <f>IF(MOV_CC_NACIONAL!B487="","",MOV_CC_NACIONAL!B487)</f>
        <v/>
      </c>
      <c r="D487" s="34" t="str">
        <f>IF(MOV_CC_NACIONAL!C487="","",MOV_CC_NACIONAL!C487)</f>
        <v/>
      </c>
      <c r="E487" s="22" t="str">
        <f t="shared" si="1"/>
        <v/>
      </c>
      <c r="F487" s="22" t="str">
        <f>IFERROR(__xludf.DUMMYFUNCTION("IF(C487="""","""", OR(REGEXMATCH(LOWER(C487),""cuota""), REGEXMATCH(C487,""\d+\s*/\s*\d+"")))"),"")</f>
        <v/>
      </c>
      <c r="G487" s="22" t="str">
        <f>IFERROR(__xludf.DUMMYFUNCTION("IFERROR(VALUE(REGEXEXTRACT(C487,""(\d+)\s*/\s*\d+"")),"""")"),"")</f>
        <v/>
      </c>
      <c r="H487" s="22" t="str">
        <f>IFERROR(__xludf.DUMMYFUNCTION("IFERROR(VALUE(REGEXEXTRACT(C487,""\d+\s*/\s*(\d+)"")),"""")"),"")</f>
        <v/>
      </c>
      <c r="I487" s="22" t="str">
        <f t="shared" si="2"/>
        <v/>
      </c>
      <c r="J487" s="34" t="str">
        <f t="shared" si="3"/>
        <v/>
      </c>
    </row>
    <row r="488" ht="15.75" customHeight="1">
      <c r="A488" s="32" t="s">
        <v>113</v>
      </c>
      <c r="B488" s="32" t="str">
        <f>IF(MOV_CC_NACIONAL!A488="","",MOV_CC_NACIONAL!A488)</f>
        <v/>
      </c>
      <c r="C488" s="32" t="str">
        <f>IF(MOV_CC_NACIONAL!B488="","",MOV_CC_NACIONAL!B488)</f>
        <v/>
      </c>
      <c r="D488" s="33" t="str">
        <f>IF(MOV_CC_NACIONAL!C488="","",MOV_CC_NACIONAL!C488)</f>
        <v/>
      </c>
      <c r="E488" s="32" t="str">
        <f t="shared" si="1"/>
        <v/>
      </c>
      <c r="F488" s="32" t="str">
        <f>IFERROR(__xludf.DUMMYFUNCTION("IF(C488="""","""", OR(REGEXMATCH(LOWER(C488),""cuota""), REGEXMATCH(C488,""\d+\s*/\s*\d+"")))"),"")</f>
        <v/>
      </c>
      <c r="G488" s="32" t="str">
        <f>IFERROR(__xludf.DUMMYFUNCTION("IFERROR(VALUE(REGEXEXTRACT(C488,""(\d+)\s*/\s*\d+"")),"""")"),"")</f>
        <v/>
      </c>
      <c r="H488" s="32" t="str">
        <f>IFERROR(__xludf.DUMMYFUNCTION("IFERROR(VALUE(REGEXEXTRACT(C488,""\d+\s*/\s*(\d+)"")),"""")"),"")</f>
        <v/>
      </c>
      <c r="I488" s="32" t="str">
        <f t="shared" si="2"/>
        <v/>
      </c>
      <c r="J488" s="33" t="str">
        <f t="shared" si="3"/>
        <v/>
      </c>
    </row>
    <row r="489" ht="15.75" customHeight="1">
      <c r="A489" s="22" t="s">
        <v>113</v>
      </c>
      <c r="B489" s="22" t="str">
        <f>IF(MOV_CC_NACIONAL!A489="","",MOV_CC_NACIONAL!A489)</f>
        <v/>
      </c>
      <c r="C489" s="22" t="str">
        <f>IF(MOV_CC_NACIONAL!B489="","",MOV_CC_NACIONAL!B489)</f>
        <v/>
      </c>
      <c r="D489" s="34" t="str">
        <f>IF(MOV_CC_NACIONAL!C489="","",MOV_CC_NACIONAL!C489)</f>
        <v/>
      </c>
      <c r="E489" s="22" t="str">
        <f t="shared" si="1"/>
        <v/>
      </c>
      <c r="F489" s="22" t="str">
        <f>IFERROR(__xludf.DUMMYFUNCTION("IF(C489="""","""", OR(REGEXMATCH(LOWER(C489),""cuota""), REGEXMATCH(C489,""\d+\s*/\s*\d+"")))"),"")</f>
        <v/>
      </c>
      <c r="G489" s="22" t="str">
        <f>IFERROR(__xludf.DUMMYFUNCTION("IFERROR(VALUE(REGEXEXTRACT(C489,""(\d+)\s*/\s*\d+"")),"""")"),"")</f>
        <v/>
      </c>
      <c r="H489" s="22" t="str">
        <f>IFERROR(__xludf.DUMMYFUNCTION("IFERROR(VALUE(REGEXEXTRACT(C489,""\d+\s*/\s*(\d+)"")),"""")"),"")</f>
        <v/>
      </c>
      <c r="I489" s="22" t="str">
        <f t="shared" si="2"/>
        <v/>
      </c>
      <c r="J489" s="34" t="str">
        <f t="shared" si="3"/>
        <v/>
      </c>
    </row>
    <row r="490" ht="15.75" customHeight="1">
      <c r="A490" s="32" t="s">
        <v>113</v>
      </c>
      <c r="B490" s="32" t="str">
        <f>IF(MOV_CC_NACIONAL!A490="","",MOV_CC_NACIONAL!A490)</f>
        <v/>
      </c>
      <c r="C490" s="32" t="str">
        <f>IF(MOV_CC_NACIONAL!B490="","",MOV_CC_NACIONAL!B490)</f>
        <v/>
      </c>
      <c r="D490" s="33" t="str">
        <f>IF(MOV_CC_NACIONAL!C490="","",MOV_CC_NACIONAL!C490)</f>
        <v/>
      </c>
      <c r="E490" s="32" t="str">
        <f t="shared" si="1"/>
        <v/>
      </c>
      <c r="F490" s="32" t="str">
        <f>IFERROR(__xludf.DUMMYFUNCTION("IF(C490="""","""", OR(REGEXMATCH(LOWER(C490),""cuota""), REGEXMATCH(C490,""\d+\s*/\s*\d+"")))"),"")</f>
        <v/>
      </c>
      <c r="G490" s="32" t="str">
        <f>IFERROR(__xludf.DUMMYFUNCTION("IFERROR(VALUE(REGEXEXTRACT(C490,""(\d+)\s*/\s*\d+"")),"""")"),"")</f>
        <v/>
      </c>
      <c r="H490" s="32" t="str">
        <f>IFERROR(__xludf.DUMMYFUNCTION("IFERROR(VALUE(REGEXEXTRACT(C490,""\d+\s*/\s*(\d+)"")),"""")"),"")</f>
        <v/>
      </c>
      <c r="I490" s="32" t="str">
        <f t="shared" si="2"/>
        <v/>
      </c>
      <c r="J490" s="33" t="str">
        <f t="shared" si="3"/>
        <v/>
      </c>
    </row>
    <row r="491" ht="15.75" customHeight="1">
      <c r="A491" s="22" t="s">
        <v>113</v>
      </c>
      <c r="B491" s="22" t="str">
        <f>IF(MOV_CC_NACIONAL!A491="","",MOV_CC_NACIONAL!A491)</f>
        <v/>
      </c>
      <c r="C491" s="22" t="str">
        <f>IF(MOV_CC_NACIONAL!B491="","",MOV_CC_NACIONAL!B491)</f>
        <v/>
      </c>
      <c r="D491" s="34" t="str">
        <f>IF(MOV_CC_NACIONAL!C491="","",MOV_CC_NACIONAL!C491)</f>
        <v/>
      </c>
      <c r="E491" s="22" t="str">
        <f t="shared" si="1"/>
        <v/>
      </c>
      <c r="F491" s="22" t="str">
        <f>IFERROR(__xludf.DUMMYFUNCTION("IF(C491="""","""", OR(REGEXMATCH(LOWER(C491),""cuota""), REGEXMATCH(C491,""\d+\s*/\s*\d+"")))"),"")</f>
        <v/>
      </c>
      <c r="G491" s="22" t="str">
        <f>IFERROR(__xludf.DUMMYFUNCTION("IFERROR(VALUE(REGEXEXTRACT(C491,""(\d+)\s*/\s*\d+"")),"""")"),"")</f>
        <v/>
      </c>
      <c r="H491" s="22" t="str">
        <f>IFERROR(__xludf.DUMMYFUNCTION("IFERROR(VALUE(REGEXEXTRACT(C491,""\d+\s*/\s*(\d+)"")),"""")"),"")</f>
        <v/>
      </c>
      <c r="I491" s="22" t="str">
        <f t="shared" si="2"/>
        <v/>
      </c>
      <c r="J491" s="34" t="str">
        <f t="shared" si="3"/>
        <v/>
      </c>
    </row>
    <row r="492" ht="15.75" customHeight="1">
      <c r="A492" s="32" t="s">
        <v>113</v>
      </c>
      <c r="B492" s="32" t="str">
        <f>IF(MOV_CC_NACIONAL!A492="","",MOV_CC_NACIONAL!A492)</f>
        <v/>
      </c>
      <c r="C492" s="32" t="str">
        <f>IF(MOV_CC_NACIONAL!B492="","",MOV_CC_NACIONAL!B492)</f>
        <v/>
      </c>
      <c r="D492" s="33" t="str">
        <f>IF(MOV_CC_NACIONAL!C492="","",MOV_CC_NACIONAL!C492)</f>
        <v/>
      </c>
      <c r="E492" s="32" t="str">
        <f t="shared" si="1"/>
        <v/>
      </c>
      <c r="F492" s="32" t="str">
        <f>IFERROR(__xludf.DUMMYFUNCTION("IF(C492="""","""", OR(REGEXMATCH(LOWER(C492),""cuota""), REGEXMATCH(C492,""\d+\s*/\s*\d+"")))"),"")</f>
        <v/>
      </c>
      <c r="G492" s="32" t="str">
        <f>IFERROR(__xludf.DUMMYFUNCTION("IFERROR(VALUE(REGEXEXTRACT(C492,""(\d+)\s*/\s*\d+"")),"""")"),"")</f>
        <v/>
      </c>
      <c r="H492" s="32" t="str">
        <f>IFERROR(__xludf.DUMMYFUNCTION("IFERROR(VALUE(REGEXEXTRACT(C492,""\d+\s*/\s*(\d+)"")),"""")"),"")</f>
        <v/>
      </c>
      <c r="I492" s="32" t="str">
        <f t="shared" si="2"/>
        <v/>
      </c>
      <c r="J492" s="33" t="str">
        <f t="shared" si="3"/>
        <v/>
      </c>
    </row>
    <row r="493" ht="15.75" customHeight="1">
      <c r="A493" s="22" t="s">
        <v>113</v>
      </c>
      <c r="B493" s="22" t="str">
        <f>IF(MOV_CC_NACIONAL!A493="","",MOV_CC_NACIONAL!A493)</f>
        <v/>
      </c>
      <c r="C493" s="22" t="str">
        <f>IF(MOV_CC_NACIONAL!B493="","",MOV_CC_NACIONAL!B493)</f>
        <v/>
      </c>
      <c r="D493" s="34" t="str">
        <f>IF(MOV_CC_NACIONAL!C493="","",MOV_CC_NACIONAL!C493)</f>
        <v/>
      </c>
      <c r="E493" s="22" t="str">
        <f t="shared" si="1"/>
        <v/>
      </c>
      <c r="F493" s="22" t="str">
        <f>IFERROR(__xludf.DUMMYFUNCTION("IF(C493="""","""", OR(REGEXMATCH(LOWER(C493),""cuota""), REGEXMATCH(C493,""\d+\s*/\s*\d+"")))"),"")</f>
        <v/>
      </c>
      <c r="G493" s="22" t="str">
        <f>IFERROR(__xludf.DUMMYFUNCTION("IFERROR(VALUE(REGEXEXTRACT(C493,""(\d+)\s*/\s*\d+"")),"""")"),"")</f>
        <v/>
      </c>
      <c r="H493" s="22" t="str">
        <f>IFERROR(__xludf.DUMMYFUNCTION("IFERROR(VALUE(REGEXEXTRACT(C493,""\d+\s*/\s*(\d+)"")),"""")"),"")</f>
        <v/>
      </c>
      <c r="I493" s="22" t="str">
        <f t="shared" si="2"/>
        <v/>
      </c>
      <c r="J493" s="34" t="str">
        <f t="shared" si="3"/>
        <v/>
      </c>
    </row>
    <row r="494" ht="15.75" customHeight="1">
      <c r="A494" s="32" t="s">
        <v>113</v>
      </c>
      <c r="B494" s="32" t="str">
        <f>IF(MOV_CC_NACIONAL!A494="","",MOV_CC_NACIONAL!A494)</f>
        <v/>
      </c>
      <c r="C494" s="32" t="str">
        <f>IF(MOV_CC_NACIONAL!B494="","",MOV_CC_NACIONAL!B494)</f>
        <v/>
      </c>
      <c r="D494" s="33" t="str">
        <f>IF(MOV_CC_NACIONAL!C494="","",MOV_CC_NACIONAL!C494)</f>
        <v/>
      </c>
      <c r="E494" s="32" t="str">
        <f t="shared" si="1"/>
        <v/>
      </c>
      <c r="F494" s="32" t="str">
        <f>IFERROR(__xludf.DUMMYFUNCTION("IF(C494="""","""", OR(REGEXMATCH(LOWER(C494),""cuota""), REGEXMATCH(C494,""\d+\s*/\s*\d+"")))"),"")</f>
        <v/>
      </c>
      <c r="G494" s="32" t="str">
        <f>IFERROR(__xludf.DUMMYFUNCTION("IFERROR(VALUE(REGEXEXTRACT(C494,""(\d+)\s*/\s*\d+"")),"""")"),"")</f>
        <v/>
      </c>
      <c r="H494" s="32" t="str">
        <f>IFERROR(__xludf.DUMMYFUNCTION("IFERROR(VALUE(REGEXEXTRACT(C494,""\d+\s*/\s*(\d+)"")),"""")"),"")</f>
        <v/>
      </c>
      <c r="I494" s="32" t="str">
        <f t="shared" si="2"/>
        <v/>
      </c>
      <c r="J494" s="33" t="str">
        <f t="shared" si="3"/>
        <v/>
      </c>
    </row>
    <row r="495" ht="15.75" customHeight="1">
      <c r="A495" s="22" t="s">
        <v>113</v>
      </c>
      <c r="B495" s="22" t="str">
        <f>IF(MOV_CC_NACIONAL!A495="","",MOV_CC_NACIONAL!A495)</f>
        <v/>
      </c>
      <c r="C495" s="22" t="str">
        <f>IF(MOV_CC_NACIONAL!B495="","",MOV_CC_NACIONAL!B495)</f>
        <v/>
      </c>
      <c r="D495" s="34" t="str">
        <f>IF(MOV_CC_NACIONAL!C495="","",MOV_CC_NACIONAL!C495)</f>
        <v/>
      </c>
      <c r="E495" s="22" t="str">
        <f t="shared" si="1"/>
        <v/>
      </c>
      <c r="F495" s="22" t="str">
        <f>IFERROR(__xludf.DUMMYFUNCTION("IF(C495="""","""", OR(REGEXMATCH(LOWER(C495),""cuota""), REGEXMATCH(C495,""\d+\s*/\s*\d+"")))"),"")</f>
        <v/>
      </c>
      <c r="G495" s="22" t="str">
        <f>IFERROR(__xludf.DUMMYFUNCTION("IFERROR(VALUE(REGEXEXTRACT(C495,""(\d+)\s*/\s*\d+"")),"""")"),"")</f>
        <v/>
      </c>
      <c r="H495" s="22" t="str">
        <f>IFERROR(__xludf.DUMMYFUNCTION("IFERROR(VALUE(REGEXEXTRACT(C495,""\d+\s*/\s*(\d+)"")),"""")"),"")</f>
        <v/>
      </c>
      <c r="I495" s="22" t="str">
        <f t="shared" si="2"/>
        <v/>
      </c>
      <c r="J495" s="34" t="str">
        <f t="shared" si="3"/>
        <v/>
      </c>
    </row>
    <row r="496" ht="15.75" customHeight="1">
      <c r="A496" s="32" t="s">
        <v>113</v>
      </c>
      <c r="B496" s="32" t="str">
        <f>IF(MOV_CC_NACIONAL!A496="","",MOV_CC_NACIONAL!A496)</f>
        <v/>
      </c>
      <c r="C496" s="32" t="str">
        <f>IF(MOV_CC_NACIONAL!B496="","",MOV_CC_NACIONAL!B496)</f>
        <v/>
      </c>
      <c r="D496" s="33" t="str">
        <f>IF(MOV_CC_NACIONAL!C496="","",MOV_CC_NACIONAL!C496)</f>
        <v/>
      </c>
      <c r="E496" s="32" t="str">
        <f t="shared" si="1"/>
        <v/>
      </c>
      <c r="F496" s="32" t="str">
        <f>IFERROR(__xludf.DUMMYFUNCTION("IF(C496="""","""", OR(REGEXMATCH(LOWER(C496),""cuota""), REGEXMATCH(C496,""\d+\s*/\s*\d+"")))"),"")</f>
        <v/>
      </c>
      <c r="G496" s="32" t="str">
        <f>IFERROR(__xludf.DUMMYFUNCTION("IFERROR(VALUE(REGEXEXTRACT(C496,""(\d+)\s*/\s*\d+"")),"""")"),"")</f>
        <v/>
      </c>
      <c r="H496" s="32" t="str">
        <f>IFERROR(__xludf.DUMMYFUNCTION("IFERROR(VALUE(REGEXEXTRACT(C496,""\d+\s*/\s*(\d+)"")),"""")"),"")</f>
        <v/>
      </c>
      <c r="I496" s="32" t="str">
        <f t="shared" si="2"/>
        <v/>
      </c>
      <c r="J496" s="33" t="str">
        <f t="shared" si="3"/>
        <v/>
      </c>
    </row>
    <row r="497" ht="15.75" customHeight="1">
      <c r="A497" s="22" t="s">
        <v>113</v>
      </c>
      <c r="B497" s="22" t="str">
        <f>IF(MOV_CC_NACIONAL!A497="","",MOV_CC_NACIONAL!A497)</f>
        <v/>
      </c>
      <c r="C497" s="22" t="str">
        <f>IF(MOV_CC_NACIONAL!B497="","",MOV_CC_NACIONAL!B497)</f>
        <v/>
      </c>
      <c r="D497" s="34" t="str">
        <f>IF(MOV_CC_NACIONAL!C497="","",MOV_CC_NACIONAL!C497)</f>
        <v/>
      </c>
      <c r="E497" s="22" t="str">
        <f t="shared" si="1"/>
        <v/>
      </c>
      <c r="F497" s="22" t="str">
        <f>IFERROR(__xludf.DUMMYFUNCTION("IF(C497="""","""", OR(REGEXMATCH(LOWER(C497),""cuota""), REGEXMATCH(C497,""\d+\s*/\s*\d+"")))"),"")</f>
        <v/>
      </c>
      <c r="G497" s="22" t="str">
        <f>IFERROR(__xludf.DUMMYFUNCTION("IFERROR(VALUE(REGEXEXTRACT(C497,""(\d+)\s*/\s*\d+"")),"""")"),"")</f>
        <v/>
      </c>
      <c r="H497" s="22" t="str">
        <f>IFERROR(__xludf.DUMMYFUNCTION("IFERROR(VALUE(REGEXEXTRACT(C497,""\d+\s*/\s*(\d+)"")),"""")"),"")</f>
        <v/>
      </c>
      <c r="I497" s="22" t="str">
        <f t="shared" si="2"/>
        <v/>
      </c>
      <c r="J497" s="34" t="str">
        <f t="shared" si="3"/>
        <v/>
      </c>
    </row>
    <row r="498" ht="15.75" customHeight="1">
      <c r="A498" s="32" t="s">
        <v>113</v>
      </c>
      <c r="B498" s="32" t="str">
        <f>IF(MOV_CC_NACIONAL!A498="","",MOV_CC_NACIONAL!A498)</f>
        <v/>
      </c>
      <c r="C498" s="32" t="str">
        <f>IF(MOV_CC_NACIONAL!B498="","",MOV_CC_NACIONAL!B498)</f>
        <v/>
      </c>
      <c r="D498" s="33" t="str">
        <f>IF(MOV_CC_NACIONAL!C498="","",MOV_CC_NACIONAL!C498)</f>
        <v/>
      </c>
      <c r="E498" s="32" t="str">
        <f t="shared" si="1"/>
        <v/>
      </c>
      <c r="F498" s="32" t="str">
        <f>IFERROR(__xludf.DUMMYFUNCTION("IF(C498="""","""", OR(REGEXMATCH(LOWER(C498),""cuota""), REGEXMATCH(C498,""\d+\s*/\s*\d+"")))"),"")</f>
        <v/>
      </c>
      <c r="G498" s="32" t="str">
        <f>IFERROR(__xludf.DUMMYFUNCTION("IFERROR(VALUE(REGEXEXTRACT(C498,""(\d+)\s*/\s*\d+"")),"""")"),"")</f>
        <v/>
      </c>
      <c r="H498" s="32" t="str">
        <f>IFERROR(__xludf.DUMMYFUNCTION("IFERROR(VALUE(REGEXEXTRACT(C498,""\d+\s*/\s*(\d+)"")),"""")"),"")</f>
        <v/>
      </c>
      <c r="I498" s="32" t="str">
        <f t="shared" si="2"/>
        <v/>
      </c>
      <c r="J498" s="33" t="str">
        <f t="shared" si="3"/>
        <v/>
      </c>
    </row>
    <row r="499" ht="15.75" customHeight="1">
      <c r="A499" s="22" t="s">
        <v>113</v>
      </c>
      <c r="B499" s="22" t="str">
        <f>IF(MOV_CC_NACIONAL!A499="","",MOV_CC_NACIONAL!A499)</f>
        <v/>
      </c>
      <c r="C499" s="22" t="str">
        <f>IF(MOV_CC_NACIONAL!B499="","",MOV_CC_NACIONAL!B499)</f>
        <v/>
      </c>
      <c r="D499" s="34" t="str">
        <f>IF(MOV_CC_NACIONAL!C499="","",MOV_CC_NACIONAL!C499)</f>
        <v/>
      </c>
      <c r="E499" s="22" t="str">
        <f t="shared" si="1"/>
        <v/>
      </c>
      <c r="F499" s="22" t="str">
        <f>IFERROR(__xludf.DUMMYFUNCTION("IF(C499="""","""", OR(REGEXMATCH(LOWER(C499),""cuota""), REGEXMATCH(C499,""\d+\s*/\s*\d+"")))"),"")</f>
        <v/>
      </c>
      <c r="G499" s="22" t="str">
        <f>IFERROR(__xludf.DUMMYFUNCTION("IFERROR(VALUE(REGEXEXTRACT(C499,""(\d+)\s*/\s*\d+"")),"""")"),"")</f>
        <v/>
      </c>
      <c r="H499" s="22" t="str">
        <f>IFERROR(__xludf.DUMMYFUNCTION("IFERROR(VALUE(REGEXEXTRACT(C499,""\d+\s*/\s*(\d+)"")),"""")"),"")</f>
        <v/>
      </c>
      <c r="I499" s="22" t="str">
        <f t="shared" si="2"/>
        <v/>
      </c>
      <c r="J499" s="34" t="str">
        <f t="shared" si="3"/>
        <v/>
      </c>
    </row>
    <row r="500" ht="15.75" customHeight="1">
      <c r="A500" s="32" t="s">
        <v>113</v>
      </c>
      <c r="B500" s="32" t="str">
        <f>IF(MOV_CC_NACIONAL!A500="","",MOV_CC_NACIONAL!A500)</f>
        <v/>
      </c>
      <c r="C500" s="32" t="str">
        <f>IF(MOV_CC_NACIONAL!B500="","",MOV_CC_NACIONAL!B500)</f>
        <v/>
      </c>
      <c r="D500" s="33" t="str">
        <f>IF(MOV_CC_NACIONAL!C500="","",MOV_CC_NACIONAL!C500)</f>
        <v/>
      </c>
      <c r="E500" s="32" t="str">
        <f t="shared" si="1"/>
        <v/>
      </c>
      <c r="F500" s="32" t="str">
        <f>IFERROR(__xludf.DUMMYFUNCTION("IF(C500="""","""", OR(REGEXMATCH(LOWER(C500),""cuota""), REGEXMATCH(C500,""\d+\s*/\s*\d+"")))"),"")</f>
        <v/>
      </c>
      <c r="G500" s="32" t="str">
        <f>IFERROR(__xludf.DUMMYFUNCTION("IFERROR(VALUE(REGEXEXTRACT(C500,""(\d+)\s*/\s*\d+"")),"""")"),"")</f>
        <v/>
      </c>
      <c r="H500" s="32" t="str">
        <f>IFERROR(__xludf.DUMMYFUNCTION("IFERROR(VALUE(REGEXEXTRACT(C500,""\d+\s*/\s*(\d+)"")),"""")"),"")</f>
        <v/>
      </c>
      <c r="I500" s="32" t="str">
        <f t="shared" si="2"/>
        <v/>
      </c>
      <c r="J500" s="33" t="str">
        <f t="shared" si="3"/>
        <v/>
      </c>
    </row>
    <row r="501" ht="15.75" customHeight="1">
      <c r="A501" s="22" t="s">
        <v>113</v>
      </c>
      <c r="B501" s="22" t="str">
        <f>IF(MOV_CC_NACIONAL!A501="","",MOV_CC_NACIONAL!A501)</f>
        <v/>
      </c>
      <c r="C501" s="22" t="str">
        <f>IF(MOV_CC_NACIONAL!B501="","",MOV_CC_NACIONAL!B501)</f>
        <v/>
      </c>
      <c r="D501" s="34" t="str">
        <f>IF(MOV_CC_NACIONAL!C501="","",MOV_CC_NACIONAL!C501)</f>
        <v/>
      </c>
      <c r="E501" s="22" t="str">
        <f t="shared" si="1"/>
        <v/>
      </c>
      <c r="F501" s="22" t="str">
        <f>IFERROR(__xludf.DUMMYFUNCTION("IF(C501="""","""", OR(REGEXMATCH(LOWER(C501),""cuota""), REGEXMATCH(C501,""\d+\s*/\s*\d+"")))"),"")</f>
        <v/>
      </c>
      <c r="G501" s="22" t="str">
        <f>IFERROR(__xludf.DUMMYFUNCTION("IFERROR(VALUE(REGEXEXTRACT(C501,""(\d+)\s*/\s*\d+"")),"""")"),"")</f>
        <v/>
      </c>
      <c r="H501" s="22" t="str">
        <f>IFERROR(__xludf.DUMMYFUNCTION("IFERROR(VALUE(REGEXEXTRACT(C501,""\d+\s*/\s*(\d+)"")),"""")"),"")</f>
        <v/>
      </c>
      <c r="I501" s="22" t="str">
        <f t="shared" si="2"/>
        <v/>
      </c>
      <c r="J501" s="34" t="str">
        <f t="shared" si="3"/>
        <v/>
      </c>
    </row>
    <row r="502" ht="15.75" customHeight="1">
      <c r="A502" s="32" t="s">
        <v>113</v>
      </c>
      <c r="B502" s="32" t="str">
        <f>IF(MOV_CC_NACIONAL!A502="","",MOV_CC_NACIONAL!A502)</f>
        <v/>
      </c>
      <c r="C502" s="32" t="str">
        <f>IF(MOV_CC_NACIONAL!B502="","",MOV_CC_NACIONAL!B502)</f>
        <v/>
      </c>
      <c r="D502" s="33" t="str">
        <f>IF(MOV_CC_NACIONAL!C502="","",MOV_CC_NACIONAL!C502)</f>
        <v/>
      </c>
      <c r="E502" s="32" t="str">
        <f t="shared" si="1"/>
        <v/>
      </c>
      <c r="F502" s="32" t="str">
        <f>IFERROR(__xludf.DUMMYFUNCTION("IF(C502="""","""", OR(REGEXMATCH(LOWER(C502),""cuota""), REGEXMATCH(C502,""\d+\s*/\s*\d+"")))"),"")</f>
        <v/>
      </c>
      <c r="G502" s="32" t="str">
        <f>IFERROR(__xludf.DUMMYFUNCTION("IFERROR(VALUE(REGEXEXTRACT(C502,""(\d+)\s*/\s*\d+"")),"""")"),"")</f>
        <v/>
      </c>
      <c r="H502" s="32" t="str">
        <f>IFERROR(__xludf.DUMMYFUNCTION("IFERROR(VALUE(REGEXEXTRACT(C502,""\d+\s*/\s*(\d+)"")),"""")"),"")</f>
        <v/>
      </c>
      <c r="I502" s="32" t="str">
        <f t="shared" si="2"/>
        <v/>
      </c>
      <c r="J502" s="33" t="str">
        <f t="shared" si="3"/>
        <v/>
      </c>
    </row>
    <row r="503" ht="15.75" customHeight="1">
      <c r="A503" s="22" t="s">
        <v>113</v>
      </c>
      <c r="B503" s="22" t="str">
        <f>IF(MOV_CC_NACIONAL!A503="","",MOV_CC_NACIONAL!A503)</f>
        <v/>
      </c>
      <c r="C503" s="22" t="str">
        <f>IF(MOV_CC_NACIONAL!B503="","",MOV_CC_NACIONAL!B503)</f>
        <v/>
      </c>
      <c r="D503" s="34" t="str">
        <f>IF(MOV_CC_NACIONAL!C503="","",MOV_CC_NACIONAL!C503)</f>
        <v/>
      </c>
      <c r="E503" s="22" t="str">
        <f t="shared" si="1"/>
        <v/>
      </c>
      <c r="F503" s="22" t="str">
        <f>IFERROR(__xludf.DUMMYFUNCTION("IF(C503="""","""", OR(REGEXMATCH(LOWER(C503),""cuota""), REGEXMATCH(C503,""\d+\s*/\s*\d+"")))"),"")</f>
        <v/>
      </c>
      <c r="G503" s="22" t="str">
        <f>IFERROR(__xludf.DUMMYFUNCTION("IFERROR(VALUE(REGEXEXTRACT(C503,""(\d+)\s*/\s*\d+"")),"""")"),"")</f>
        <v/>
      </c>
      <c r="H503" s="22" t="str">
        <f>IFERROR(__xludf.DUMMYFUNCTION("IFERROR(VALUE(REGEXEXTRACT(C503,""\d+\s*/\s*(\d+)"")),"""")"),"")</f>
        <v/>
      </c>
      <c r="I503" s="22" t="str">
        <f t="shared" si="2"/>
        <v/>
      </c>
      <c r="J503" s="34" t="str">
        <f t="shared" si="3"/>
        <v/>
      </c>
    </row>
    <row r="504" ht="15.75" customHeight="1">
      <c r="A504" s="32" t="s">
        <v>113</v>
      </c>
      <c r="B504" s="32" t="str">
        <f>IF(MOV_CC_NACIONAL!A504="","",MOV_CC_NACIONAL!A504)</f>
        <v/>
      </c>
      <c r="C504" s="32" t="str">
        <f>IF(MOV_CC_NACIONAL!B504="","",MOV_CC_NACIONAL!B504)</f>
        <v/>
      </c>
      <c r="D504" s="33" t="str">
        <f>IF(MOV_CC_NACIONAL!C504="","",MOV_CC_NACIONAL!C504)</f>
        <v/>
      </c>
      <c r="E504" s="32" t="str">
        <f t="shared" si="1"/>
        <v/>
      </c>
      <c r="F504" s="32" t="str">
        <f>IFERROR(__xludf.DUMMYFUNCTION("IF(C504="""","""", OR(REGEXMATCH(LOWER(C504),""cuota""), REGEXMATCH(C504,""\d+\s*/\s*\d+"")))"),"")</f>
        <v/>
      </c>
      <c r="G504" s="32" t="str">
        <f>IFERROR(__xludf.DUMMYFUNCTION("IFERROR(VALUE(REGEXEXTRACT(C504,""(\d+)\s*/\s*\d+"")),"""")"),"")</f>
        <v/>
      </c>
      <c r="H504" s="32" t="str">
        <f>IFERROR(__xludf.DUMMYFUNCTION("IFERROR(VALUE(REGEXEXTRACT(C504,""\d+\s*/\s*(\d+)"")),"""")"),"")</f>
        <v/>
      </c>
      <c r="I504" s="32" t="str">
        <f t="shared" si="2"/>
        <v/>
      </c>
      <c r="J504" s="33" t="str">
        <f t="shared" si="3"/>
        <v/>
      </c>
    </row>
    <row r="505" ht="15.75" customHeight="1">
      <c r="A505" s="22" t="s">
        <v>113</v>
      </c>
      <c r="B505" s="22" t="str">
        <f>IF(MOV_CC_NACIONAL!A505="","",MOV_CC_NACIONAL!A505)</f>
        <v/>
      </c>
      <c r="C505" s="22" t="str">
        <f>IF(MOV_CC_NACIONAL!B505="","",MOV_CC_NACIONAL!B505)</f>
        <v/>
      </c>
      <c r="D505" s="34" t="str">
        <f>IF(MOV_CC_NACIONAL!C505="","",MOV_CC_NACIONAL!C505)</f>
        <v/>
      </c>
      <c r="E505" s="22" t="str">
        <f t="shared" si="1"/>
        <v/>
      </c>
      <c r="F505" s="22" t="str">
        <f>IFERROR(__xludf.DUMMYFUNCTION("IF(C505="""","""", OR(REGEXMATCH(LOWER(C505),""cuota""), REGEXMATCH(C505,""\d+\s*/\s*\d+"")))"),"")</f>
        <v/>
      </c>
      <c r="G505" s="22" t="str">
        <f>IFERROR(__xludf.DUMMYFUNCTION("IFERROR(VALUE(REGEXEXTRACT(C505,""(\d+)\s*/\s*\d+"")),"""")"),"")</f>
        <v/>
      </c>
      <c r="H505" s="22" t="str">
        <f>IFERROR(__xludf.DUMMYFUNCTION("IFERROR(VALUE(REGEXEXTRACT(C505,""\d+\s*/\s*(\d+)"")),"""")"),"")</f>
        <v/>
      </c>
      <c r="I505" s="22" t="str">
        <f t="shared" si="2"/>
        <v/>
      </c>
      <c r="J505" s="34" t="str">
        <f t="shared" si="3"/>
        <v/>
      </c>
    </row>
    <row r="506" ht="15.75" customHeight="1">
      <c r="A506" s="32" t="s">
        <v>113</v>
      </c>
      <c r="B506" s="32" t="str">
        <f>IF(MOV_CC_NACIONAL!A506="","",MOV_CC_NACIONAL!A506)</f>
        <v/>
      </c>
      <c r="C506" s="32" t="str">
        <f>IF(MOV_CC_NACIONAL!B506="","",MOV_CC_NACIONAL!B506)</f>
        <v/>
      </c>
      <c r="D506" s="33" t="str">
        <f>IF(MOV_CC_NACIONAL!C506="","",MOV_CC_NACIONAL!C506)</f>
        <v/>
      </c>
      <c r="E506" s="32" t="str">
        <f t="shared" si="1"/>
        <v/>
      </c>
      <c r="F506" s="32" t="str">
        <f>IFERROR(__xludf.DUMMYFUNCTION("IF(C506="""","""", OR(REGEXMATCH(LOWER(C506),""cuota""), REGEXMATCH(C506,""\d+\s*/\s*\d+"")))"),"")</f>
        <v/>
      </c>
      <c r="G506" s="32" t="str">
        <f>IFERROR(__xludf.DUMMYFUNCTION("IFERROR(VALUE(REGEXEXTRACT(C506,""(\d+)\s*/\s*\d+"")),"""")"),"")</f>
        <v/>
      </c>
      <c r="H506" s="32" t="str">
        <f>IFERROR(__xludf.DUMMYFUNCTION("IFERROR(VALUE(REGEXEXTRACT(C506,""\d+\s*/\s*(\d+)"")),"""")"),"")</f>
        <v/>
      </c>
      <c r="I506" s="32" t="str">
        <f t="shared" si="2"/>
        <v/>
      </c>
      <c r="J506" s="33" t="str">
        <f t="shared" si="3"/>
        <v/>
      </c>
    </row>
    <row r="507" ht="15.75" customHeight="1">
      <c r="A507" s="22" t="s">
        <v>113</v>
      </c>
      <c r="B507" s="22" t="str">
        <f>IF(MOV_CC_NACIONAL!A507="","",MOV_CC_NACIONAL!A507)</f>
        <v/>
      </c>
      <c r="C507" s="22" t="str">
        <f>IF(MOV_CC_NACIONAL!B507="","",MOV_CC_NACIONAL!B507)</f>
        <v/>
      </c>
      <c r="D507" s="34" t="str">
        <f>IF(MOV_CC_NACIONAL!C507="","",MOV_CC_NACIONAL!C507)</f>
        <v/>
      </c>
      <c r="E507" s="22" t="str">
        <f t="shared" si="1"/>
        <v/>
      </c>
      <c r="F507" s="22" t="str">
        <f>IFERROR(__xludf.DUMMYFUNCTION("IF(C507="""","""", OR(REGEXMATCH(LOWER(C507),""cuota""), REGEXMATCH(C507,""\d+\s*/\s*\d+"")))"),"")</f>
        <v/>
      </c>
      <c r="G507" s="22" t="str">
        <f>IFERROR(__xludf.DUMMYFUNCTION("IFERROR(VALUE(REGEXEXTRACT(C507,""(\d+)\s*/\s*\d+"")),"""")"),"")</f>
        <v/>
      </c>
      <c r="H507" s="22" t="str">
        <f>IFERROR(__xludf.DUMMYFUNCTION("IFERROR(VALUE(REGEXEXTRACT(C507,""\d+\s*/\s*(\d+)"")),"""")"),"")</f>
        <v/>
      </c>
      <c r="I507" s="22" t="str">
        <f t="shared" si="2"/>
        <v/>
      </c>
      <c r="J507" s="34" t="str">
        <f t="shared" si="3"/>
        <v/>
      </c>
    </row>
    <row r="508" ht="15.75" customHeight="1">
      <c r="A508" s="32" t="s">
        <v>113</v>
      </c>
      <c r="B508" s="32" t="str">
        <f>IF(MOV_CC_NACIONAL!A508="","",MOV_CC_NACIONAL!A508)</f>
        <v/>
      </c>
      <c r="C508" s="32" t="str">
        <f>IF(MOV_CC_NACIONAL!B508="","",MOV_CC_NACIONAL!B508)</f>
        <v/>
      </c>
      <c r="D508" s="33" t="str">
        <f>IF(MOV_CC_NACIONAL!C508="","",MOV_CC_NACIONAL!C508)</f>
        <v/>
      </c>
      <c r="E508" s="32" t="str">
        <f t="shared" si="1"/>
        <v/>
      </c>
      <c r="F508" s="32" t="str">
        <f>IFERROR(__xludf.DUMMYFUNCTION("IF(C508="""","""", OR(REGEXMATCH(LOWER(C508),""cuota""), REGEXMATCH(C508,""\d+\s*/\s*\d+"")))"),"")</f>
        <v/>
      </c>
      <c r="G508" s="32" t="str">
        <f>IFERROR(__xludf.DUMMYFUNCTION("IFERROR(VALUE(REGEXEXTRACT(C508,""(\d+)\s*/\s*\d+"")),"""")"),"")</f>
        <v/>
      </c>
      <c r="H508" s="32" t="str">
        <f>IFERROR(__xludf.DUMMYFUNCTION("IFERROR(VALUE(REGEXEXTRACT(C508,""\d+\s*/\s*(\d+)"")),"""")"),"")</f>
        <v/>
      </c>
      <c r="I508" s="32" t="str">
        <f t="shared" si="2"/>
        <v/>
      </c>
      <c r="J508" s="33" t="str">
        <f t="shared" si="3"/>
        <v/>
      </c>
    </row>
    <row r="509" ht="15.75" customHeight="1">
      <c r="A509" s="22" t="s">
        <v>113</v>
      </c>
      <c r="B509" s="22" t="str">
        <f>IF(MOV_CC_NACIONAL!A509="","",MOV_CC_NACIONAL!A509)</f>
        <v/>
      </c>
      <c r="C509" s="22" t="str">
        <f>IF(MOV_CC_NACIONAL!B509="","",MOV_CC_NACIONAL!B509)</f>
        <v/>
      </c>
      <c r="D509" s="34" t="str">
        <f>IF(MOV_CC_NACIONAL!C509="","",MOV_CC_NACIONAL!C509)</f>
        <v/>
      </c>
      <c r="E509" s="22" t="str">
        <f t="shared" si="1"/>
        <v/>
      </c>
      <c r="F509" s="22" t="str">
        <f>IFERROR(__xludf.DUMMYFUNCTION("IF(C509="""","""", OR(REGEXMATCH(LOWER(C509),""cuota""), REGEXMATCH(C509,""\d+\s*/\s*\d+"")))"),"")</f>
        <v/>
      </c>
      <c r="G509" s="22" t="str">
        <f>IFERROR(__xludf.DUMMYFUNCTION("IFERROR(VALUE(REGEXEXTRACT(C509,""(\d+)\s*/\s*\d+"")),"""")"),"")</f>
        <v/>
      </c>
      <c r="H509" s="22" t="str">
        <f>IFERROR(__xludf.DUMMYFUNCTION("IFERROR(VALUE(REGEXEXTRACT(C509,""\d+\s*/\s*(\d+)"")),"""")"),"")</f>
        <v/>
      </c>
      <c r="I509" s="22" t="str">
        <f t="shared" si="2"/>
        <v/>
      </c>
      <c r="J509" s="34" t="str">
        <f t="shared" si="3"/>
        <v/>
      </c>
    </row>
    <row r="510" ht="15.75" customHeight="1">
      <c r="A510" s="32" t="s">
        <v>113</v>
      </c>
      <c r="B510" s="32" t="str">
        <f>IF(MOV_CC_NACIONAL!A510="","",MOV_CC_NACIONAL!A510)</f>
        <v/>
      </c>
      <c r="C510" s="32" t="str">
        <f>IF(MOV_CC_NACIONAL!B510="","",MOV_CC_NACIONAL!B510)</f>
        <v/>
      </c>
      <c r="D510" s="33" t="str">
        <f>IF(MOV_CC_NACIONAL!C510="","",MOV_CC_NACIONAL!C510)</f>
        <v/>
      </c>
      <c r="E510" s="32" t="str">
        <f t="shared" si="1"/>
        <v/>
      </c>
      <c r="F510" s="32" t="str">
        <f>IFERROR(__xludf.DUMMYFUNCTION("IF(C510="""","""", OR(REGEXMATCH(LOWER(C510),""cuota""), REGEXMATCH(C510,""\d+\s*/\s*\d+"")))"),"")</f>
        <v/>
      </c>
      <c r="G510" s="32" t="str">
        <f>IFERROR(__xludf.DUMMYFUNCTION("IFERROR(VALUE(REGEXEXTRACT(C510,""(\d+)\s*/\s*\d+"")),"""")"),"")</f>
        <v/>
      </c>
      <c r="H510" s="32" t="str">
        <f>IFERROR(__xludf.DUMMYFUNCTION("IFERROR(VALUE(REGEXEXTRACT(C510,""\d+\s*/\s*(\d+)"")),"""")"),"")</f>
        <v/>
      </c>
      <c r="I510" s="32" t="str">
        <f t="shared" si="2"/>
        <v/>
      </c>
      <c r="J510" s="33" t="str">
        <f t="shared" si="3"/>
        <v/>
      </c>
    </row>
    <row r="511" ht="15.75" customHeight="1">
      <c r="A511" s="22" t="s">
        <v>113</v>
      </c>
      <c r="B511" s="22" t="str">
        <f>IF(MOV_CC_NACIONAL!A511="","",MOV_CC_NACIONAL!A511)</f>
        <v/>
      </c>
      <c r="C511" s="22" t="str">
        <f>IF(MOV_CC_NACIONAL!B511="","",MOV_CC_NACIONAL!B511)</f>
        <v/>
      </c>
      <c r="D511" s="34" t="str">
        <f>IF(MOV_CC_NACIONAL!C511="","",MOV_CC_NACIONAL!C511)</f>
        <v/>
      </c>
      <c r="E511" s="22" t="str">
        <f t="shared" si="1"/>
        <v/>
      </c>
      <c r="F511" s="22" t="str">
        <f>IFERROR(__xludf.DUMMYFUNCTION("IF(C511="""","""", OR(REGEXMATCH(LOWER(C511),""cuota""), REGEXMATCH(C511,""\d+\s*/\s*\d+"")))"),"")</f>
        <v/>
      </c>
      <c r="G511" s="22" t="str">
        <f>IFERROR(__xludf.DUMMYFUNCTION("IFERROR(VALUE(REGEXEXTRACT(C511,""(\d+)\s*/\s*\d+"")),"""")"),"")</f>
        <v/>
      </c>
      <c r="H511" s="22" t="str">
        <f>IFERROR(__xludf.DUMMYFUNCTION("IFERROR(VALUE(REGEXEXTRACT(C511,""\d+\s*/\s*(\d+)"")),"""")"),"")</f>
        <v/>
      </c>
      <c r="I511" s="22" t="str">
        <f t="shared" si="2"/>
        <v/>
      </c>
      <c r="J511" s="34" t="str">
        <f t="shared" si="3"/>
        <v/>
      </c>
    </row>
    <row r="512" ht="15.75" customHeight="1">
      <c r="A512" s="32" t="s">
        <v>113</v>
      </c>
      <c r="B512" s="32" t="str">
        <f>IF(MOV_CC_NACIONAL!A512="","",MOV_CC_NACIONAL!A512)</f>
        <v/>
      </c>
      <c r="C512" s="32" t="str">
        <f>IF(MOV_CC_NACIONAL!B512="","",MOV_CC_NACIONAL!B512)</f>
        <v/>
      </c>
      <c r="D512" s="33" t="str">
        <f>IF(MOV_CC_NACIONAL!C512="","",MOV_CC_NACIONAL!C512)</f>
        <v/>
      </c>
      <c r="E512" s="32" t="str">
        <f t="shared" si="1"/>
        <v/>
      </c>
      <c r="F512" s="32" t="str">
        <f>IFERROR(__xludf.DUMMYFUNCTION("IF(C512="""","""", OR(REGEXMATCH(LOWER(C512),""cuota""), REGEXMATCH(C512,""\d+\s*/\s*\d+"")))"),"")</f>
        <v/>
      </c>
      <c r="G512" s="32" t="str">
        <f>IFERROR(__xludf.DUMMYFUNCTION("IFERROR(VALUE(REGEXEXTRACT(C512,""(\d+)\s*/\s*\d+"")),"""")"),"")</f>
        <v/>
      </c>
      <c r="H512" s="32" t="str">
        <f>IFERROR(__xludf.DUMMYFUNCTION("IFERROR(VALUE(REGEXEXTRACT(C512,""\d+\s*/\s*(\d+)"")),"""")"),"")</f>
        <v/>
      </c>
      <c r="I512" s="32" t="str">
        <f t="shared" si="2"/>
        <v/>
      </c>
      <c r="J512" s="33" t="str">
        <f t="shared" si="3"/>
        <v/>
      </c>
    </row>
    <row r="513" ht="15.75" customHeight="1">
      <c r="A513" s="22" t="s">
        <v>113</v>
      </c>
      <c r="B513" s="22" t="str">
        <f>IF(MOV_CC_NACIONAL!A513="","",MOV_CC_NACIONAL!A513)</f>
        <v/>
      </c>
      <c r="C513" s="22" t="str">
        <f>IF(MOV_CC_NACIONAL!B513="","",MOV_CC_NACIONAL!B513)</f>
        <v/>
      </c>
      <c r="D513" s="34" t="str">
        <f>IF(MOV_CC_NACIONAL!C513="","",MOV_CC_NACIONAL!C513)</f>
        <v/>
      </c>
      <c r="E513" s="22" t="str">
        <f t="shared" si="1"/>
        <v/>
      </c>
      <c r="F513" s="22" t="str">
        <f>IFERROR(__xludf.DUMMYFUNCTION("IF(C513="""","""", OR(REGEXMATCH(LOWER(C513),""cuota""), REGEXMATCH(C513,""\d+\s*/\s*\d+"")))"),"")</f>
        <v/>
      </c>
      <c r="G513" s="22" t="str">
        <f>IFERROR(__xludf.DUMMYFUNCTION("IFERROR(VALUE(REGEXEXTRACT(C513,""(\d+)\s*/\s*\d+"")),"""")"),"")</f>
        <v/>
      </c>
      <c r="H513" s="22" t="str">
        <f>IFERROR(__xludf.DUMMYFUNCTION("IFERROR(VALUE(REGEXEXTRACT(C513,""\d+\s*/\s*(\d+)"")),"""")"),"")</f>
        <v/>
      </c>
      <c r="I513" s="22" t="str">
        <f t="shared" si="2"/>
        <v/>
      </c>
      <c r="J513" s="34" t="str">
        <f t="shared" si="3"/>
        <v/>
      </c>
    </row>
    <row r="514" ht="15.75" customHeight="1">
      <c r="A514" s="32" t="s">
        <v>113</v>
      </c>
      <c r="B514" s="32" t="str">
        <f>IF(MOV_CC_NACIONAL!A514="","",MOV_CC_NACIONAL!A514)</f>
        <v/>
      </c>
      <c r="C514" s="32" t="str">
        <f>IF(MOV_CC_NACIONAL!B514="","",MOV_CC_NACIONAL!B514)</f>
        <v/>
      </c>
      <c r="D514" s="33" t="str">
        <f>IF(MOV_CC_NACIONAL!C514="","",MOV_CC_NACIONAL!C514)</f>
        <v/>
      </c>
      <c r="E514" s="32" t="str">
        <f t="shared" si="1"/>
        <v/>
      </c>
      <c r="F514" s="32" t="str">
        <f>IFERROR(__xludf.DUMMYFUNCTION("IF(C514="""","""", OR(REGEXMATCH(LOWER(C514),""cuota""), REGEXMATCH(C514,""\d+\s*/\s*\d+"")))"),"")</f>
        <v/>
      </c>
      <c r="G514" s="32" t="str">
        <f>IFERROR(__xludf.DUMMYFUNCTION("IFERROR(VALUE(REGEXEXTRACT(C514,""(\d+)\s*/\s*\d+"")),"""")"),"")</f>
        <v/>
      </c>
      <c r="H514" s="32" t="str">
        <f>IFERROR(__xludf.DUMMYFUNCTION("IFERROR(VALUE(REGEXEXTRACT(C514,""\d+\s*/\s*(\d+)"")),"""")"),"")</f>
        <v/>
      </c>
      <c r="I514" s="32" t="str">
        <f t="shared" si="2"/>
        <v/>
      </c>
      <c r="J514" s="33" t="str">
        <f t="shared" si="3"/>
        <v/>
      </c>
    </row>
    <row r="515" ht="15.75" customHeight="1">
      <c r="A515" s="22" t="s">
        <v>113</v>
      </c>
      <c r="B515" s="22" t="str">
        <f>IF(MOV_CC_NACIONAL!A515="","",MOV_CC_NACIONAL!A515)</f>
        <v/>
      </c>
      <c r="C515" s="22" t="str">
        <f>IF(MOV_CC_NACIONAL!B515="","",MOV_CC_NACIONAL!B515)</f>
        <v/>
      </c>
      <c r="D515" s="34" t="str">
        <f>IF(MOV_CC_NACIONAL!C515="","",MOV_CC_NACIONAL!C515)</f>
        <v/>
      </c>
      <c r="E515" s="22" t="str">
        <f t="shared" si="1"/>
        <v/>
      </c>
      <c r="F515" s="22" t="str">
        <f>IFERROR(__xludf.DUMMYFUNCTION("IF(C515="""","""", OR(REGEXMATCH(LOWER(C515),""cuota""), REGEXMATCH(C515,""\d+\s*/\s*\d+"")))"),"")</f>
        <v/>
      </c>
      <c r="G515" s="22" t="str">
        <f>IFERROR(__xludf.DUMMYFUNCTION("IFERROR(VALUE(REGEXEXTRACT(C515,""(\d+)\s*/\s*\d+"")),"""")"),"")</f>
        <v/>
      </c>
      <c r="H515" s="22" t="str">
        <f>IFERROR(__xludf.DUMMYFUNCTION("IFERROR(VALUE(REGEXEXTRACT(C515,""\d+\s*/\s*(\d+)"")),"""")"),"")</f>
        <v/>
      </c>
      <c r="I515" s="22" t="str">
        <f t="shared" si="2"/>
        <v/>
      </c>
      <c r="J515" s="34" t="str">
        <f t="shared" si="3"/>
        <v/>
      </c>
    </row>
    <row r="516" ht="15.75" customHeight="1">
      <c r="A516" s="32" t="s">
        <v>113</v>
      </c>
      <c r="B516" s="32" t="str">
        <f>IF(MOV_CC_NACIONAL!A516="","",MOV_CC_NACIONAL!A516)</f>
        <v/>
      </c>
      <c r="C516" s="32" t="str">
        <f>IF(MOV_CC_NACIONAL!B516="","",MOV_CC_NACIONAL!B516)</f>
        <v/>
      </c>
      <c r="D516" s="33" t="str">
        <f>IF(MOV_CC_NACIONAL!C516="","",MOV_CC_NACIONAL!C516)</f>
        <v/>
      </c>
      <c r="E516" s="32" t="str">
        <f t="shared" si="1"/>
        <v/>
      </c>
      <c r="F516" s="32" t="str">
        <f>IFERROR(__xludf.DUMMYFUNCTION("IF(C516="""","""", OR(REGEXMATCH(LOWER(C516),""cuota""), REGEXMATCH(C516,""\d+\s*/\s*\d+"")))"),"")</f>
        <v/>
      </c>
      <c r="G516" s="32" t="str">
        <f>IFERROR(__xludf.DUMMYFUNCTION("IFERROR(VALUE(REGEXEXTRACT(C516,""(\d+)\s*/\s*\d+"")),"""")"),"")</f>
        <v/>
      </c>
      <c r="H516" s="32" t="str">
        <f>IFERROR(__xludf.DUMMYFUNCTION("IFERROR(VALUE(REGEXEXTRACT(C516,""\d+\s*/\s*(\d+)"")),"""")"),"")</f>
        <v/>
      </c>
      <c r="I516" s="32" t="str">
        <f t="shared" si="2"/>
        <v/>
      </c>
      <c r="J516" s="33" t="str">
        <f t="shared" si="3"/>
        <v/>
      </c>
    </row>
    <row r="517" ht="15.75" customHeight="1">
      <c r="A517" s="22" t="s">
        <v>113</v>
      </c>
      <c r="B517" s="22" t="str">
        <f>IF(MOV_CC_NACIONAL!A517="","",MOV_CC_NACIONAL!A517)</f>
        <v/>
      </c>
      <c r="C517" s="22" t="str">
        <f>IF(MOV_CC_NACIONAL!B517="","",MOV_CC_NACIONAL!B517)</f>
        <v/>
      </c>
      <c r="D517" s="34" t="str">
        <f>IF(MOV_CC_NACIONAL!C517="","",MOV_CC_NACIONAL!C517)</f>
        <v/>
      </c>
      <c r="E517" s="22" t="str">
        <f t="shared" si="1"/>
        <v/>
      </c>
      <c r="F517" s="22" t="str">
        <f>IFERROR(__xludf.DUMMYFUNCTION("IF(C517="""","""", OR(REGEXMATCH(LOWER(C517),""cuota""), REGEXMATCH(C517,""\d+\s*/\s*\d+"")))"),"")</f>
        <v/>
      </c>
      <c r="G517" s="22" t="str">
        <f>IFERROR(__xludf.DUMMYFUNCTION("IFERROR(VALUE(REGEXEXTRACT(C517,""(\d+)\s*/\s*\d+"")),"""")"),"")</f>
        <v/>
      </c>
      <c r="H517" s="22" t="str">
        <f>IFERROR(__xludf.DUMMYFUNCTION("IFERROR(VALUE(REGEXEXTRACT(C517,""\d+\s*/\s*(\d+)"")),"""")"),"")</f>
        <v/>
      </c>
      <c r="I517" s="22" t="str">
        <f t="shared" si="2"/>
        <v/>
      </c>
      <c r="J517" s="34" t="str">
        <f t="shared" si="3"/>
        <v/>
      </c>
    </row>
    <row r="518" ht="15.75" customHeight="1">
      <c r="A518" s="32" t="s">
        <v>113</v>
      </c>
      <c r="B518" s="32" t="str">
        <f>IF(MOV_CC_NACIONAL!A518="","",MOV_CC_NACIONAL!A518)</f>
        <v/>
      </c>
      <c r="C518" s="32" t="str">
        <f>IF(MOV_CC_NACIONAL!B518="","",MOV_CC_NACIONAL!B518)</f>
        <v/>
      </c>
      <c r="D518" s="33" t="str">
        <f>IF(MOV_CC_NACIONAL!C518="","",MOV_CC_NACIONAL!C518)</f>
        <v/>
      </c>
      <c r="E518" s="32" t="str">
        <f t="shared" si="1"/>
        <v/>
      </c>
      <c r="F518" s="32" t="str">
        <f>IFERROR(__xludf.DUMMYFUNCTION("IF(C518="""","""", OR(REGEXMATCH(LOWER(C518),""cuota""), REGEXMATCH(C518,""\d+\s*/\s*\d+"")))"),"")</f>
        <v/>
      </c>
      <c r="G518" s="32" t="str">
        <f>IFERROR(__xludf.DUMMYFUNCTION("IFERROR(VALUE(REGEXEXTRACT(C518,""(\d+)\s*/\s*\d+"")),"""")"),"")</f>
        <v/>
      </c>
      <c r="H518" s="32" t="str">
        <f>IFERROR(__xludf.DUMMYFUNCTION("IFERROR(VALUE(REGEXEXTRACT(C518,""\d+\s*/\s*(\d+)"")),"""")"),"")</f>
        <v/>
      </c>
      <c r="I518" s="32" t="str">
        <f t="shared" si="2"/>
        <v/>
      </c>
      <c r="J518" s="33" t="str">
        <f t="shared" si="3"/>
        <v/>
      </c>
    </row>
    <row r="519" ht="15.75" customHeight="1">
      <c r="A519" s="22" t="s">
        <v>113</v>
      </c>
      <c r="B519" s="22" t="str">
        <f>IF(MOV_CC_NACIONAL!A519="","",MOV_CC_NACIONAL!A519)</f>
        <v/>
      </c>
      <c r="C519" s="22" t="str">
        <f>IF(MOV_CC_NACIONAL!B519="","",MOV_CC_NACIONAL!B519)</f>
        <v/>
      </c>
      <c r="D519" s="34" t="str">
        <f>IF(MOV_CC_NACIONAL!C519="","",MOV_CC_NACIONAL!C519)</f>
        <v/>
      </c>
      <c r="E519" s="22" t="str">
        <f t="shared" si="1"/>
        <v/>
      </c>
      <c r="F519" s="22" t="str">
        <f>IFERROR(__xludf.DUMMYFUNCTION("IF(C519="""","""", OR(REGEXMATCH(LOWER(C519),""cuota""), REGEXMATCH(C519,""\d+\s*/\s*\d+"")))"),"")</f>
        <v/>
      </c>
      <c r="G519" s="22" t="str">
        <f>IFERROR(__xludf.DUMMYFUNCTION("IFERROR(VALUE(REGEXEXTRACT(C519,""(\d+)\s*/\s*\d+"")),"""")"),"")</f>
        <v/>
      </c>
      <c r="H519" s="22" t="str">
        <f>IFERROR(__xludf.DUMMYFUNCTION("IFERROR(VALUE(REGEXEXTRACT(C519,""\d+\s*/\s*(\d+)"")),"""")"),"")</f>
        <v/>
      </c>
      <c r="I519" s="22" t="str">
        <f t="shared" si="2"/>
        <v/>
      </c>
      <c r="J519" s="34" t="str">
        <f t="shared" si="3"/>
        <v/>
      </c>
    </row>
    <row r="520" ht="15.75" customHeight="1">
      <c r="A520" s="32" t="s">
        <v>113</v>
      </c>
      <c r="B520" s="32" t="str">
        <f>IF(MOV_CC_NACIONAL!A520="","",MOV_CC_NACIONAL!A520)</f>
        <v/>
      </c>
      <c r="C520" s="32" t="str">
        <f>IF(MOV_CC_NACIONAL!B520="","",MOV_CC_NACIONAL!B520)</f>
        <v/>
      </c>
      <c r="D520" s="33" t="str">
        <f>IF(MOV_CC_NACIONAL!C520="","",MOV_CC_NACIONAL!C520)</f>
        <v/>
      </c>
      <c r="E520" s="32" t="str">
        <f t="shared" si="1"/>
        <v/>
      </c>
      <c r="F520" s="32" t="str">
        <f>IFERROR(__xludf.DUMMYFUNCTION("IF(C520="""","""", OR(REGEXMATCH(LOWER(C520),""cuota""), REGEXMATCH(C520,""\d+\s*/\s*\d+"")))"),"")</f>
        <v/>
      </c>
      <c r="G520" s="32" t="str">
        <f>IFERROR(__xludf.DUMMYFUNCTION("IFERROR(VALUE(REGEXEXTRACT(C520,""(\d+)\s*/\s*\d+"")),"""")"),"")</f>
        <v/>
      </c>
      <c r="H520" s="32" t="str">
        <f>IFERROR(__xludf.DUMMYFUNCTION("IFERROR(VALUE(REGEXEXTRACT(C520,""\d+\s*/\s*(\d+)"")),"""")"),"")</f>
        <v/>
      </c>
      <c r="I520" s="32" t="str">
        <f t="shared" si="2"/>
        <v/>
      </c>
      <c r="J520" s="33" t="str">
        <f t="shared" si="3"/>
        <v/>
      </c>
    </row>
    <row r="521" ht="15.75" customHeight="1">
      <c r="A521" s="22" t="s">
        <v>113</v>
      </c>
      <c r="B521" s="22" t="str">
        <f>IF(MOV_CC_NACIONAL!A521="","",MOV_CC_NACIONAL!A521)</f>
        <v/>
      </c>
      <c r="C521" s="22" t="str">
        <f>IF(MOV_CC_NACIONAL!B521="","",MOV_CC_NACIONAL!B521)</f>
        <v/>
      </c>
      <c r="D521" s="34" t="str">
        <f>IF(MOV_CC_NACIONAL!C521="","",MOV_CC_NACIONAL!C521)</f>
        <v/>
      </c>
      <c r="E521" s="22" t="str">
        <f t="shared" si="1"/>
        <v/>
      </c>
      <c r="F521" s="22" t="str">
        <f>IFERROR(__xludf.DUMMYFUNCTION("IF(C521="""","""", OR(REGEXMATCH(LOWER(C521),""cuota""), REGEXMATCH(C521,""\d+\s*/\s*\d+"")))"),"")</f>
        <v/>
      </c>
      <c r="G521" s="22" t="str">
        <f>IFERROR(__xludf.DUMMYFUNCTION("IFERROR(VALUE(REGEXEXTRACT(C521,""(\d+)\s*/\s*\d+"")),"""")"),"")</f>
        <v/>
      </c>
      <c r="H521" s="22" t="str">
        <f>IFERROR(__xludf.DUMMYFUNCTION("IFERROR(VALUE(REGEXEXTRACT(C521,""\d+\s*/\s*(\d+)"")),"""")"),"")</f>
        <v/>
      </c>
      <c r="I521" s="22" t="str">
        <f t="shared" si="2"/>
        <v/>
      </c>
      <c r="J521" s="34" t="str">
        <f t="shared" si="3"/>
        <v/>
      </c>
    </row>
    <row r="522" ht="15.75" customHeight="1">
      <c r="A522" s="32" t="s">
        <v>113</v>
      </c>
      <c r="B522" s="32" t="str">
        <f>IF(MOV_CC_NACIONAL!A522="","",MOV_CC_NACIONAL!A522)</f>
        <v/>
      </c>
      <c r="C522" s="32" t="str">
        <f>IF(MOV_CC_NACIONAL!B522="","",MOV_CC_NACIONAL!B522)</f>
        <v/>
      </c>
      <c r="D522" s="33" t="str">
        <f>IF(MOV_CC_NACIONAL!C522="","",MOV_CC_NACIONAL!C522)</f>
        <v/>
      </c>
      <c r="E522" s="32" t="str">
        <f t="shared" si="1"/>
        <v/>
      </c>
      <c r="F522" s="32" t="str">
        <f>IFERROR(__xludf.DUMMYFUNCTION("IF(C522="""","""", OR(REGEXMATCH(LOWER(C522),""cuota""), REGEXMATCH(C522,""\d+\s*/\s*\d+"")))"),"")</f>
        <v/>
      </c>
      <c r="G522" s="32" t="str">
        <f>IFERROR(__xludf.DUMMYFUNCTION("IFERROR(VALUE(REGEXEXTRACT(C522,""(\d+)\s*/\s*\d+"")),"""")"),"")</f>
        <v/>
      </c>
      <c r="H522" s="32" t="str">
        <f>IFERROR(__xludf.DUMMYFUNCTION("IFERROR(VALUE(REGEXEXTRACT(C522,""\d+\s*/\s*(\d+)"")),"""")"),"")</f>
        <v/>
      </c>
      <c r="I522" s="32" t="str">
        <f t="shared" si="2"/>
        <v/>
      </c>
      <c r="J522" s="33" t="str">
        <f t="shared" si="3"/>
        <v/>
      </c>
    </row>
    <row r="523" ht="15.75" customHeight="1">
      <c r="A523" s="22" t="s">
        <v>113</v>
      </c>
      <c r="B523" s="22" t="str">
        <f>IF(MOV_CC_NACIONAL!A523="","",MOV_CC_NACIONAL!A523)</f>
        <v/>
      </c>
      <c r="C523" s="22" t="str">
        <f>IF(MOV_CC_NACIONAL!B523="","",MOV_CC_NACIONAL!B523)</f>
        <v/>
      </c>
      <c r="D523" s="34" t="str">
        <f>IF(MOV_CC_NACIONAL!C523="","",MOV_CC_NACIONAL!C523)</f>
        <v/>
      </c>
      <c r="E523" s="22" t="str">
        <f t="shared" si="1"/>
        <v/>
      </c>
      <c r="F523" s="22" t="str">
        <f>IFERROR(__xludf.DUMMYFUNCTION("IF(C523="""","""", OR(REGEXMATCH(LOWER(C523),""cuota""), REGEXMATCH(C523,""\d+\s*/\s*\d+"")))"),"")</f>
        <v/>
      </c>
      <c r="G523" s="22" t="str">
        <f>IFERROR(__xludf.DUMMYFUNCTION("IFERROR(VALUE(REGEXEXTRACT(C523,""(\d+)\s*/\s*\d+"")),"""")"),"")</f>
        <v/>
      </c>
      <c r="H523" s="22" t="str">
        <f>IFERROR(__xludf.DUMMYFUNCTION("IFERROR(VALUE(REGEXEXTRACT(C523,""\d+\s*/\s*(\d+)"")),"""")"),"")</f>
        <v/>
      </c>
      <c r="I523" s="22" t="str">
        <f t="shared" si="2"/>
        <v/>
      </c>
      <c r="J523" s="34" t="str">
        <f t="shared" si="3"/>
        <v/>
      </c>
    </row>
    <row r="524" ht="15.75" customHeight="1">
      <c r="A524" s="32" t="s">
        <v>113</v>
      </c>
      <c r="B524" s="32" t="str">
        <f>IF(MOV_CC_NACIONAL!A524="","",MOV_CC_NACIONAL!A524)</f>
        <v/>
      </c>
      <c r="C524" s="32" t="str">
        <f>IF(MOV_CC_NACIONAL!B524="","",MOV_CC_NACIONAL!B524)</f>
        <v/>
      </c>
      <c r="D524" s="33" t="str">
        <f>IF(MOV_CC_NACIONAL!C524="","",MOV_CC_NACIONAL!C524)</f>
        <v/>
      </c>
      <c r="E524" s="32" t="str">
        <f t="shared" si="1"/>
        <v/>
      </c>
      <c r="F524" s="32" t="str">
        <f>IFERROR(__xludf.DUMMYFUNCTION("IF(C524="""","""", OR(REGEXMATCH(LOWER(C524),""cuota""), REGEXMATCH(C524,""\d+\s*/\s*\d+"")))"),"")</f>
        <v/>
      </c>
      <c r="G524" s="32" t="str">
        <f>IFERROR(__xludf.DUMMYFUNCTION("IFERROR(VALUE(REGEXEXTRACT(C524,""(\d+)\s*/\s*\d+"")),"""")"),"")</f>
        <v/>
      </c>
      <c r="H524" s="32" t="str">
        <f>IFERROR(__xludf.DUMMYFUNCTION("IFERROR(VALUE(REGEXEXTRACT(C524,""\d+\s*/\s*(\d+)"")),"""")"),"")</f>
        <v/>
      </c>
      <c r="I524" s="32" t="str">
        <f t="shared" si="2"/>
        <v/>
      </c>
      <c r="J524" s="33" t="str">
        <f t="shared" si="3"/>
        <v/>
      </c>
    </row>
    <row r="525" ht="15.75" customHeight="1">
      <c r="A525" s="22" t="s">
        <v>113</v>
      </c>
      <c r="B525" s="22" t="str">
        <f>IF(MOV_CC_NACIONAL!A525="","",MOV_CC_NACIONAL!A525)</f>
        <v/>
      </c>
      <c r="C525" s="22" t="str">
        <f>IF(MOV_CC_NACIONAL!B525="","",MOV_CC_NACIONAL!B525)</f>
        <v/>
      </c>
      <c r="D525" s="34" t="str">
        <f>IF(MOV_CC_NACIONAL!C525="","",MOV_CC_NACIONAL!C525)</f>
        <v/>
      </c>
      <c r="E525" s="22" t="str">
        <f t="shared" si="1"/>
        <v/>
      </c>
      <c r="F525" s="22" t="str">
        <f>IFERROR(__xludf.DUMMYFUNCTION("IF(C525="""","""", OR(REGEXMATCH(LOWER(C525),""cuota""), REGEXMATCH(C525,""\d+\s*/\s*\d+"")))"),"")</f>
        <v/>
      </c>
      <c r="G525" s="22" t="str">
        <f>IFERROR(__xludf.DUMMYFUNCTION("IFERROR(VALUE(REGEXEXTRACT(C525,""(\d+)\s*/\s*\d+"")),"""")"),"")</f>
        <v/>
      </c>
      <c r="H525" s="22" t="str">
        <f>IFERROR(__xludf.DUMMYFUNCTION("IFERROR(VALUE(REGEXEXTRACT(C525,""\d+\s*/\s*(\d+)"")),"""")"),"")</f>
        <v/>
      </c>
      <c r="I525" s="22" t="str">
        <f t="shared" si="2"/>
        <v/>
      </c>
      <c r="J525" s="34" t="str">
        <f t="shared" si="3"/>
        <v/>
      </c>
    </row>
    <row r="526" ht="15.75" customHeight="1">
      <c r="A526" s="32" t="s">
        <v>113</v>
      </c>
      <c r="B526" s="32" t="str">
        <f>IF(MOV_CC_NACIONAL!A526="","",MOV_CC_NACIONAL!A526)</f>
        <v/>
      </c>
      <c r="C526" s="32" t="str">
        <f>IF(MOV_CC_NACIONAL!B526="","",MOV_CC_NACIONAL!B526)</f>
        <v/>
      </c>
      <c r="D526" s="33" t="str">
        <f>IF(MOV_CC_NACIONAL!C526="","",MOV_CC_NACIONAL!C526)</f>
        <v/>
      </c>
      <c r="E526" s="32" t="str">
        <f t="shared" si="1"/>
        <v/>
      </c>
      <c r="F526" s="32" t="str">
        <f>IFERROR(__xludf.DUMMYFUNCTION("IF(C526="""","""", OR(REGEXMATCH(LOWER(C526),""cuota""), REGEXMATCH(C526,""\d+\s*/\s*\d+"")))"),"")</f>
        <v/>
      </c>
      <c r="G526" s="32" t="str">
        <f>IFERROR(__xludf.DUMMYFUNCTION("IFERROR(VALUE(REGEXEXTRACT(C526,""(\d+)\s*/\s*\d+"")),"""")"),"")</f>
        <v/>
      </c>
      <c r="H526" s="32" t="str">
        <f>IFERROR(__xludf.DUMMYFUNCTION("IFERROR(VALUE(REGEXEXTRACT(C526,""\d+\s*/\s*(\d+)"")),"""")"),"")</f>
        <v/>
      </c>
      <c r="I526" s="32" t="str">
        <f t="shared" si="2"/>
        <v/>
      </c>
      <c r="J526" s="33" t="str">
        <f t="shared" si="3"/>
        <v/>
      </c>
    </row>
    <row r="527" ht="15.75" customHeight="1">
      <c r="A527" s="22" t="s">
        <v>113</v>
      </c>
      <c r="B527" s="22" t="str">
        <f>IF(MOV_CC_NACIONAL!A527="","",MOV_CC_NACIONAL!A527)</f>
        <v/>
      </c>
      <c r="C527" s="22" t="str">
        <f>IF(MOV_CC_NACIONAL!B527="","",MOV_CC_NACIONAL!B527)</f>
        <v/>
      </c>
      <c r="D527" s="34" t="str">
        <f>IF(MOV_CC_NACIONAL!C527="","",MOV_CC_NACIONAL!C527)</f>
        <v/>
      </c>
      <c r="E527" s="22" t="str">
        <f t="shared" si="1"/>
        <v/>
      </c>
      <c r="F527" s="22" t="str">
        <f>IFERROR(__xludf.DUMMYFUNCTION("IF(C527="""","""", OR(REGEXMATCH(LOWER(C527),""cuota""), REGEXMATCH(C527,""\d+\s*/\s*\d+"")))"),"")</f>
        <v/>
      </c>
      <c r="G527" s="22" t="str">
        <f>IFERROR(__xludf.DUMMYFUNCTION("IFERROR(VALUE(REGEXEXTRACT(C527,""(\d+)\s*/\s*\d+"")),"""")"),"")</f>
        <v/>
      </c>
      <c r="H527" s="22" t="str">
        <f>IFERROR(__xludf.DUMMYFUNCTION("IFERROR(VALUE(REGEXEXTRACT(C527,""\d+\s*/\s*(\d+)"")),"""")"),"")</f>
        <v/>
      </c>
      <c r="I527" s="22" t="str">
        <f t="shared" si="2"/>
        <v/>
      </c>
      <c r="J527" s="34" t="str">
        <f t="shared" si="3"/>
        <v/>
      </c>
    </row>
    <row r="528" ht="15.75" customHeight="1">
      <c r="A528" s="32" t="s">
        <v>113</v>
      </c>
      <c r="B528" s="32" t="str">
        <f>IF(MOV_CC_NACIONAL!A528="","",MOV_CC_NACIONAL!A528)</f>
        <v/>
      </c>
      <c r="C528" s="32" t="str">
        <f>IF(MOV_CC_NACIONAL!B528="","",MOV_CC_NACIONAL!B528)</f>
        <v/>
      </c>
      <c r="D528" s="33" t="str">
        <f>IF(MOV_CC_NACIONAL!C528="","",MOV_CC_NACIONAL!C528)</f>
        <v/>
      </c>
      <c r="E528" s="32" t="str">
        <f t="shared" si="1"/>
        <v/>
      </c>
      <c r="F528" s="32" t="str">
        <f>IFERROR(__xludf.DUMMYFUNCTION("IF(C528="""","""", OR(REGEXMATCH(LOWER(C528),""cuota""), REGEXMATCH(C528,""\d+\s*/\s*\d+"")))"),"")</f>
        <v/>
      </c>
      <c r="G528" s="32" t="str">
        <f>IFERROR(__xludf.DUMMYFUNCTION("IFERROR(VALUE(REGEXEXTRACT(C528,""(\d+)\s*/\s*\d+"")),"""")"),"")</f>
        <v/>
      </c>
      <c r="H528" s="32" t="str">
        <f>IFERROR(__xludf.DUMMYFUNCTION("IFERROR(VALUE(REGEXEXTRACT(C528,""\d+\s*/\s*(\d+)"")),"""")"),"")</f>
        <v/>
      </c>
      <c r="I528" s="32" t="str">
        <f t="shared" si="2"/>
        <v/>
      </c>
      <c r="J528" s="33" t="str">
        <f t="shared" si="3"/>
        <v/>
      </c>
    </row>
    <row r="529" ht="15.75" customHeight="1">
      <c r="A529" s="22" t="s">
        <v>113</v>
      </c>
      <c r="B529" s="22" t="str">
        <f>IF(MOV_CC_NACIONAL!A529="","",MOV_CC_NACIONAL!A529)</f>
        <v/>
      </c>
      <c r="C529" s="22" t="str">
        <f>IF(MOV_CC_NACIONAL!B529="","",MOV_CC_NACIONAL!B529)</f>
        <v/>
      </c>
      <c r="D529" s="34" t="str">
        <f>IF(MOV_CC_NACIONAL!C529="","",MOV_CC_NACIONAL!C529)</f>
        <v/>
      </c>
      <c r="E529" s="22" t="str">
        <f t="shared" si="1"/>
        <v/>
      </c>
      <c r="F529" s="22" t="str">
        <f>IFERROR(__xludf.DUMMYFUNCTION("IF(C529="""","""", OR(REGEXMATCH(LOWER(C529),""cuota""), REGEXMATCH(C529,""\d+\s*/\s*\d+"")))"),"")</f>
        <v/>
      </c>
      <c r="G529" s="22" t="str">
        <f>IFERROR(__xludf.DUMMYFUNCTION("IFERROR(VALUE(REGEXEXTRACT(C529,""(\d+)\s*/\s*\d+"")),"""")"),"")</f>
        <v/>
      </c>
      <c r="H529" s="22" t="str">
        <f>IFERROR(__xludf.DUMMYFUNCTION("IFERROR(VALUE(REGEXEXTRACT(C529,""\d+\s*/\s*(\d+)"")),"""")"),"")</f>
        <v/>
      </c>
      <c r="I529" s="22" t="str">
        <f t="shared" si="2"/>
        <v/>
      </c>
      <c r="J529" s="34" t="str">
        <f t="shared" si="3"/>
        <v/>
      </c>
    </row>
    <row r="530" ht="15.75" customHeight="1">
      <c r="A530" s="32" t="s">
        <v>113</v>
      </c>
      <c r="B530" s="32" t="str">
        <f>IF(MOV_CC_NACIONAL!A530="","",MOV_CC_NACIONAL!A530)</f>
        <v/>
      </c>
      <c r="C530" s="32" t="str">
        <f>IF(MOV_CC_NACIONAL!B530="","",MOV_CC_NACIONAL!B530)</f>
        <v/>
      </c>
      <c r="D530" s="33" t="str">
        <f>IF(MOV_CC_NACIONAL!C530="","",MOV_CC_NACIONAL!C530)</f>
        <v/>
      </c>
      <c r="E530" s="32" t="str">
        <f t="shared" si="1"/>
        <v/>
      </c>
      <c r="F530" s="32" t="str">
        <f>IFERROR(__xludf.DUMMYFUNCTION("IF(C530="""","""", OR(REGEXMATCH(LOWER(C530),""cuota""), REGEXMATCH(C530,""\d+\s*/\s*\d+"")))"),"")</f>
        <v/>
      </c>
      <c r="G530" s="32" t="str">
        <f>IFERROR(__xludf.DUMMYFUNCTION("IFERROR(VALUE(REGEXEXTRACT(C530,""(\d+)\s*/\s*\d+"")),"""")"),"")</f>
        <v/>
      </c>
      <c r="H530" s="32" t="str">
        <f>IFERROR(__xludf.DUMMYFUNCTION("IFERROR(VALUE(REGEXEXTRACT(C530,""\d+\s*/\s*(\d+)"")),"""")"),"")</f>
        <v/>
      </c>
      <c r="I530" s="32" t="str">
        <f t="shared" si="2"/>
        <v/>
      </c>
      <c r="J530" s="33" t="str">
        <f t="shared" si="3"/>
        <v/>
      </c>
    </row>
    <row r="531" ht="15.75" customHeight="1">
      <c r="A531" s="22" t="s">
        <v>113</v>
      </c>
      <c r="B531" s="22" t="str">
        <f>IF(MOV_CC_NACIONAL!A531="","",MOV_CC_NACIONAL!A531)</f>
        <v/>
      </c>
      <c r="C531" s="22" t="str">
        <f>IF(MOV_CC_NACIONAL!B531="","",MOV_CC_NACIONAL!B531)</f>
        <v/>
      </c>
      <c r="D531" s="34" t="str">
        <f>IF(MOV_CC_NACIONAL!C531="","",MOV_CC_NACIONAL!C531)</f>
        <v/>
      </c>
      <c r="E531" s="22" t="str">
        <f t="shared" si="1"/>
        <v/>
      </c>
      <c r="F531" s="22" t="str">
        <f>IFERROR(__xludf.DUMMYFUNCTION("IF(C531="""","""", OR(REGEXMATCH(LOWER(C531),""cuota""), REGEXMATCH(C531,""\d+\s*/\s*\d+"")))"),"")</f>
        <v/>
      </c>
      <c r="G531" s="22" t="str">
        <f>IFERROR(__xludf.DUMMYFUNCTION("IFERROR(VALUE(REGEXEXTRACT(C531,""(\d+)\s*/\s*\d+"")),"""")"),"")</f>
        <v/>
      </c>
      <c r="H531" s="22" t="str">
        <f>IFERROR(__xludf.DUMMYFUNCTION("IFERROR(VALUE(REGEXEXTRACT(C531,""\d+\s*/\s*(\d+)"")),"""")"),"")</f>
        <v/>
      </c>
      <c r="I531" s="22" t="str">
        <f t="shared" si="2"/>
        <v/>
      </c>
      <c r="J531" s="34" t="str">
        <f t="shared" si="3"/>
        <v/>
      </c>
    </row>
    <row r="532" ht="15.75" customHeight="1">
      <c r="A532" s="32" t="s">
        <v>113</v>
      </c>
      <c r="B532" s="32" t="str">
        <f>IF(MOV_CC_NACIONAL!A532="","",MOV_CC_NACIONAL!A532)</f>
        <v/>
      </c>
      <c r="C532" s="32" t="str">
        <f>IF(MOV_CC_NACIONAL!B532="","",MOV_CC_NACIONAL!B532)</f>
        <v/>
      </c>
      <c r="D532" s="33" t="str">
        <f>IF(MOV_CC_NACIONAL!C532="","",MOV_CC_NACIONAL!C532)</f>
        <v/>
      </c>
      <c r="E532" s="32" t="str">
        <f t="shared" si="1"/>
        <v/>
      </c>
      <c r="F532" s="32" t="str">
        <f>IFERROR(__xludf.DUMMYFUNCTION("IF(C532="""","""", OR(REGEXMATCH(LOWER(C532),""cuota""), REGEXMATCH(C532,""\d+\s*/\s*\d+"")))"),"")</f>
        <v/>
      </c>
      <c r="G532" s="32" t="str">
        <f>IFERROR(__xludf.DUMMYFUNCTION("IFERROR(VALUE(REGEXEXTRACT(C532,""(\d+)\s*/\s*\d+"")),"""")"),"")</f>
        <v/>
      </c>
      <c r="H532" s="32" t="str">
        <f>IFERROR(__xludf.DUMMYFUNCTION("IFERROR(VALUE(REGEXEXTRACT(C532,""\d+\s*/\s*(\d+)"")),"""")"),"")</f>
        <v/>
      </c>
      <c r="I532" s="32" t="str">
        <f t="shared" si="2"/>
        <v/>
      </c>
      <c r="J532" s="33" t="str">
        <f t="shared" si="3"/>
        <v/>
      </c>
    </row>
    <row r="533" ht="15.75" customHeight="1">
      <c r="A533" s="22" t="s">
        <v>113</v>
      </c>
      <c r="B533" s="22" t="str">
        <f>IF(MOV_CC_NACIONAL!A533="","",MOV_CC_NACIONAL!A533)</f>
        <v/>
      </c>
      <c r="C533" s="22" t="str">
        <f>IF(MOV_CC_NACIONAL!B533="","",MOV_CC_NACIONAL!B533)</f>
        <v/>
      </c>
      <c r="D533" s="34" t="str">
        <f>IF(MOV_CC_NACIONAL!C533="","",MOV_CC_NACIONAL!C533)</f>
        <v/>
      </c>
      <c r="E533" s="22" t="str">
        <f t="shared" si="1"/>
        <v/>
      </c>
      <c r="F533" s="22" t="str">
        <f>IFERROR(__xludf.DUMMYFUNCTION("IF(C533="""","""", OR(REGEXMATCH(LOWER(C533),""cuota""), REGEXMATCH(C533,""\d+\s*/\s*\d+"")))"),"")</f>
        <v/>
      </c>
      <c r="G533" s="22" t="str">
        <f>IFERROR(__xludf.DUMMYFUNCTION("IFERROR(VALUE(REGEXEXTRACT(C533,""(\d+)\s*/\s*\d+"")),"""")"),"")</f>
        <v/>
      </c>
      <c r="H533" s="22" t="str">
        <f>IFERROR(__xludf.DUMMYFUNCTION("IFERROR(VALUE(REGEXEXTRACT(C533,""\d+\s*/\s*(\d+)"")),"""")"),"")</f>
        <v/>
      </c>
      <c r="I533" s="22" t="str">
        <f t="shared" si="2"/>
        <v/>
      </c>
      <c r="J533" s="34" t="str">
        <f t="shared" si="3"/>
        <v/>
      </c>
    </row>
    <row r="534" ht="15.75" customHeight="1">
      <c r="A534" s="32" t="s">
        <v>113</v>
      </c>
      <c r="B534" s="32" t="str">
        <f>IF(MOV_CC_NACIONAL!A534="","",MOV_CC_NACIONAL!A534)</f>
        <v/>
      </c>
      <c r="C534" s="32" t="str">
        <f>IF(MOV_CC_NACIONAL!B534="","",MOV_CC_NACIONAL!B534)</f>
        <v/>
      </c>
      <c r="D534" s="33" t="str">
        <f>IF(MOV_CC_NACIONAL!C534="","",MOV_CC_NACIONAL!C534)</f>
        <v/>
      </c>
      <c r="E534" s="32" t="str">
        <f t="shared" si="1"/>
        <v/>
      </c>
      <c r="F534" s="32" t="str">
        <f>IFERROR(__xludf.DUMMYFUNCTION("IF(C534="""","""", OR(REGEXMATCH(LOWER(C534),""cuota""), REGEXMATCH(C534,""\d+\s*/\s*\d+"")))"),"")</f>
        <v/>
      </c>
      <c r="G534" s="32" t="str">
        <f>IFERROR(__xludf.DUMMYFUNCTION("IFERROR(VALUE(REGEXEXTRACT(C534,""(\d+)\s*/\s*\d+"")),"""")"),"")</f>
        <v/>
      </c>
      <c r="H534" s="32" t="str">
        <f>IFERROR(__xludf.DUMMYFUNCTION("IFERROR(VALUE(REGEXEXTRACT(C534,""\d+\s*/\s*(\d+)"")),"""")"),"")</f>
        <v/>
      </c>
      <c r="I534" s="32" t="str">
        <f t="shared" si="2"/>
        <v/>
      </c>
      <c r="J534" s="33" t="str">
        <f t="shared" si="3"/>
        <v/>
      </c>
    </row>
    <row r="535" ht="15.75" customHeight="1">
      <c r="A535" s="22" t="s">
        <v>113</v>
      </c>
      <c r="B535" s="22" t="str">
        <f>IF(MOV_CC_NACIONAL!A535="","",MOV_CC_NACIONAL!A535)</f>
        <v/>
      </c>
      <c r="C535" s="22" t="str">
        <f>IF(MOV_CC_NACIONAL!B535="","",MOV_CC_NACIONAL!B535)</f>
        <v/>
      </c>
      <c r="D535" s="34" t="str">
        <f>IF(MOV_CC_NACIONAL!C535="","",MOV_CC_NACIONAL!C535)</f>
        <v/>
      </c>
      <c r="E535" s="22" t="str">
        <f t="shared" si="1"/>
        <v/>
      </c>
      <c r="F535" s="22" t="str">
        <f>IFERROR(__xludf.DUMMYFUNCTION("IF(C535="""","""", OR(REGEXMATCH(LOWER(C535),""cuota""), REGEXMATCH(C535,""\d+\s*/\s*\d+"")))"),"")</f>
        <v/>
      </c>
      <c r="G535" s="22" t="str">
        <f>IFERROR(__xludf.DUMMYFUNCTION("IFERROR(VALUE(REGEXEXTRACT(C535,""(\d+)\s*/\s*\d+"")),"""")"),"")</f>
        <v/>
      </c>
      <c r="H535" s="22" t="str">
        <f>IFERROR(__xludf.DUMMYFUNCTION("IFERROR(VALUE(REGEXEXTRACT(C535,""\d+\s*/\s*(\d+)"")),"""")"),"")</f>
        <v/>
      </c>
      <c r="I535" s="22" t="str">
        <f t="shared" si="2"/>
        <v/>
      </c>
      <c r="J535" s="34" t="str">
        <f t="shared" si="3"/>
        <v/>
      </c>
    </row>
    <row r="536" ht="15.75" customHeight="1">
      <c r="A536" s="32" t="s">
        <v>113</v>
      </c>
      <c r="B536" s="32" t="str">
        <f>IF(MOV_CC_NACIONAL!A536="","",MOV_CC_NACIONAL!A536)</f>
        <v/>
      </c>
      <c r="C536" s="32" t="str">
        <f>IF(MOV_CC_NACIONAL!B536="","",MOV_CC_NACIONAL!B536)</f>
        <v/>
      </c>
      <c r="D536" s="33" t="str">
        <f>IF(MOV_CC_NACIONAL!C536="","",MOV_CC_NACIONAL!C536)</f>
        <v/>
      </c>
      <c r="E536" s="32" t="str">
        <f t="shared" si="1"/>
        <v/>
      </c>
      <c r="F536" s="32" t="str">
        <f>IFERROR(__xludf.DUMMYFUNCTION("IF(C536="""","""", OR(REGEXMATCH(LOWER(C536),""cuota""), REGEXMATCH(C536,""\d+\s*/\s*\d+"")))"),"")</f>
        <v/>
      </c>
      <c r="G536" s="32" t="str">
        <f>IFERROR(__xludf.DUMMYFUNCTION("IFERROR(VALUE(REGEXEXTRACT(C536,""(\d+)\s*/\s*\d+"")),"""")"),"")</f>
        <v/>
      </c>
      <c r="H536" s="32" t="str">
        <f>IFERROR(__xludf.DUMMYFUNCTION("IFERROR(VALUE(REGEXEXTRACT(C536,""\d+\s*/\s*(\d+)"")),"""")"),"")</f>
        <v/>
      </c>
      <c r="I536" s="32" t="str">
        <f t="shared" si="2"/>
        <v/>
      </c>
      <c r="J536" s="33" t="str">
        <f t="shared" si="3"/>
        <v/>
      </c>
    </row>
    <row r="537" ht="15.75" customHeight="1">
      <c r="A537" s="22" t="s">
        <v>113</v>
      </c>
      <c r="B537" s="22" t="str">
        <f>IF(MOV_CC_NACIONAL!A537="","",MOV_CC_NACIONAL!A537)</f>
        <v/>
      </c>
      <c r="C537" s="22" t="str">
        <f>IF(MOV_CC_NACIONAL!B537="","",MOV_CC_NACIONAL!B537)</f>
        <v/>
      </c>
      <c r="D537" s="34" t="str">
        <f>IF(MOV_CC_NACIONAL!C537="","",MOV_CC_NACIONAL!C537)</f>
        <v/>
      </c>
      <c r="E537" s="22" t="str">
        <f t="shared" si="1"/>
        <v/>
      </c>
      <c r="F537" s="22" t="str">
        <f>IFERROR(__xludf.DUMMYFUNCTION("IF(C537="""","""", OR(REGEXMATCH(LOWER(C537),""cuota""), REGEXMATCH(C537,""\d+\s*/\s*\d+"")))"),"")</f>
        <v/>
      </c>
      <c r="G537" s="22" t="str">
        <f>IFERROR(__xludf.DUMMYFUNCTION("IFERROR(VALUE(REGEXEXTRACT(C537,""(\d+)\s*/\s*\d+"")),"""")"),"")</f>
        <v/>
      </c>
      <c r="H537" s="22" t="str">
        <f>IFERROR(__xludf.DUMMYFUNCTION("IFERROR(VALUE(REGEXEXTRACT(C537,""\d+\s*/\s*(\d+)"")),"""")"),"")</f>
        <v/>
      </c>
      <c r="I537" s="22" t="str">
        <f t="shared" si="2"/>
        <v/>
      </c>
      <c r="J537" s="34" t="str">
        <f t="shared" si="3"/>
        <v/>
      </c>
    </row>
    <row r="538" ht="15.75" customHeight="1">
      <c r="A538" s="32" t="s">
        <v>113</v>
      </c>
      <c r="B538" s="32" t="str">
        <f>IF(MOV_CC_NACIONAL!A538="","",MOV_CC_NACIONAL!A538)</f>
        <v/>
      </c>
      <c r="C538" s="32" t="str">
        <f>IF(MOV_CC_NACIONAL!B538="","",MOV_CC_NACIONAL!B538)</f>
        <v/>
      </c>
      <c r="D538" s="33" t="str">
        <f>IF(MOV_CC_NACIONAL!C538="","",MOV_CC_NACIONAL!C538)</f>
        <v/>
      </c>
      <c r="E538" s="32" t="str">
        <f t="shared" si="1"/>
        <v/>
      </c>
      <c r="F538" s="32" t="str">
        <f>IFERROR(__xludf.DUMMYFUNCTION("IF(C538="""","""", OR(REGEXMATCH(LOWER(C538),""cuota""), REGEXMATCH(C538,""\d+\s*/\s*\d+"")))"),"")</f>
        <v/>
      </c>
      <c r="G538" s="32" t="str">
        <f>IFERROR(__xludf.DUMMYFUNCTION("IFERROR(VALUE(REGEXEXTRACT(C538,""(\d+)\s*/\s*\d+"")),"""")"),"")</f>
        <v/>
      </c>
      <c r="H538" s="32" t="str">
        <f>IFERROR(__xludf.DUMMYFUNCTION("IFERROR(VALUE(REGEXEXTRACT(C538,""\d+\s*/\s*(\d+)"")),"""")"),"")</f>
        <v/>
      </c>
      <c r="I538" s="32" t="str">
        <f t="shared" si="2"/>
        <v/>
      </c>
      <c r="J538" s="33" t="str">
        <f t="shared" si="3"/>
        <v/>
      </c>
    </row>
    <row r="539" ht="15.75" customHeight="1">
      <c r="A539" s="22" t="s">
        <v>113</v>
      </c>
      <c r="B539" s="22" t="str">
        <f>IF(MOV_CC_NACIONAL!A539="","",MOV_CC_NACIONAL!A539)</f>
        <v/>
      </c>
      <c r="C539" s="22" t="str">
        <f>IF(MOV_CC_NACIONAL!B539="","",MOV_CC_NACIONAL!B539)</f>
        <v/>
      </c>
      <c r="D539" s="34" t="str">
        <f>IF(MOV_CC_NACIONAL!C539="","",MOV_CC_NACIONAL!C539)</f>
        <v/>
      </c>
      <c r="E539" s="22" t="str">
        <f t="shared" si="1"/>
        <v/>
      </c>
      <c r="F539" s="22" t="str">
        <f>IFERROR(__xludf.DUMMYFUNCTION("IF(C539="""","""", OR(REGEXMATCH(LOWER(C539),""cuota""), REGEXMATCH(C539,""\d+\s*/\s*\d+"")))"),"")</f>
        <v/>
      </c>
      <c r="G539" s="22" t="str">
        <f>IFERROR(__xludf.DUMMYFUNCTION("IFERROR(VALUE(REGEXEXTRACT(C539,""(\d+)\s*/\s*\d+"")),"""")"),"")</f>
        <v/>
      </c>
      <c r="H539" s="22" t="str">
        <f>IFERROR(__xludf.DUMMYFUNCTION("IFERROR(VALUE(REGEXEXTRACT(C539,""\d+\s*/\s*(\d+)"")),"""")"),"")</f>
        <v/>
      </c>
      <c r="I539" s="22" t="str">
        <f t="shared" si="2"/>
        <v/>
      </c>
      <c r="J539" s="34" t="str">
        <f t="shared" si="3"/>
        <v/>
      </c>
    </row>
    <row r="540" ht="15.75" customHeight="1">
      <c r="A540" s="32" t="s">
        <v>113</v>
      </c>
      <c r="B540" s="32" t="str">
        <f>IF(MOV_CC_NACIONAL!A540="","",MOV_CC_NACIONAL!A540)</f>
        <v/>
      </c>
      <c r="C540" s="32" t="str">
        <f>IF(MOV_CC_NACIONAL!B540="","",MOV_CC_NACIONAL!B540)</f>
        <v/>
      </c>
      <c r="D540" s="33" t="str">
        <f>IF(MOV_CC_NACIONAL!C540="","",MOV_CC_NACIONAL!C540)</f>
        <v/>
      </c>
      <c r="E540" s="32" t="str">
        <f t="shared" si="1"/>
        <v/>
      </c>
      <c r="F540" s="32" t="str">
        <f>IFERROR(__xludf.DUMMYFUNCTION("IF(C540="""","""", OR(REGEXMATCH(LOWER(C540),""cuota""), REGEXMATCH(C540,""\d+\s*/\s*\d+"")))"),"")</f>
        <v/>
      </c>
      <c r="G540" s="32" t="str">
        <f>IFERROR(__xludf.DUMMYFUNCTION("IFERROR(VALUE(REGEXEXTRACT(C540,""(\d+)\s*/\s*\d+"")),"""")"),"")</f>
        <v/>
      </c>
      <c r="H540" s="32" t="str">
        <f>IFERROR(__xludf.DUMMYFUNCTION("IFERROR(VALUE(REGEXEXTRACT(C540,""\d+\s*/\s*(\d+)"")),"""")"),"")</f>
        <v/>
      </c>
      <c r="I540" s="32" t="str">
        <f t="shared" si="2"/>
        <v/>
      </c>
      <c r="J540" s="33" t="str">
        <f t="shared" si="3"/>
        <v/>
      </c>
    </row>
    <row r="541" ht="15.75" customHeight="1">
      <c r="A541" s="22" t="s">
        <v>113</v>
      </c>
      <c r="B541" s="22" t="str">
        <f>IF(MOV_CC_NACIONAL!A541="","",MOV_CC_NACIONAL!A541)</f>
        <v/>
      </c>
      <c r="C541" s="22" t="str">
        <f>IF(MOV_CC_NACIONAL!B541="","",MOV_CC_NACIONAL!B541)</f>
        <v/>
      </c>
      <c r="D541" s="34" t="str">
        <f>IF(MOV_CC_NACIONAL!C541="","",MOV_CC_NACIONAL!C541)</f>
        <v/>
      </c>
      <c r="E541" s="22" t="str">
        <f t="shared" si="1"/>
        <v/>
      </c>
      <c r="F541" s="22" t="str">
        <f>IFERROR(__xludf.DUMMYFUNCTION("IF(C541="""","""", OR(REGEXMATCH(LOWER(C541),""cuota""), REGEXMATCH(C541,""\d+\s*/\s*\d+"")))"),"")</f>
        <v/>
      </c>
      <c r="G541" s="22" t="str">
        <f>IFERROR(__xludf.DUMMYFUNCTION("IFERROR(VALUE(REGEXEXTRACT(C541,""(\d+)\s*/\s*\d+"")),"""")"),"")</f>
        <v/>
      </c>
      <c r="H541" s="22" t="str">
        <f>IFERROR(__xludf.DUMMYFUNCTION("IFERROR(VALUE(REGEXEXTRACT(C541,""\d+\s*/\s*(\d+)"")),"""")"),"")</f>
        <v/>
      </c>
      <c r="I541" s="22" t="str">
        <f t="shared" si="2"/>
        <v/>
      </c>
      <c r="J541" s="34" t="str">
        <f t="shared" si="3"/>
        <v/>
      </c>
    </row>
    <row r="542" ht="15.75" customHeight="1">
      <c r="A542" s="32" t="s">
        <v>113</v>
      </c>
      <c r="B542" s="32" t="str">
        <f>IF(MOV_CC_NACIONAL!A542="","",MOV_CC_NACIONAL!A542)</f>
        <v/>
      </c>
      <c r="C542" s="32" t="str">
        <f>IF(MOV_CC_NACIONAL!B542="","",MOV_CC_NACIONAL!B542)</f>
        <v/>
      </c>
      <c r="D542" s="33" t="str">
        <f>IF(MOV_CC_NACIONAL!C542="","",MOV_CC_NACIONAL!C542)</f>
        <v/>
      </c>
      <c r="E542" s="32" t="str">
        <f t="shared" si="1"/>
        <v/>
      </c>
      <c r="F542" s="32" t="str">
        <f>IFERROR(__xludf.DUMMYFUNCTION("IF(C542="""","""", OR(REGEXMATCH(LOWER(C542),""cuota""), REGEXMATCH(C542,""\d+\s*/\s*\d+"")))"),"")</f>
        <v/>
      </c>
      <c r="G542" s="32" t="str">
        <f>IFERROR(__xludf.DUMMYFUNCTION("IFERROR(VALUE(REGEXEXTRACT(C542,""(\d+)\s*/\s*\d+"")),"""")"),"")</f>
        <v/>
      </c>
      <c r="H542" s="32" t="str">
        <f>IFERROR(__xludf.DUMMYFUNCTION("IFERROR(VALUE(REGEXEXTRACT(C542,""\d+\s*/\s*(\d+)"")),"""")"),"")</f>
        <v/>
      </c>
      <c r="I542" s="32" t="str">
        <f t="shared" si="2"/>
        <v/>
      </c>
      <c r="J542" s="33" t="str">
        <f t="shared" si="3"/>
        <v/>
      </c>
    </row>
    <row r="543" ht="15.75" customHeight="1">
      <c r="A543" s="22" t="s">
        <v>113</v>
      </c>
      <c r="B543" s="22" t="str">
        <f>IF(MOV_CC_NACIONAL!A543="","",MOV_CC_NACIONAL!A543)</f>
        <v/>
      </c>
      <c r="C543" s="22" t="str">
        <f>IF(MOV_CC_NACIONAL!B543="","",MOV_CC_NACIONAL!B543)</f>
        <v/>
      </c>
      <c r="D543" s="34" t="str">
        <f>IF(MOV_CC_NACIONAL!C543="","",MOV_CC_NACIONAL!C543)</f>
        <v/>
      </c>
      <c r="E543" s="22" t="str">
        <f t="shared" si="1"/>
        <v/>
      </c>
      <c r="F543" s="22" t="str">
        <f>IFERROR(__xludf.DUMMYFUNCTION("IF(C543="""","""", OR(REGEXMATCH(LOWER(C543),""cuota""), REGEXMATCH(C543,""\d+\s*/\s*\d+"")))"),"")</f>
        <v/>
      </c>
      <c r="G543" s="22" t="str">
        <f>IFERROR(__xludf.DUMMYFUNCTION("IFERROR(VALUE(REGEXEXTRACT(C543,""(\d+)\s*/\s*\d+"")),"""")"),"")</f>
        <v/>
      </c>
      <c r="H543" s="22" t="str">
        <f>IFERROR(__xludf.DUMMYFUNCTION("IFERROR(VALUE(REGEXEXTRACT(C543,""\d+\s*/\s*(\d+)"")),"""")"),"")</f>
        <v/>
      </c>
      <c r="I543" s="22" t="str">
        <f t="shared" si="2"/>
        <v/>
      </c>
      <c r="J543" s="34" t="str">
        <f t="shared" si="3"/>
        <v/>
      </c>
    </row>
    <row r="544" ht="15.75" customHeight="1">
      <c r="A544" s="32" t="s">
        <v>113</v>
      </c>
      <c r="B544" s="32" t="str">
        <f>IF(MOV_CC_NACIONAL!A544="","",MOV_CC_NACIONAL!A544)</f>
        <v/>
      </c>
      <c r="C544" s="32" t="str">
        <f>IF(MOV_CC_NACIONAL!B544="","",MOV_CC_NACIONAL!B544)</f>
        <v/>
      </c>
      <c r="D544" s="33" t="str">
        <f>IF(MOV_CC_NACIONAL!C544="","",MOV_CC_NACIONAL!C544)</f>
        <v/>
      </c>
      <c r="E544" s="32" t="str">
        <f t="shared" si="1"/>
        <v/>
      </c>
      <c r="F544" s="32" t="str">
        <f>IFERROR(__xludf.DUMMYFUNCTION("IF(C544="""","""", OR(REGEXMATCH(LOWER(C544),""cuota""), REGEXMATCH(C544,""\d+\s*/\s*\d+"")))"),"")</f>
        <v/>
      </c>
      <c r="G544" s="32" t="str">
        <f>IFERROR(__xludf.DUMMYFUNCTION("IFERROR(VALUE(REGEXEXTRACT(C544,""(\d+)\s*/\s*\d+"")),"""")"),"")</f>
        <v/>
      </c>
      <c r="H544" s="32" t="str">
        <f>IFERROR(__xludf.DUMMYFUNCTION("IFERROR(VALUE(REGEXEXTRACT(C544,""\d+\s*/\s*(\d+)"")),"""")"),"")</f>
        <v/>
      </c>
      <c r="I544" s="32" t="str">
        <f t="shared" si="2"/>
        <v/>
      </c>
      <c r="J544" s="33" t="str">
        <f t="shared" si="3"/>
        <v/>
      </c>
    </row>
    <row r="545" ht="15.75" customHeight="1">
      <c r="A545" s="22" t="s">
        <v>113</v>
      </c>
      <c r="B545" s="22" t="str">
        <f>IF(MOV_CC_NACIONAL!A545="","",MOV_CC_NACIONAL!A545)</f>
        <v/>
      </c>
      <c r="C545" s="22" t="str">
        <f>IF(MOV_CC_NACIONAL!B545="","",MOV_CC_NACIONAL!B545)</f>
        <v/>
      </c>
      <c r="D545" s="34" t="str">
        <f>IF(MOV_CC_NACIONAL!C545="","",MOV_CC_NACIONAL!C545)</f>
        <v/>
      </c>
      <c r="E545" s="22" t="str">
        <f t="shared" si="1"/>
        <v/>
      </c>
      <c r="F545" s="22" t="str">
        <f>IFERROR(__xludf.DUMMYFUNCTION("IF(C545="""","""", OR(REGEXMATCH(LOWER(C545),""cuota""), REGEXMATCH(C545,""\d+\s*/\s*\d+"")))"),"")</f>
        <v/>
      </c>
      <c r="G545" s="22" t="str">
        <f>IFERROR(__xludf.DUMMYFUNCTION("IFERROR(VALUE(REGEXEXTRACT(C545,""(\d+)\s*/\s*\d+"")),"""")"),"")</f>
        <v/>
      </c>
      <c r="H545" s="22" t="str">
        <f>IFERROR(__xludf.DUMMYFUNCTION("IFERROR(VALUE(REGEXEXTRACT(C545,""\d+\s*/\s*(\d+)"")),"""")"),"")</f>
        <v/>
      </c>
      <c r="I545" s="22" t="str">
        <f t="shared" si="2"/>
        <v/>
      </c>
      <c r="J545" s="34" t="str">
        <f t="shared" si="3"/>
        <v/>
      </c>
    </row>
    <row r="546" ht="15.75" customHeight="1">
      <c r="A546" s="32" t="s">
        <v>113</v>
      </c>
      <c r="B546" s="32" t="str">
        <f>IF(MOV_CC_NACIONAL!A546="","",MOV_CC_NACIONAL!A546)</f>
        <v/>
      </c>
      <c r="C546" s="32" t="str">
        <f>IF(MOV_CC_NACIONAL!B546="","",MOV_CC_NACIONAL!B546)</f>
        <v/>
      </c>
      <c r="D546" s="33" t="str">
        <f>IF(MOV_CC_NACIONAL!C546="","",MOV_CC_NACIONAL!C546)</f>
        <v/>
      </c>
      <c r="E546" s="32" t="str">
        <f t="shared" si="1"/>
        <v/>
      </c>
      <c r="F546" s="32" t="str">
        <f>IFERROR(__xludf.DUMMYFUNCTION("IF(C546="""","""", OR(REGEXMATCH(LOWER(C546),""cuota""), REGEXMATCH(C546,""\d+\s*/\s*\d+"")))"),"")</f>
        <v/>
      </c>
      <c r="G546" s="32" t="str">
        <f>IFERROR(__xludf.DUMMYFUNCTION("IFERROR(VALUE(REGEXEXTRACT(C546,""(\d+)\s*/\s*\d+"")),"""")"),"")</f>
        <v/>
      </c>
      <c r="H546" s="32" t="str">
        <f>IFERROR(__xludf.DUMMYFUNCTION("IFERROR(VALUE(REGEXEXTRACT(C546,""\d+\s*/\s*(\d+)"")),"""")"),"")</f>
        <v/>
      </c>
      <c r="I546" s="32" t="str">
        <f t="shared" si="2"/>
        <v/>
      </c>
      <c r="J546" s="33" t="str">
        <f t="shared" si="3"/>
        <v/>
      </c>
    </row>
    <row r="547" ht="15.75" customHeight="1">
      <c r="A547" s="22" t="s">
        <v>113</v>
      </c>
      <c r="B547" s="22" t="str">
        <f>IF(MOV_CC_NACIONAL!A547="","",MOV_CC_NACIONAL!A547)</f>
        <v/>
      </c>
      <c r="C547" s="22" t="str">
        <f>IF(MOV_CC_NACIONAL!B547="","",MOV_CC_NACIONAL!B547)</f>
        <v/>
      </c>
      <c r="D547" s="34" t="str">
        <f>IF(MOV_CC_NACIONAL!C547="","",MOV_CC_NACIONAL!C547)</f>
        <v/>
      </c>
      <c r="E547" s="22" t="str">
        <f t="shared" si="1"/>
        <v/>
      </c>
      <c r="F547" s="22" t="str">
        <f>IFERROR(__xludf.DUMMYFUNCTION("IF(C547="""","""", OR(REGEXMATCH(LOWER(C547),""cuota""), REGEXMATCH(C547,""\d+\s*/\s*\d+"")))"),"")</f>
        <v/>
      </c>
      <c r="G547" s="22" t="str">
        <f>IFERROR(__xludf.DUMMYFUNCTION("IFERROR(VALUE(REGEXEXTRACT(C547,""(\d+)\s*/\s*\d+"")),"""")"),"")</f>
        <v/>
      </c>
      <c r="H547" s="22" t="str">
        <f>IFERROR(__xludf.DUMMYFUNCTION("IFERROR(VALUE(REGEXEXTRACT(C547,""\d+\s*/\s*(\d+)"")),"""")"),"")</f>
        <v/>
      </c>
      <c r="I547" s="22" t="str">
        <f t="shared" si="2"/>
        <v/>
      </c>
      <c r="J547" s="34" t="str">
        <f t="shared" si="3"/>
        <v/>
      </c>
    </row>
    <row r="548" ht="15.75" customHeight="1">
      <c r="A548" s="32" t="s">
        <v>113</v>
      </c>
      <c r="B548" s="32" t="str">
        <f>IF(MOV_CC_NACIONAL!A548="","",MOV_CC_NACIONAL!A548)</f>
        <v/>
      </c>
      <c r="C548" s="32" t="str">
        <f>IF(MOV_CC_NACIONAL!B548="","",MOV_CC_NACIONAL!B548)</f>
        <v/>
      </c>
      <c r="D548" s="33" t="str">
        <f>IF(MOV_CC_NACIONAL!C548="","",MOV_CC_NACIONAL!C548)</f>
        <v/>
      </c>
      <c r="E548" s="32" t="str">
        <f t="shared" si="1"/>
        <v/>
      </c>
      <c r="F548" s="32" t="str">
        <f>IFERROR(__xludf.DUMMYFUNCTION("IF(C548="""","""", OR(REGEXMATCH(LOWER(C548),""cuota""), REGEXMATCH(C548,""\d+\s*/\s*\d+"")))"),"")</f>
        <v/>
      </c>
      <c r="G548" s="32" t="str">
        <f>IFERROR(__xludf.DUMMYFUNCTION("IFERROR(VALUE(REGEXEXTRACT(C548,""(\d+)\s*/\s*\d+"")),"""")"),"")</f>
        <v/>
      </c>
      <c r="H548" s="32" t="str">
        <f>IFERROR(__xludf.DUMMYFUNCTION("IFERROR(VALUE(REGEXEXTRACT(C548,""\d+\s*/\s*(\d+)"")),"""")"),"")</f>
        <v/>
      </c>
      <c r="I548" s="32" t="str">
        <f t="shared" si="2"/>
        <v/>
      </c>
      <c r="J548" s="33" t="str">
        <f t="shared" si="3"/>
        <v/>
      </c>
    </row>
    <row r="549" ht="15.75" customHeight="1">
      <c r="A549" s="22" t="s">
        <v>113</v>
      </c>
      <c r="B549" s="22" t="str">
        <f>IF(MOV_CC_NACIONAL!A549="","",MOV_CC_NACIONAL!A549)</f>
        <v/>
      </c>
      <c r="C549" s="22" t="str">
        <f>IF(MOV_CC_NACIONAL!B549="","",MOV_CC_NACIONAL!B549)</f>
        <v/>
      </c>
      <c r="D549" s="34" t="str">
        <f>IF(MOV_CC_NACIONAL!C549="","",MOV_CC_NACIONAL!C549)</f>
        <v/>
      </c>
      <c r="E549" s="22" t="str">
        <f t="shared" si="1"/>
        <v/>
      </c>
      <c r="F549" s="22" t="str">
        <f>IFERROR(__xludf.DUMMYFUNCTION("IF(C549="""","""", OR(REGEXMATCH(LOWER(C549),""cuota""), REGEXMATCH(C549,""\d+\s*/\s*\d+"")))"),"")</f>
        <v/>
      </c>
      <c r="G549" s="22" t="str">
        <f>IFERROR(__xludf.DUMMYFUNCTION("IFERROR(VALUE(REGEXEXTRACT(C549,""(\d+)\s*/\s*\d+"")),"""")"),"")</f>
        <v/>
      </c>
      <c r="H549" s="22" t="str">
        <f>IFERROR(__xludf.DUMMYFUNCTION("IFERROR(VALUE(REGEXEXTRACT(C549,""\d+\s*/\s*(\d+)"")),"""")"),"")</f>
        <v/>
      </c>
      <c r="I549" s="22" t="str">
        <f t="shared" si="2"/>
        <v/>
      </c>
      <c r="J549" s="34" t="str">
        <f t="shared" si="3"/>
        <v/>
      </c>
    </row>
    <row r="550" ht="15.75" customHeight="1">
      <c r="A550" s="32" t="s">
        <v>113</v>
      </c>
      <c r="B550" s="32" t="str">
        <f>IF(MOV_CC_NACIONAL!A550="","",MOV_CC_NACIONAL!A550)</f>
        <v/>
      </c>
      <c r="C550" s="32" t="str">
        <f>IF(MOV_CC_NACIONAL!B550="","",MOV_CC_NACIONAL!B550)</f>
        <v/>
      </c>
      <c r="D550" s="33" t="str">
        <f>IF(MOV_CC_NACIONAL!C550="","",MOV_CC_NACIONAL!C550)</f>
        <v/>
      </c>
      <c r="E550" s="32" t="str">
        <f t="shared" si="1"/>
        <v/>
      </c>
      <c r="F550" s="32" t="str">
        <f>IFERROR(__xludf.DUMMYFUNCTION("IF(C550="""","""", OR(REGEXMATCH(LOWER(C550),""cuota""), REGEXMATCH(C550,""\d+\s*/\s*\d+"")))"),"")</f>
        <v/>
      </c>
      <c r="G550" s="32" t="str">
        <f>IFERROR(__xludf.DUMMYFUNCTION("IFERROR(VALUE(REGEXEXTRACT(C550,""(\d+)\s*/\s*\d+"")),"""")"),"")</f>
        <v/>
      </c>
      <c r="H550" s="32" t="str">
        <f>IFERROR(__xludf.DUMMYFUNCTION("IFERROR(VALUE(REGEXEXTRACT(C550,""\d+\s*/\s*(\d+)"")),"""")"),"")</f>
        <v/>
      </c>
      <c r="I550" s="32" t="str">
        <f t="shared" si="2"/>
        <v/>
      </c>
      <c r="J550" s="33" t="str">
        <f t="shared" si="3"/>
        <v/>
      </c>
    </row>
    <row r="551" ht="15.75" customHeight="1">
      <c r="A551" s="22" t="s">
        <v>113</v>
      </c>
      <c r="B551" s="22" t="str">
        <f>IF(MOV_CC_NACIONAL!A551="","",MOV_CC_NACIONAL!A551)</f>
        <v/>
      </c>
      <c r="C551" s="22" t="str">
        <f>IF(MOV_CC_NACIONAL!B551="","",MOV_CC_NACIONAL!B551)</f>
        <v/>
      </c>
      <c r="D551" s="34" t="str">
        <f>IF(MOV_CC_NACIONAL!C551="","",MOV_CC_NACIONAL!C551)</f>
        <v/>
      </c>
      <c r="E551" s="22" t="str">
        <f t="shared" si="1"/>
        <v/>
      </c>
      <c r="F551" s="22" t="str">
        <f>IFERROR(__xludf.DUMMYFUNCTION("IF(C551="""","""", OR(REGEXMATCH(LOWER(C551),""cuota""), REGEXMATCH(C551,""\d+\s*/\s*\d+"")))"),"")</f>
        <v/>
      </c>
      <c r="G551" s="22" t="str">
        <f>IFERROR(__xludf.DUMMYFUNCTION("IFERROR(VALUE(REGEXEXTRACT(C551,""(\d+)\s*/\s*\d+"")),"""")"),"")</f>
        <v/>
      </c>
      <c r="H551" s="22" t="str">
        <f>IFERROR(__xludf.DUMMYFUNCTION("IFERROR(VALUE(REGEXEXTRACT(C551,""\d+\s*/\s*(\d+)"")),"""")"),"")</f>
        <v/>
      </c>
      <c r="I551" s="22" t="str">
        <f t="shared" si="2"/>
        <v/>
      </c>
      <c r="J551" s="34" t="str">
        <f t="shared" si="3"/>
        <v/>
      </c>
    </row>
    <row r="552" ht="15.75" customHeight="1">
      <c r="A552" s="32" t="s">
        <v>113</v>
      </c>
      <c r="B552" s="32" t="str">
        <f>IF(MOV_CC_NACIONAL!A552="","",MOV_CC_NACIONAL!A552)</f>
        <v/>
      </c>
      <c r="C552" s="32" t="str">
        <f>IF(MOV_CC_NACIONAL!B552="","",MOV_CC_NACIONAL!B552)</f>
        <v/>
      </c>
      <c r="D552" s="33" t="str">
        <f>IF(MOV_CC_NACIONAL!C552="","",MOV_CC_NACIONAL!C552)</f>
        <v/>
      </c>
      <c r="E552" s="32" t="str">
        <f t="shared" si="1"/>
        <v/>
      </c>
      <c r="F552" s="32" t="str">
        <f>IFERROR(__xludf.DUMMYFUNCTION("IF(C552="""","""", OR(REGEXMATCH(LOWER(C552),""cuota""), REGEXMATCH(C552,""\d+\s*/\s*\d+"")))"),"")</f>
        <v/>
      </c>
      <c r="G552" s="32" t="str">
        <f>IFERROR(__xludf.DUMMYFUNCTION("IFERROR(VALUE(REGEXEXTRACT(C552,""(\d+)\s*/\s*\d+"")),"""")"),"")</f>
        <v/>
      </c>
      <c r="H552" s="32" t="str">
        <f>IFERROR(__xludf.DUMMYFUNCTION("IFERROR(VALUE(REGEXEXTRACT(C552,""\d+\s*/\s*(\d+)"")),"""")"),"")</f>
        <v/>
      </c>
      <c r="I552" s="32" t="str">
        <f t="shared" si="2"/>
        <v/>
      </c>
      <c r="J552" s="33" t="str">
        <f t="shared" si="3"/>
        <v/>
      </c>
    </row>
    <row r="553" ht="15.75" customHeight="1">
      <c r="A553" s="22" t="s">
        <v>113</v>
      </c>
      <c r="B553" s="22" t="str">
        <f>IF(MOV_CC_NACIONAL!A553="","",MOV_CC_NACIONAL!A553)</f>
        <v/>
      </c>
      <c r="C553" s="22" t="str">
        <f>IF(MOV_CC_NACIONAL!B553="","",MOV_CC_NACIONAL!B553)</f>
        <v/>
      </c>
      <c r="D553" s="34" t="str">
        <f>IF(MOV_CC_NACIONAL!C553="","",MOV_CC_NACIONAL!C553)</f>
        <v/>
      </c>
      <c r="E553" s="22" t="str">
        <f t="shared" si="1"/>
        <v/>
      </c>
      <c r="F553" s="22" t="str">
        <f>IFERROR(__xludf.DUMMYFUNCTION("IF(C553="""","""", OR(REGEXMATCH(LOWER(C553),""cuota""), REGEXMATCH(C553,""\d+\s*/\s*\d+"")))"),"")</f>
        <v/>
      </c>
      <c r="G553" s="22" t="str">
        <f>IFERROR(__xludf.DUMMYFUNCTION("IFERROR(VALUE(REGEXEXTRACT(C553,""(\d+)\s*/\s*\d+"")),"""")"),"")</f>
        <v/>
      </c>
      <c r="H553" s="22" t="str">
        <f>IFERROR(__xludf.DUMMYFUNCTION("IFERROR(VALUE(REGEXEXTRACT(C553,""\d+\s*/\s*(\d+)"")),"""")"),"")</f>
        <v/>
      </c>
      <c r="I553" s="22" t="str">
        <f t="shared" si="2"/>
        <v/>
      </c>
      <c r="J553" s="34" t="str">
        <f t="shared" si="3"/>
        <v/>
      </c>
    </row>
    <row r="554" ht="15.75" customHeight="1">
      <c r="A554" s="32" t="s">
        <v>113</v>
      </c>
      <c r="B554" s="32" t="str">
        <f>IF(MOV_CC_NACIONAL!A554="","",MOV_CC_NACIONAL!A554)</f>
        <v/>
      </c>
      <c r="C554" s="32" t="str">
        <f>IF(MOV_CC_NACIONAL!B554="","",MOV_CC_NACIONAL!B554)</f>
        <v/>
      </c>
      <c r="D554" s="33" t="str">
        <f>IF(MOV_CC_NACIONAL!C554="","",MOV_CC_NACIONAL!C554)</f>
        <v/>
      </c>
      <c r="E554" s="32" t="str">
        <f t="shared" si="1"/>
        <v/>
      </c>
      <c r="F554" s="32" t="str">
        <f>IFERROR(__xludf.DUMMYFUNCTION("IF(C554="""","""", OR(REGEXMATCH(LOWER(C554),""cuota""), REGEXMATCH(C554,""\d+\s*/\s*\d+"")))"),"")</f>
        <v/>
      </c>
      <c r="G554" s="32" t="str">
        <f>IFERROR(__xludf.DUMMYFUNCTION("IFERROR(VALUE(REGEXEXTRACT(C554,""(\d+)\s*/\s*\d+"")),"""")"),"")</f>
        <v/>
      </c>
      <c r="H554" s="32" t="str">
        <f>IFERROR(__xludf.DUMMYFUNCTION("IFERROR(VALUE(REGEXEXTRACT(C554,""\d+\s*/\s*(\d+)"")),"""")"),"")</f>
        <v/>
      </c>
      <c r="I554" s="32" t="str">
        <f t="shared" si="2"/>
        <v/>
      </c>
      <c r="J554" s="33" t="str">
        <f t="shared" si="3"/>
        <v/>
      </c>
    </row>
    <row r="555" ht="15.75" customHeight="1">
      <c r="A555" s="22" t="s">
        <v>113</v>
      </c>
      <c r="B555" s="22" t="str">
        <f>IF(MOV_CC_NACIONAL!A555="","",MOV_CC_NACIONAL!A555)</f>
        <v/>
      </c>
      <c r="C555" s="22" t="str">
        <f>IF(MOV_CC_NACIONAL!B555="","",MOV_CC_NACIONAL!B555)</f>
        <v/>
      </c>
      <c r="D555" s="34" t="str">
        <f>IF(MOV_CC_NACIONAL!C555="","",MOV_CC_NACIONAL!C555)</f>
        <v/>
      </c>
      <c r="E555" s="22" t="str">
        <f t="shared" si="1"/>
        <v/>
      </c>
      <c r="F555" s="22" t="str">
        <f>IFERROR(__xludf.DUMMYFUNCTION("IF(C555="""","""", OR(REGEXMATCH(LOWER(C555),""cuota""), REGEXMATCH(C555,""\d+\s*/\s*\d+"")))"),"")</f>
        <v/>
      </c>
      <c r="G555" s="22" t="str">
        <f>IFERROR(__xludf.DUMMYFUNCTION("IFERROR(VALUE(REGEXEXTRACT(C555,""(\d+)\s*/\s*\d+"")),"""")"),"")</f>
        <v/>
      </c>
      <c r="H555" s="22" t="str">
        <f>IFERROR(__xludf.DUMMYFUNCTION("IFERROR(VALUE(REGEXEXTRACT(C555,""\d+\s*/\s*(\d+)"")),"""")"),"")</f>
        <v/>
      </c>
      <c r="I555" s="22" t="str">
        <f t="shared" si="2"/>
        <v/>
      </c>
      <c r="J555" s="34" t="str">
        <f t="shared" si="3"/>
        <v/>
      </c>
    </row>
    <row r="556" ht="15.75" customHeight="1">
      <c r="A556" s="32" t="s">
        <v>113</v>
      </c>
      <c r="B556" s="32" t="str">
        <f>IF(MOV_CC_NACIONAL!A556="","",MOV_CC_NACIONAL!A556)</f>
        <v/>
      </c>
      <c r="C556" s="32" t="str">
        <f>IF(MOV_CC_NACIONAL!B556="","",MOV_CC_NACIONAL!B556)</f>
        <v/>
      </c>
      <c r="D556" s="33" t="str">
        <f>IF(MOV_CC_NACIONAL!C556="","",MOV_CC_NACIONAL!C556)</f>
        <v/>
      </c>
      <c r="E556" s="32" t="str">
        <f t="shared" si="1"/>
        <v/>
      </c>
      <c r="F556" s="32" t="str">
        <f>IFERROR(__xludf.DUMMYFUNCTION("IF(C556="""","""", OR(REGEXMATCH(LOWER(C556),""cuota""), REGEXMATCH(C556,""\d+\s*/\s*\d+"")))"),"")</f>
        <v/>
      </c>
      <c r="G556" s="32" t="str">
        <f>IFERROR(__xludf.DUMMYFUNCTION("IFERROR(VALUE(REGEXEXTRACT(C556,""(\d+)\s*/\s*\d+"")),"""")"),"")</f>
        <v/>
      </c>
      <c r="H556" s="32" t="str">
        <f>IFERROR(__xludf.DUMMYFUNCTION("IFERROR(VALUE(REGEXEXTRACT(C556,""\d+\s*/\s*(\d+)"")),"""")"),"")</f>
        <v/>
      </c>
      <c r="I556" s="32" t="str">
        <f t="shared" si="2"/>
        <v/>
      </c>
      <c r="J556" s="33" t="str">
        <f t="shared" si="3"/>
        <v/>
      </c>
    </row>
    <row r="557" ht="15.75" customHeight="1">
      <c r="A557" s="22" t="s">
        <v>113</v>
      </c>
      <c r="B557" s="22" t="str">
        <f>IF(MOV_CC_NACIONAL!A557="","",MOV_CC_NACIONAL!A557)</f>
        <v/>
      </c>
      <c r="C557" s="22" t="str">
        <f>IF(MOV_CC_NACIONAL!B557="","",MOV_CC_NACIONAL!B557)</f>
        <v/>
      </c>
      <c r="D557" s="34" t="str">
        <f>IF(MOV_CC_NACIONAL!C557="","",MOV_CC_NACIONAL!C557)</f>
        <v/>
      </c>
      <c r="E557" s="22" t="str">
        <f t="shared" si="1"/>
        <v/>
      </c>
      <c r="F557" s="22" t="str">
        <f>IFERROR(__xludf.DUMMYFUNCTION("IF(C557="""","""", OR(REGEXMATCH(LOWER(C557),""cuota""), REGEXMATCH(C557,""\d+\s*/\s*\d+"")))"),"")</f>
        <v/>
      </c>
      <c r="G557" s="22" t="str">
        <f>IFERROR(__xludf.DUMMYFUNCTION("IFERROR(VALUE(REGEXEXTRACT(C557,""(\d+)\s*/\s*\d+"")),"""")"),"")</f>
        <v/>
      </c>
      <c r="H557" s="22" t="str">
        <f>IFERROR(__xludf.DUMMYFUNCTION("IFERROR(VALUE(REGEXEXTRACT(C557,""\d+\s*/\s*(\d+)"")),"""")"),"")</f>
        <v/>
      </c>
      <c r="I557" s="22" t="str">
        <f t="shared" si="2"/>
        <v/>
      </c>
      <c r="J557" s="34" t="str">
        <f t="shared" si="3"/>
        <v/>
      </c>
    </row>
    <row r="558" ht="15.75" customHeight="1">
      <c r="A558" s="32" t="s">
        <v>113</v>
      </c>
      <c r="B558" s="32" t="str">
        <f>IF(MOV_CC_NACIONAL!A558="","",MOV_CC_NACIONAL!A558)</f>
        <v/>
      </c>
      <c r="C558" s="32" t="str">
        <f>IF(MOV_CC_NACIONAL!B558="","",MOV_CC_NACIONAL!B558)</f>
        <v/>
      </c>
      <c r="D558" s="33" t="str">
        <f>IF(MOV_CC_NACIONAL!C558="","",MOV_CC_NACIONAL!C558)</f>
        <v/>
      </c>
      <c r="E558" s="32" t="str">
        <f t="shared" si="1"/>
        <v/>
      </c>
      <c r="F558" s="32" t="str">
        <f>IFERROR(__xludf.DUMMYFUNCTION("IF(C558="""","""", OR(REGEXMATCH(LOWER(C558),""cuota""), REGEXMATCH(C558,""\d+\s*/\s*\d+"")))"),"")</f>
        <v/>
      </c>
      <c r="G558" s="32" t="str">
        <f>IFERROR(__xludf.DUMMYFUNCTION("IFERROR(VALUE(REGEXEXTRACT(C558,""(\d+)\s*/\s*\d+"")),"""")"),"")</f>
        <v/>
      </c>
      <c r="H558" s="32" t="str">
        <f>IFERROR(__xludf.DUMMYFUNCTION("IFERROR(VALUE(REGEXEXTRACT(C558,""\d+\s*/\s*(\d+)"")),"""")"),"")</f>
        <v/>
      </c>
      <c r="I558" s="32" t="str">
        <f t="shared" si="2"/>
        <v/>
      </c>
      <c r="J558" s="33" t="str">
        <f t="shared" si="3"/>
        <v/>
      </c>
    </row>
    <row r="559" ht="15.75" customHeight="1">
      <c r="A559" s="22" t="s">
        <v>113</v>
      </c>
      <c r="B559" s="22" t="str">
        <f>IF(MOV_CC_NACIONAL!A559="","",MOV_CC_NACIONAL!A559)</f>
        <v/>
      </c>
      <c r="C559" s="22" t="str">
        <f>IF(MOV_CC_NACIONAL!B559="","",MOV_CC_NACIONAL!B559)</f>
        <v/>
      </c>
      <c r="D559" s="34" t="str">
        <f>IF(MOV_CC_NACIONAL!C559="","",MOV_CC_NACIONAL!C559)</f>
        <v/>
      </c>
      <c r="E559" s="22" t="str">
        <f t="shared" si="1"/>
        <v/>
      </c>
      <c r="F559" s="22" t="str">
        <f>IFERROR(__xludf.DUMMYFUNCTION("IF(C559="""","""", OR(REGEXMATCH(LOWER(C559),""cuota""), REGEXMATCH(C559,""\d+\s*/\s*\d+"")))"),"")</f>
        <v/>
      </c>
      <c r="G559" s="22" t="str">
        <f>IFERROR(__xludf.DUMMYFUNCTION("IFERROR(VALUE(REGEXEXTRACT(C559,""(\d+)\s*/\s*\d+"")),"""")"),"")</f>
        <v/>
      </c>
      <c r="H559" s="22" t="str">
        <f>IFERROR(__xludf.DUMMYFUNCTION("IFERROR(VALUE(REGEXEXTRACT(C559,""\d+\s*/\s*(\d+)"")),"""")"),"")</f>
        <v/>
      </c>
      <c r="I559" s="22" t="str">
        <f t="shared" si="2"/>
        <v/>
      </c>
      <c r="J559" s="34" t="str">
        <f t="shared" si="3"/>
        <v/>
      </c>
    </row>
    <row r="560" ht="15.75" customHeight="1">
      <c r="A560" s="32" t="s">
        <v>113</v>
      </c>
      <c r="B560" s="32" t="str">
        <f>IF(MOV_CC_NACIONAL!A560="","",MOV_CC_NACIONAL!A560)</f>
        <v/>
      </c>
      <c r="C560" s="32" t="str">
        <f>IF(MOV_CC_NACIONAL!B560="","",MOV_CC_NACIONAL!B560)</f>
        <v/>
      </c>
      <c r="D560" s="33" t="str">
        <f>IF(MOV_CC_NACIONAL!C560="","",MOV_CC_NACIONAL!C560)</f>
        <v/>
      </c>
      <c r="E560" s="32" t="str">
        <f t="shared" si="1"/>
        <v/>
      </c>
      <c r="F560" s="32" t="str">
        <f>IFERROR(__xludf.DUMMYFUNCTION("IF(C560="""","""", OR(REGEXMATCH(LOWER(C560),""cuota""), REGEXMATCH(C560,""\d+\s*/\s*\d+"")))"),"")</f>
        <v/>
      </c>
      <c r="G560" s="32" t="str">
        <f>IFERROR(__xludf.DUMMYFUNCTION("IFERROR(VALUE(REGEXEXTRACT(C560,""(\d+)\s*/\s*\d+"")),"""")"),"")</f>
        <v/>
      </c>
      <c r="H560" s="32" t="str">
        <f>IFERROR(__xludf.DUMMYFUNCTION("IFERROR(VALUE(REGEXEXTRACT(C560,""\d+\s*/\s*(\d+)"")),"""")"),"")</f>
        <v/>
      </c>
      <c r="I560" s="32" t="str">
        <f t="shared" si="2"/>
        <v/>
      </c>
      <c r="J560" s="33" t="str">
        <f t="shared" si="3"/>
        <v/>
      </c>
    </row>
    <row r="561" ht="15.75" customHeight="1">
      <c r="A561" s="22" t="s">
        <v>113</v>
      </c>
      <c r="B561" s="22" t="str">
        <f>IF(MOV_CC_NACIONAL!A561="","",MOV_CC_NACIONAL!A561)</f>
        <v/>
      </c>
      <c r="C561" s="22" t="str">
        <f>IF(MOV_CC_NACIONAL!B561="","",MOV_CC_NACIONAL!B561)</f>
        <v/>
      </c>
      <c r="D561" s="34" t="str">
        <f>IF(MOV_CC_NACIONAL!C561="","",MOV_CC_NACIONAL!C561)</f>
        <v/>
      </c>
      <c r="E561" s="22" t="str">
        <f t="shared" si="1"/>
        <v/>
      </c>
      <c r="F561" s="22" t="str">
        <f>IFERROR(__xludf.DUMMYFUNCTION("IF(C561="""","""", OR(REGEXMATCH(LOWER(C561),""cuota""), REGEXMATCH(C561,""\d+\s*/\s*\d+"")))"),"")</f>
        <v/>
      </c>
      <c r="G561" s="22" t="str">
        <f>IFERROR(__xludf.DUMMYFUNCTION("IFERROR(VALUE(REGEXEXTRACT(C561,""(\d+)\s*/\s*\d+"")),"""")"),"")</f>
        <v/>
      </c>
      <c r="H561" s="22" t="str">
        <f>IFERROR(__xludf.DUMMYFUNCTION("IFERROR(VALUE(REGEXEXTRACT(C561,""\d+\s*/\s*(\d+)"")),"""")"),"")</f>
        <v/>
      </c>
      <c r="I561" s="22" t="str">
        <f t="shared" si="2"/>
        <v/>
      </c>
      <c r="J561" s="34" t="str">
        <f t="shared" si="3"/>
        <v/>
      </c>
    </row>
    <row r="562" ht="15.75" customHeight="1">
      <c r="A562" s="32" t="s">
        <v>113</v>
      </c>
      <c r="B562" s="32" t="str">
        <f>IF(MOV_CC_NACIONAL!A562="","",MOV_CC_NACIONAL!A562)</f>
        <v/>
      </c>
      <c r="C562" s="32" t="str">
        <f>IF(MOV_CC_NACIONAL!B562="","",MOV_CC_NACIONAL!B562)</f>
        <v/>
      </c>
      <c r="D562" s="33" t="str">
        <f>IF(MOV_CC_NACIONAL!C562="","",MOV_CC_NACIONAL!C562)</f>
        <v/>
      </c>
      <c r="E562" s="32" t="str">
        <f t="shared" si="1"/>
        <v/>
      </c>
      <c r="F562" s="32" t="str">
        <f>IFERROR(__xludf.DUMMYFUNCTION("IF(C562="""","""", OR(REGEXMATCH(LOWER(C562),""cuota""), REGEXMATCH(C562,""\d+\s*/\s*\d+"")))"),"")</f>
        <v/>
      </c>
      <c r="G562" s="32" t="str">
        <f>IFERROR(__xludf.DUMMYFUNCTION("IFERROR(VALUE(REGEXEXTRACT(C562,""(\d+)\s*/\s*\d+"")),"""")"),"")</f>
        <v/>
      </c>
      <c r="H562" s="32" t="str">
        <f>IFERROR(__xludf.DUMMYFUNCTION("IFERROR(VALUE(REGEXEXTRACT(C562,""\d+\s*/\s*(\d+)"")),"""")"),"")</f>
        <v/>
      </c>
      <c r="I562" s="32" t="str">
        <f t="shared" si="2"/>
        <v/>
      </c>
      <c r="J562" s="33" t="str">
        <f t="shared" si="3"/>
        <v/>
      </c>
    </row>
    <row r="563" ht="15.75" customHeight="1">
      <c r="A563" s="22" t="s">
        <v>113</v>
      </c>
      <c r="B563" s="22" t="str">
        <f>IF(MOV_CC_NACIONAL!A563="","",MOV_CC_NACIONAL!A563)</f>
        <v/>
      </c>
      <c r="C563" s="22" t="str">
        <f>IF(MOV_CC_NACIONAL!B563="","",MOV_CC_NACIONAL!B563)</f>
        <v/>
      </c>
      <c r="D563" s="34" t="str">
        <f>IF(MOV_CC_NACIONAL!C563="","",MOV_CC_NACIONAL!C563)</f>
        <v/>
      </c>
      <c r="E563" s="22" t="str">
        <f t="shared" si="1"/>
        <v/>
      </c>
      <c r="F563" s="22" t="str">
        <f>IFERROR(__xludf.DUMMYFUNCTION("IF(C563="""","""", OR(REGEXMATCH(LOWER(C563),""cuota""), REGEXMATCH(C563,""\d+\s*/\s*\d+"")))"),"")</f>
        <v/>
      </c>
      <c r="G563" s="22" t="str">
        <f>IFERROR(__xludf.DUMMYFUNCTION("IFERROR(VALUE(REGEXEXTRACT(C563,""(\d+)\s*/\s*\d+"")),"""")"),"")</f>
        <v/>
      </c>
      <c r="H563" s="22" t="str">
        <f>IFERROR(__xludf.DUMMYFUNCTION("IFERROR(VALUE(REGEXEXTRACT(C563,""\d+\s*/\s*(\d+)"")),"""")"),"")</f>
        <v/>
      </c>
      <c r="I563" s="22" t="str">
        <f t="shared" si="2"/>
        <v/>
      </c>
      <c r="J563" s="34" t="str">
        <f t="shared" si="3"/>
        <v/>
      </c>
    </row>
    <row r="564" ht="15.75" customHeight="1">
      <c r="A564" s="32" t="s">
        <v>113</v>
      </c>
      <c r="B564" s="32" t="str">
        <f>IF(MOV_CC_NACIONAL!A564="","",MOV_CC_NACIONAL!A564)</f>
        <v/>
      </c>
      <c r="C564" s="32" t="str">
        <f>IF(MOV_CC_NACIONAL!B564="","",MOV_CC_NACIONAL!B564)</f>
        <v/>
      </c>
      <c r="D564" s="33" t="str">
        <f>IF(MOV_CC_NACIONAL!C564="","",MOV_CC_NACIONAL!C564)</f>
        <v/>
      </c>
      <c r="E564" s="32" t="str">
        <f t="shared" si="1"/>
        <v/>
      </c>
      <c r="F564" s="32" t="str">
        <f>IFERROR(__xludf.DUMMYFUNCTION("IF(C564="""","""", OR(REGEXMATCH(LOWER(C564),""cuota""), REGEXMATCH(C564,""\d+\s*/\s*\d+"")))"),"")</f>
        <v/>
      </c>
      <c r="G564" s="32" t="str">
        <f>IFERROR(__xludf.DUMMYFUNCTION("IFERROR(VALUE(REGEXEXTRACT(C564,""(\d+)\s*/\s*\d+"")),"""")"),"")</f>
        <v/>
      </c>
      <c r="H564" s="32" t="str">
        <f>IFERROR(__xludf.DUMMYFUNCTION("IFERROR(VALUE(REGEXEXTRACT(C564,""\d+\s*/\s*(\d+)"")),"""")"),"")</f>
        <v/>
      </c>
      <c r="I564" s="32" t="str">
        <f t="shared" si="2"/>
        <v/>
      </c>
      <c r="J564" s="33" t="str">
        <f t="shared" si="3"/>
        <v/>
      </c>
    </row>
    <row r="565" ht="15.75" customHeight="1">
      <c r="A565" s="22" t="s">
        <v>113</v>
      </c>
      <c r="B565" s="22" t="str">
        <f>IF(MOV_CC_NACIONAL!A565="","",MOV_CC_NACIONAL!A565)</f>
        <v/>
      </c>
      <c r="C565" s="22" t="str">
        <f>IF(MOV_CC_NACIONAL!B565="","",MOV_CC_NACIONAL!B565)</f>
        <v/>
      </c>
      <c r="D565" s="34" t="str">
        <f>IF(MOV_CC_NACIONAL!C565="","",MOV_CC_NACIONAL!C565)</f>
        <v/>
      </c>
      <c r="E565" s="22" t="str">
        <f t="shared" si="1"/>
        <v/>
      </c>
      <c r="F565" s="22" t="str">
        <f>IFERROR(__xludf.DUMMYFUNCTION("IF(C565="""","""", OR(REGEXMATCH(LOWER(C565),""cuota""), REGEXMATCH(C565,""\d+\s*/\s*\d+"")))"),"")</f>
        <v/>
      </c>
      <c r="G565" s="22" t="str">
        <f>IFERROR(__xludf.DUMMYFUNCTION("IFERROR(VALUE(REGEXEXTRACT(C565,""(\d+)\s*/\s*\d+"")),"""")"),"")</f>
        <v/>
      </c>
      <c r="H565" s="22" t="str">
        <f>IFERROR(__xludf.DUMMYFUNCTION("IFERROR(VALUE(REGEXEXTRACT(C565,""\d+\s*/\s*(\d+)"")),"""")"),"")</f>
        <v/>
      </c>
      <c r="I565" s="22" t="str">
        <f t="shared" si="2"/>
        <v/>
      </c>
      <c r="J565" s="34" t="str">
        <f t="shared" si="3"/>
        <v/>
      </c>
    </row>
    <row r="566" ht="15.75" customHeight="1">
      <c r="A566" s="32" t="s">
        <v>113</v>
      </c>
      <c r="B566" s="32" t="str">
        <f>IF(MOV_CC_NACIONAL!A566="","",MOV_CC_NACIONAL!A566)</f>
        <v/>
      </c>
      <c r="C566" s="32" t="str">
        <f>IF(MOV_CC_NACIONAL!B566="","",MOV_CC_NACIONAL!B566)</f>
        <v/>
      </c>
      <c r="D566" s="33" t="str">
        <f>IF(MOV_CC_NACIONAL!C566="","",MOV_CC_NACIONAL!C566)</f>
        <v/>
      </c>
      <c r="E566" s="32" t="str">
        <f t="shared" si="1"/>
        <v/>
      </c>
      <c r="F566" s="32" t="str">
        <f>IFERROR(__xludf.DUMMYFUNCTION("IF(C566="""","""", OR(REGEXMATCH(LOWER(C566),""cuota""), REGEXMATCH(C566,""\d+\s*/\s*\d+"")))"),"")</f>
        <v/>
      </c>
      <c r="G566" s="32" t="str">
        <f>IFERROR(__xludf.DUMMYFUNCTION("IFERROR(VALUE(REGEXEXTRACT(C566,""(\d+)\s*/\s*\d+"")),"""")"),"")</f>
        <v/>
      </c>
      <c r="H566" s="32" t="str">
        <f>IFERROR(__xludf.DUMMYFUNCTION("IFERROR(VALUE(REGEXEXTRACT(C566,""\d+\s*/\s*(\d+)"")),"""")"),"")</f>
        <v/>
      </c>
      <c r="I566" s="32" t="str">
        <f t="shared" si="2"/>
        <v/>
      </c>
      <c r="J566" s="33" t="str">
        <f t="shared" si="3"/>
        <v/>
      </c>
    </row>
    <row r="567" ht="15.75" customHeight="1">
      <c r="A567" s="22" t="s">
        <v>113</v>
      </c>
      <c r="B567" s="22" t="str">
        <f>IF(MOV_CC_NACIONAL!A567="","",MOV_CC_NACIONAL!A567)</f>
        <v/>
      </c>
      <c r="C567" s="22" t="str">
        <f>IF(MOV_CC_NACIONAL!B567="","",MOV_CC_NACIONAL!B567)</f>
        <v/>
      </c>
      <c r="D567" s="34" t="str">
        <f>IF(MOV_CC_NACIONAL!C567="","",MOV_CC_NACIONAL!C567)</f>
        <v/>
      </c>
      <c r="E567" s="22" t="str">
        <f t="shared" si="1"/>
        <v/>
      </c>
      <c r="F567" s="22" t="str">
        <f>IFERROR(__xludf.DUMMYFUNCTION("IF(C567="""","""", OR(REGEXMATCH(LOWER(C567),""cuota""), REGEXMATCH(C567,""\d+\s*/\s*\d+"")))"),"")</f>
        <v/>
      </c>
      <c r="G567" s="22" t="str">
        <f>IFERROR(__xludf.DUMMYFUNCTION("IFERROR(VALUE(REGEXEXTRACT(C567,""(\d+)\s*/\s*\d+"")),"""")"),"")</f>
        <v/>
      </c>
      <c r="H567" s="22" t="str">
        <f>IFERROR(__xludf.DUMMYFUNCTION("IFERROR(VALUE(REGEXEXTRACT(C567,""\d+\s*/\s*(\d+)"")),"""")"),"")</f>
        <v/>
      </c>
      <c r="I567" s="22" t="str">
        <f t="shared" si="2"/>
        <v/>
      </c>
      <c r="J567" s="34" t="str">
        <f t="shared" si="3"/>
        <v/>
      </c>
    </row>
    <row r="568" ht="15.75" customHeight="1">
      <c r="A568" s="32" t="s">
        <v>113</v>
      </c>
      <c r="B568" s="32" t="str">
        <f>IF(MOV_CC_NACIONAL!A568="","",MOV_CC_NACIONAL!A568)</f>
        <v/>
      </c>
      <c r="C568" s="32" t="str">
        <f>IF(MOV_CC_NACIONAL!B568="","",MOV_CC_NACIONAL!B568)</f>
        <v/>
      </c>
      <c r="D568" s="33" t="str">
        <f>IF(MOV_CC_NACIONAL!C568="","",MOV_CC_NACIONAL!C568)</f>
        <v/>
      </c>
      <c r="E568" s="32" t="str">
        <f t="shared" si="1"/>
        <v/>
      </c>
      <c r="F568" s="32" t="str">
        <f>IFERROR(__xludf.DUMMYFUNCTION("IF(C568="""","""", OR(REGEXMATCH(LOWER(C568),""cuota""), REGEXMATCH(C568,""\d+\s*/\s*\d+"")))"),"")</f>
        <v/>
      </c>
      <c r="G568" s="32" t="str">
        <f>IFERROR(__xludf.DUMMYFUNCTION("IFERROR(VALUE(REGEXEXTRACT(C568,""(\d+)\s*/\s*\d+"")),"""")"),"")</f>
        <v/>
      </c>
      <c r="H568" s="32" t="str">
        <f>IFERROR(__xludf.DUMMYFUNCTION("IFERROR(VALUE(REGEXEXTRACT(C568,""\d+\s*/\s*(\d+)"")),"""")"),"")</f>
        <v/>
      </c>
      <c r="I568" s="32" t="str">
        <f t="shared" si="2"/>
        <v/>
      </c>
      <c r="J568" s="33" t="str">
        <f t="shared" si="3"/>
        <v/>
      </c>
    </row>
    <row r="569" ht="15.75" customHeight="1">
      <c r="A569" s="22" t="s">
        <v>113</v>
      </c>
      <c r="B569" s="22" t="str">
        <f>IF(MOV_CC_NACIONAL!A569="","",MOV_CC_NACIONAL!A569)</f>
        <v/>
      </c>
      <c r="C569" s="22" t="str">
        <f>IF(MOV_CC_NACIONAL!B569="","",MOV_CC_NACIONAL!B569)</f>
        <v/>
      </c>
      <c r="D569" s="34" t="str">
        <f>IF(MOV_CC_NACIONAL!C569="","",MOV_CC_NACIONAL!C569)</f>
        <v/>
      </c>
      <c r="E569" s="22" t="str">
        <f t="shared" si="1"/>
        <v/>
      </c>
      <c r="F569" s="22" t="str">
        <f>IFERROR(__xludf.DUMMYFUNCTION("IF(C569="""","""", OR(REGEXMATCH(LOWER(C569),""cuota""), REGEXMATCH(C569,""\d+\s*/\s*\d+"")))"),"")</f>
        <v/>
      </c>
      <c r="G569" s="22" t="str">
        <f>IFERROR(__xludf.DUMMYFUNCTION("IFERROR(VALUE(REGEXEXTRACT(C569,""(\d+)\s*/\s*\d+"")),"""")"),"")</f>
        <v/>
      </c>
      <c r="H569" s="22" t="str">
        <f>IFERROR(__xludf.DUMMYFUNCTION("IFERROR(VALUE(REGEXEXTRACT(C569,""\d+\s*/\s*(\d+)"")),"""")"),"")</f>
        <v/>
      </c>
      <c r="I569" s="22" t="str">
        <f t="shared" si="2"/>
        <v/>
      </c>
      <c r="J569" s="34" t="str">
        <f t="shared" si="3"/>
        <v/>
      </c>
    </row>
    <row r="570" ht="15.75" customHeight="1">
      <c r="A570" s="32" t="s">
        <v>113</v>
      </c>
      <c r="B570" s="32" t="str">
        <f>IF(MOV_CC_NACIONAL!A570="","",MOV_CC_NACIONAL!A570)</f>
        <v/>
      </c>
      <c r="C570" s="32" t="str">
        <f>IF(MOV_CC_NACIONAL!B570="","",MOV_CC_NACIONAL!B570)</f>
        <v/>
      </c>
      <c r="D570" s="33" t="str">
        <f>IF(MOV_CC_NACIONAL!C570="","",MOV_CC_NACIONAL!C570)</f>
        <v/>
      </c>
      <c r="E570" s="32" t="str">
        <f t="shared" si="1"/>
        <v/>
      </c>
      <c r="F570" s="32" t="str">
        <f>IFERROR(__xludf.DUMMYFUNCTION("IF(C570="""","""", OR(REGEXMATCH(LOWER(C570),""cuota""), REGEXMATCH(C570,""\d+\s*/\s*\d+"")))"),"")</f>
        <v/>
      </c>
      <c r="G570" s="32" t="str">
        <f>IFERROR(__xludf.DUMMYFUNCTION("IFERROR(VALUE(REGEXEXTRACT(C570,""(\d+)\s*/\s*\d+"")),"""")"),"")</f>
        <v/>
      </c>
      <c r="H570" s="32" t="str">
        <f>IFERROR(__xludf.DUMMYFUNCTION("IFERROR(VALUE(REGEXEXTRACT(C570,""\d+\s*/\s*(\d+)"")),"""")"),"")</f>
        <v/>
      </c>
      <c r="I570" s="32" t="str">
        <f t="shared" si="2"/>
        <v/>
      </c>
      <c r="J570" s="33" t="str">
        <f t="shared" si="3"/>
        <v/>
      </c>
    </row>
    <row r="571" ht="15.75" customHeight="1">
      <c r="A571" s="22" t="s">
        <v>113</v>
      </c>
      <c r="B571" s="22" t="str">
        <f>IF(MOV_CC_NACIONAL!A571="","",MOV_CC_NACIONAL!A571)</f>
        <v/>
      </c>
      <c r="C571" s="22" t="str">
        <f>IF(MOV_CC_NACIONAL!B571="","",MOV_CC_NACIONAL!B571)</f>
        <v/>
      </c>
      <c r="D571" s="34" t="str">
        <f>IF(MOV_CC_NACIONAL!C571="","",MOV_CC_NACIONAL!C571)</f>
        <v/>
      </c>
      <c r="E571" s="22" t="str">
        <f t="shared" si="1"/>
        <v/>
      </c>
      <c r="F571" s="22" t="str">
        <f>IFERROR(__xludf.DUMMYFUNCTION("IF(C571="""","""", OR(REGEXMATCH(LOWER(C571),""cuota""), REGEXMATCH(C571,""\d+\s*/\s*\d+"")))"),"")</f>
        <v/>
      </c>
      <c r="G571" s="22" t="str">
        <f>IFERROR(__xludf.DUMMYFUNCTION("IFERROR(VALUE(REGEXEXTRACT(C571,""(\d+)\s*/\s*\d+"")),"""")"),"")</f>
        <v/>
      </c>
      <c r="H571" s="22" t="str">
        <f>IFERROR(__xludf.DUMMYFUNCTION("IFERROR(VALUE(REGEXEXTRACT(C571,""\d+\s*/\s*(\d+)"")),"""")"),"")</f>
        <v/>
      </c>
      <c r="I571" s="22" t="str">
        <f t="shared" si="2"/>
        <v/>
      </c>
      <c r="J571" s="34" t="str">
        <f t="shared" si="3"/>
        <v/>
      </c>
    </row>
    <row r="572" ht="15.75" customHeight="1">
      <c r="A572" s="32" t="s">
        <v>113</v>
      </c>
      <c r="B572" s="32" t="str">
        <f>IF(MOV_CC_NACIONAL!A572="","",MOV_CC_NACIONAL!A572)</f>
        <v/>
      </c>
      <c r="C572" s="32" t="str">
        <f>IF(MOV_CC_NACIONAL!B572="","",MOV_CC_NACIONAL!B572)</f>
        <v/>
      </c>
      <c r="D572" s="33" t="str">
        <f>IF(MOV_CC_NACIONAL!C572="","",MOV_CC_NACIONAL!C572)</f>
        <v/>
      </c>
      <c r="E572" s="32" t="str">
        <f t="shared" si="1"/>
        <v/>
      </c>
      <c r="F572" s="32" t="str">
        <f>IFERROR(__xludf.DUMMYFUNCTION("IF(C572="""","""", OR(REGEXMATCH(LOWER(C572),""cuota""), REGEXMATCH(C572,""\d+\s*/\s*\d+"")))"),"")</f>
        <v/>
      </c>
      <c r="G572" s="32" t="str">
        <f>IFERROR(__xludf.DUMMYFUNCTION("IFERROR(VALUE(REGEXEXTRACT(C572,""(\d+)\s*/\s*\d+"")),"""")"),"")</f>
        <v/>
      </c>
      <c r="H572" s="32" t="str">
        <f>IFERROR(__xludf.DUMMYFUNCTION("IFERROR(VALUE(REGEXEXTRACT(C572,""\d+\s*/\s*(\d+)"")),"""")"),"")</f>
        <v/>
      </c>
      <c r="I572" s="32" t="str">
        <f t="shared" si="2"/>
        <v/>
      </c>
      <c r="J572" s="33" t="str">
        <f t="shared" si="3"/>
        <v/>
      </c>
    </row>
    <row r="573" ht="15.75" customHeight="1">
      <c r="A573" s="22" t="s">
        <v>113</v>
      </c>
      <c r="B573" s="22" t="str">
        <f>IF(MOV_CC_NACIONAL!A573="","",MOV_CC_NACIONAL!A573)</f>
        <v/>
      </c>
      <c r="C573" s="22" t="str">
        <f>IF(MOV_CC_NACIONAL!B573="","",MOV_CC_NACIONAL!B573)</f>
        <v/>
      </c>
      <c r="D573" s="34" t="str">
        <f>IF(MOV_CC_NACIONAL!C573="","",MOV_CC_NACIONAL!C573)</f>
        <v/>
      </c>
      <c r="E573" s="22" t="str">
        <f t="shared" si="1"/>
        <v/>
      </c>
      <c r="F573" s="22" t="str">
        <f>IFERROR(__xludf.DUMMYFUNCTION("IF(C573="""","""", OR(REGEXMATCH(LOWER(C573),""cuota""), REGEXMATCH(C573,""\d+\s*/\s*\d+"")))"),"")</f>
        <v/>
      </c>
      <c r="G573" s="22" t="str">
        <f>IFERROR(__xludf.DUMMYFUNCTION("IFERROR(VALUE(REGEXEXTRACT(C573,""(\d+)\s*/\s*\d+"")),"""")"),"")</f>
        <v/>
      </c>
      <c r="H573" s="22" t="str">
        <f>IFERROR(__xludf.DUMMYFUNCTION("IFERROR(VALUE(REGEXEXTRACT(C573,""\d+\s*/\s*(\d+)"")),"""")"),"")</f>
        <v/>
      </c>
      <c r="I573" s="22" t="str">
        <f t="shared" si="2"/>
        <v/>
      </c>
      <c r="J573" s="34" t="str">
        <f t="shared" si="3"/>
        <v/>
      </c>
    </row>
    <row r="574" ht="15.75" customHeight="1">
      <c r="A574" s="32" t="s">
        <v>113</v>
      </c>
      <c r="B574" s="32" t="str">
        <f>IF(MOV_CC_NACIONAL!A574="","",MOV_CC_NACIONAL!A574)</f>
        <v/>
      </c>
      <c r="C574" s="32" t="str">
        <f>IF(MOV_CC_NACIONAL!B574="","",MOV_CC_NACIONAL!B574)</f>
        <v/>
      </c>
      <c r="D574" s="33" t="str">
        <f>IF(MOV_CC_NACIONAL!C574="","",MOV_CC_NACIONAL!C574)</f>
        <v/>
      </c>
      <c r="E574" s="32" t="str">
        <f t="shared" si="1"/>
        <v/>
      </c>
      <c r="F574" s="32" t="str">
        <f>IFERROR(__xludf.DUMMYFUNCTION("IF(C574="""","""", OR(REGEXMATCH(LOWER(C574),""cuota""), REGEXMATCH(C574,""\d+\s*/\s*\d+"")))"),"")</f>
        <v/>
      </c>
      <c r="G574" s="32" t="str">
        <f>IFERROR(__xludf.DUMMYFUNCTION("IFERROR(VALUE(REGEXEXTRACT(C574,""(\d+)\s*/\s*\d+"")),"""")"),"")</f>
        <v/>
      </c>
      <c r="H574" s="32" t="str">
        <f>IFERROR(__xludf.DUMMYFUNCTION("IFERROR(VALUE(REGEXEXTRACT(C574,""\d+\s*/\s*(\d+)"")),"""")"),"")</f>
        <v/>
      </c>
      <c r="I574" s="32" t="str">
        <f t="shared" si="2"/>
        <v/>
      </c>
      <c r="J574" s="33" t="str">
        <f t="shared" si="3"/>
        <v/>
      </c>
    </row>
    <row r="575" ht="15.75" customHeight="1">
      <c r="A575" s="22" t="s">
        <v>113</v>
      </c>
      <c r="B575" s="22" t="str">
        <f>IF(MOV_CC_NACIONAL!A575="","",MOV_CC_NACIONAL!A575)</f>
        <v/>
      </c>
      <c r="C575" s="22" t="str">
        <f>IF(MOV_CC_NACIONAL!B575="","",MOV_CC_NACIONAL!B575)</f>
        <v/>
      </c>
      <c r="D575" s="34" t="str">
        <f>IF(MOV_CC_NACIONAL!C575="","",MOV_CC_NACIONAL!C575)</f>
        <v/>
      </c>
      <c r="E575" s="22" t="str">
        <f t="shared" si="1"/>
        <v/>
      </c>
      <c r="F575" s="22" t="str">
        <f>IFERROR(__xludf.DUMMYFUNCTION("IF(C575="""","""", OR(REGEXMATCH(LOWER(C575),""cuota""), REGEXMATCH(C575,""\d+\s*/\s*\d+"")))"),"")</f>
        <v/>
      </c>
      <c r="G575" s="22" t="str">
        <f>IFERROR(__xludf.DUMMYFUNCTION("IFERROR(VALUE(REGEXEXTRACT(C575,""(\d+)\s*/\s*\d+"")),"""")"),"")</f>
        <v/>
      </c>
      <c r="H575" s="22" t="str">
        <f>IFERROR(__xludf.DUMMYFUNCTION("IFERROR(VALUE(REGEXEXTRACT(C575,""\d+\s*/\s*(\d+)"")),"""")"),"")</f>
        <v/>
      </c>
      <c r="I575" s="22" t="str">
        <f t="shared" si="2"/>
        <v/>
      </c>
      <c r="J575" s="34" t="str">
        <f t="shared" si="3"/>
        <v/>
      </c>
    </row>
    <row r="576" ht="15.75" customHeight="1">
      <c r="A576" s="32" t="s">
        <v>113</v>
      </c>
      <c r="B576" s="32" t="str">
        <f>IF(MOV_CC_NACIONAL!A576="","",MOV_CC_NACIONAL!A576)</f>
        <v/>
      </c>
      <c r="C576" s="32" t="str">
        <f>IF(MOV_CC_NACIONAL!B576="","",MOV_CC_NACIONAL!B576)</f>
        <v/>
      </c>
      <c r="D576" s="33" t="str">
        <f>IF(MOV_CC_NACIONAL!C576="","",MOV_CC_NACIONAL!C576)</f>
        <v/>
      </c>
      <c r="E576" s="32" t="str">
        <f t="shared" si="1"/>
        <v/>
      </c>
      <c r="F576" s="32" t="str">
        <f>IFERROR(__xludf.DUMMYFUNCTION("IF(C576="""","""", OR(REGEXMATCH(LOWER(C576),""cuota""), REGEXMATCH(C576,""\d+\s*/\s*\d+"")))"),"")</f>
        <v/>
      </c>
      <c r="G576" s="32" t="str">
        <f>IFERROR(__xludf.DUMMYFUNCTION("IFERROR(VALUE(REGEXEXTRACT(C576,""(\d+)\s*/\s*\d+"")),"""")"),"")</f>
        <v/>
      </c>
      <c r="H576" s="32" t="str">
        <f>IFERROR(__xludf.DUMMYFUNCTION("IFERROR(VALUE(REGEXEXTRACT(C576,""\d+\s*/\s*(\d+)"")),"""")"),"")</f>
        <v/>
      </c>
      <c r="I576" s="32" t="str">
        <f t="shared" si="2"/>
        <v/>
      </c>
      <c r="J576" s="33" t="str">
        <f t="shared" si="3"/>
        <v/>
      </c>
    </row>
    <row r="577" ht="15.75" customHeight="1">
      <c r="A577" s="22" t="s">
        <v>113</v>
      </c>
      <c r="B577" s="22" t="str">
        <f>IF(MOV_CC_NACIONAL!A577="","",MOV_CC_NACIONAL!A577)</f>
        <v/>
      </c>
      <c r="C577" s="22" t="str">
        <f>IF(MOV_CC_NACIONAL!B577="","",MOV_CC_NACIONAL!B577)</f>
        <v/>
      </c>
      <c r="D577" s="34" t="str">
        <f>IF(MOV_CC_NACIONAL!C577="","",MOV_CC_NACIONAL!C577)</f>
        <v/>
      </c>
      <c r="E577" s="22" t="str">
        <f t="shared" si="1"/>
        <v/>
      </c>
      <c r="F577" s="22" t="str">
        <f>IFERROR(__xludf.DUMMYFUNCTION("IF(C577="""","""", OR(REGEXMATCH(LOWER(C577),""cuota""), REGEXMATCH(C577,""\d+\s*/\s*\d+"")))"),"")</f>
        <v/>
      </c>
      <c r="G577" s="22" t="str">
        <f>IFERROR(__xludf.DUMMYFUNCTION("IFERROR(VALUE(REGEXEXTRACT(C577,""(\d+)\s*/\s*\d+"")),"""")"),"")</f>
        <v/>
      </c>
      <c r="H577" s="22" t="str">
        <f>IFERROR(__xludf.DUMMYFUNCTION("IFERROR(VALUE(REGEXEXTRACT(C577,""\d+\s*/\s*(\d+)"")),"""")"),"")</f>
        <v/>
      </c>
      <c r="I577" s="22" t="str">
        <f t="shared" si="2"/>
        <v/>
      </c>
      <c r="J577" s="34" t="str">
        <f t="shared" si="3"/>
        <v/>
      </c>
    </row>
    <row r="578" ht="15.75" customHeight="1">
      <c r="A578" s="32" t="s">
        <v>113</v>
      </c>
      <c r="B578" s="32" t="str">
        <f>IF(MOV_CC_NACIONAL!A578="","",MOV_CC_NACIONAL!A578)</f>
        <v/>
      </c>
      <c r="C578" s="32" t="str">
        <f>IF(MOV_CC_NACIONAL!B578="","",MOV_CC_NACIONAL!B578)</f>
        <v/>
      </c>
      <c r="D578" s="33" t="str">
        <f>IF(MOV_CC_NACIONAL!C578="","",MOV_CC_NACIONAL!C578)</f>
        <v/>
      </c>
      <c r="E578" s="32" t="str">
        <f t="shared" si="1"/>
        <v/>
      </c>
      <c r="F578" s="32" t="str">
        <f>IFERROR(__xludf.DUMMYFUNCTION("IF(C578="""","""", OR(REGEXMATCH(LOWER(C578),""cuota""), REGEXMATCH(C578,""\d+\s*/\s*\d+"")))"),"")</f>
        <v/>
      </c>
      <c r="G578" s="32" t="str">
        <f>IFERROR(__xludf.DUMMYFUNCTION("IFERROR(VALUE(REGEXEXTRACT(C578,""(\d+)\s*/\s*\d+"")),"""")"),"")</f>
        <v/>
      </c>
      <c r="H578" s="32" t="str">
        <f>IFERROR(__xludf.DUMMYFUNCTION("IFERROR(VALUE(REGEXEXTRACT(C578,""\d+\s*/\s*(\d+)"")),"""")"),"")</f>
        <v/>
      </c>
      <c r="I578" s="32" t="str">
        <f t="shared" si="2"/>
        <v/>
      </c>
      <c r="J578" s="33" t="str">
        <f t="shared" si="3"/>
        <v/>
      </c>
    </row>
    <row r="579" ht="15.75" customHeight="1">
      <c r="A579" s="22" t="s">
        <v>113</v>
      </c>
      <c r="B579" s="22" t="str">
        <f>IF(MOV_CC_NACIONAL!A579="","",MOV_CC_NACIONAL!A579)</f>
        <v/>
      </c>
      <c r="C579" s="22" t="str">
        <f>IF(MOV_CC_NACIONAL!B579="","",MOV_CC_NACIONAL!B579)</f>
        <v/>
      </c>
      <c r="D579" s="34" t="str">
        <f>IF(MOV_CC_NACIONAL!C579="","",MOV_CC_NACIONAL!C579)</f>
        <v/>
      </c>
      <c r="E579" s="22" t="str">
        <f t="shared" si="1"/>
        <v/>
      </c>
      <c r="F579" s="22" t="str">
        <f>IFERROR(__xludf.DUMMYFUNCTION("IF(C579="""","""", OR(REGEXMATCH(LOWER(C579),""cuota""), REGEXMATCH(C579,""\d+\s*/\s*\d+"")))"),"")</f>
        <v/>
      </c>
      <c r="G579" s="22" t="str">
        <f>IFERROR(__xludf.DUMMYFUNCTION("IFERROR(VALUE(REGEXEXTRACT(C579,""(\d+)\s*/\s*\d+"")),"""")"),"")</f>
        <v/>
      </c>
      <c r="H579" s="22" t="str">
        <f>IFERROR(__xludf.DUMMYFUNCTION("IFERROR(VALUE(REGEXEXTRACT(C579,""\d+\s*/\s*(\d+)"")),"""")"),"")</f>
        <v/>
      </c>
      <c r="I579" s="22" t="str">
        <f t="shared" si="2"/>
        <v/>
      </c>
      <c r="J579" s="34" t="str">
        <f t="shared" si="3"/>
        <v/>
      </c>
    </row>
    <row r="580" ht="15.75" customHeight="1">
      <c r="A580" s="32" t="s">
        <v>113</v>
      </c>
      <c r="B580" s="32" t="str">
        <f>IF(MOV_CC_NACIONAL!A580="","",MOV_CC_NACIONAL!A580)</f>
        <v/>
      </c>
      <c r="C580" s="32" t="str">
        <f>IF(MOV_CC_NACIONAL!B580="","",MOV_CC_NACIONAL!B580)</f>
        <v/>
      </c>
      <c r="D580" s="33" t="str">
        <f>IF(MOV_CC_NACIONAL!C580="","",MOV_CC_NACIONAL!C580)</f>
        <v/>
      </c>
      <c r="E580" s="32" t="str">
        <f t="shared" si="1"/>
        <v/>
      </c>
      <c r="F580" s="32" t="str">
        <f>IFERROR(__xludf.DUMMYFUNCTION("IF(C580="""","""", OR(REGEXMATCH(LOWER(C580),""cuota""), REGEXMATCH(C580,""\d+\s*/\s*\d+"")))"),"")</f>
        <v/>
      </c>
      <c r="G580" s="32" t="str">
        <f>IFERROR(__xludf.DUMMYFUNCTION("IFERROR(VALUE(REGEXEXTRACT(C580,""(\d+)\s*/\s*\d+"")),"""")"),"")</f>
        <v/>
      </c>
      <c r="H580" s="32" t="str">
        <f>IFERROR(__xludf.DUMMYFUNCTION("IFERROR(VALUE(REGEXEXTRACT(C580,""\d+\s*/\s*(\d+)"")),"""")"),"")</f>
        <v/>
      </c>
      <c r="I580" s="32" t="str">
        <f t="shared" si="2"/>
        <v/>
      </c>
      <c r="J580" s="33" t="str">
        <f t="shared" si="3"/>
        <v/>
      </c>
    </row>
    <row r="581" ht="15.75" customHeight="1">
      <c r="A581" s="22" t="s">
        <v>113</v>
      </c>
      <c r="B581" s="22" t="str">
        <f>IF(MOV_CC_NACIONAL!A581="","",MOV_CC_NACIONAL!A581)</f>
        <v/>
      </c>
      <c r="C581" s="22" t="str">
        <f>IF(MOV_CC_NACIONAL!B581="","",MOV_CC_NACIONAL!B581)</f>
        <v/>
      </c>
      <c r="D581" s="34" t="str">
        <f>IF(MOV_CC_NACIONAL!C581="","",MOV_CC_NACIONAL!C581)</f>
        <v/>
      </c>
      <c r="E581" s="22" t="str">
        <f t="shared" si="1"/>
        <v/>
      </c>
      <c r="F581" s="22" t="str">
        <f>IFERROR(__xludf.DUMMYFUNCTION("IF(C581="""","""", OR(REGEXMATCH(LOWER(C581),""cuota""), REGEXMATCH(C581,""\d+\s*/\s*\d+"")))"),"")</f>
        <v/>
      </c>
      <c r="G581" s="22" t="str">
        <f>IFERROR(__xludf.DUMMYFUNCTION("IFERROR(VALUE(REGEXEXTRACT(C581,""(\d+)\s*/\s*\d+"")),"""")"),"")</f>
        <v/>
      </c>
      <c r="H581" s="22" t="str">
        <f>IFERROR(__xludf.DUMMYFUNCTION("IFERROR(VALUE(REGEXEXTRACT(C581,""\d+\s*/\s*(\d+)"")),"""")"),"")</f>
        <v/>
      </c>
      <c r="I581" s="22" t="str">
        <f t="shared" si="2"/>
        <v/>
      </c>
      <c r="J581" s="34" t="str">
        <f t="shared" si="3"/>
        <v/>
      </c>
    </row>
    <row r="582" ht="15.75" customHeight="1">
      <c r="A582" s="32" t="s">
        <v>113</v>
      </c>
      <c r="B582" s="32" t="str">
        <f>IF(MOV_CC_NACIONAL!A582="","",MOV_CC_NACIONAL!A582)</f>
        <v/>
      </c>
      <c r="C582" s="32" t="str">
        <f>IF(MOV_CC_NACIONAL!B582="","",MOV_CC_NACIONAL!B582)</f>
        <v/>
      </c>
      <c r="D582" s="33" t="str">
        <f>IF(MOV_CC_NACIONAL!C582="","",MOV_CC_NACIONAL!C582)</f>
        <v/>
      </c>
      <c r="E582" s="32" t="str">
        <f t="shared" si="1"/>
        <v/>
      </c>
      <c r="F582" s="32" t="str">
        <f>IFERROR(__xludf.DUMMYFUNCTION("IF(C582="""","""", OR(REGEXMATCH(LOWER(C582),""cuota""), REGEXMATCH(C582,""\d+\s*/\s*\d+"")))"),"")</f>
        <v/>
      </c>
      <c r="G582" s="32" t="str">
        <f>IFERROR(__xludf.DUMMYFUNCTION("IFERROR(VALUE(REGEXEXTRACT(C582,""(\d+)\s*/\s*\d+"")),"""")"),"")</f>
        <v/>
      </c>
      <c r="H582" s="32" t="str">
        <f>IFERROR(__xludf.DUMMYFUNCTION("IFERROR(VALUE(REGEXEXTRACT(C582,""\d+\s*/\s*(\d+)"")),"""")"),"")</f>
        <v/>
      </c>
      <c r="I582" s="32" t="str">
        <f t="shared" si="2"/>
        <v/>
      </c>
      <c r="J582" s="33" t="str">
        <f t="shared" si="3"/>
        <v/>
      </c>
    </row>
    <row r="583" ht="15.75" customHeight="1">
      <c r="A583" s="22" t="s">
        <v>113</v>
      </c>
      <c r="B583" s="22" t="str">
        <f>IF(MOV_CC_NACIONAL!A583="","",MOV_CC_NACIONAL!A583)</f>
        <v/>
      </c>
      <c r="C583" s="22" t="str">
        <f>IF(MOV_CC_NACIONAL!B583="","",MOV_CC_NACIONAL!B583)</f>
        <v/>
      </c>
      <c r="D583" s="34" t="str">
        <f>IF(MOV_CC_NACIONAL!C583="","",MOV_CC_NACIONAL!C583)</f>
        <v/>
      </c>
      <c r="E583" s="22" t="str">
        <f t="shared" si="1"/>
        <v/>
      </c>
      <c r="F583" s="22" t="str">
        <f>IFERROR(__xludf.DUMMYFUNCTION("IF(C583="""","""", OR(REGEXMATCH(LOWER(C583),""cuota""), REGEXMATCH(C583,""\d+\s*/\s*\d+"")))"),"")</f>
        <v/>
      </c>
      <c r="G583" s="22" t="str">
        <f>IFERROR(__xludf.DUMMYFUNCTION("IFERROR(VALUE(REGEXEXTRACT(C583,""(\d+)\s*/\s*\d+"")),"""")"),"")</f>
        <v/>
      </c>
      <c r="H583" s="22" t="str">
        <f>IFERROR(__xludf.DUMMYFUNCTION("IFERROR(VALUE(REGEXEXTRACT(C583,""\d+\s*/\s*(\d+)"")),"""")"),"")</f>
        <v/>
      </c>
      <c r="I583" s="22" t="str">
        <f t="shared" si="2"/>
        <v/>
      </c>
      <c r="J583" s="34" t="str">
        <f t="shared" si="3"/>
        <v/>
      </c>
    </row>
    <row r="584" ht="15.75" customHeight="1">
      <c r="A584" s="32" t="s">
        <v>113</v>
      </c>
      <c r="B584" s="32" t="str">
        <f>IF(MOV_CC_NACIONAL!A584="","",MOV_CC_NACIONAL!A584)</f>
        <v/>
      </c>
      <c r="C584" s="32" t="str">
        <f>IF(MOV_CC_NACIONAL!B584="","",MOV_CC_NACIONAL!B584)</f>
        <v/>
      </c>
      <c r="D584" s="33" t="str">
        <f>IF(MOV_CC_NACIONAL!C584="","",MOV_CC_NACIONAL!C584)</f>
        <v/>
      </c>
      <c r="E584" s="32" t="str">
        <f t="shared" si="1"/>
        <v/>
      </c>
      <c r="F584" s="32" t="str">
        <f>IFERROR(__xludf.DUMMYFUNCTION("IF(C584="""","""", OR(REGEXMATCH(LOWER(C584),""cuota""), REGEXMATCH(C584,""\d+\s*/\s*\d+"")))"),"")</f>
        <v/>
      </c>
      <c r="G584" s="32" t="str">
        <f>IFERROR(__xludf.DUMMYFUNCTION("IFERROR(VALUE(REGEXEXTRACT(C584,""(\d+)\s*/\s*\d+"")),"""")"),"")</f>
        <v/>
      </c>
      <c r="H584" s="32" t="str">
        <f>IFERROR(__xludf.DUMMYFUNCTION("IFERROR(VALUE(REGEXEXTRACT(C584,""\d+\s*/\s*(\d+)"")),"""")"),"")</f>
        <v/>
      </c>
      <c r="I584" s="32" t="str">
        <f t="shared" si="2"/>
        <v/>
      </c>
      <c r="J584" s="33" t="str">
        <f t="shared" si="3"/>
        <v/>
      </c>
    </row>
    <row r="585" ht="15.75" customHeight="1">
      <c r="A585" s="22" t="s">
        <v>113</v>
      </c>
      <c r="B585" s="22" t="str">
        <f>IF(MOV_CC_NACIONAL!A585="","",MOV_CC_NACIONAL!A585)</f>
        <v/>
      </c>
      <c r="C585" s="22" t="str">
        <f>IF(MOV_CC_NACIONAL!B585="","",MOV_CC_NACIONAL!B585)</f>
        <v/>
      </c>
      <c r="D585" s="34" t="str">
        <f>IF(MOV_CC_NACIONAL!C585="","",MOV_CC_NACIONAL!C585)</f>
        <v/>
      </c>
      <c r="E585" s="22" t="str">
        <f t="shared" si="1"/>
        <v/>
      </c>
      <c r="F585" s="22" t="str">
        <f>IFERROR(__xludf.DUMMYFUNCTION("IF(C585="""","""", OR(REGEXMATCH(LOWER(C585),""cuota""), REGEXMATCH(C585,""\d+\s*/\s*\d+"")))"),"")</f>
        <v/>
      </c>
      <c r="G585" s="22" t="str">
        <f>IFERROR(__xludf.DUMMYFUNCTION("IFERROR(VALUE(REGEXEXTRACT(C585,""(\d+)\s*/\s*\d+"")),"""")"),"")</f>
        <v/>
      </c>
      <c r="H585" s="22" t="str">
        <f>IFERROR(__xludf.DUMMYFUNCTION("IFERROR(VALUE(REGEXEXTRACT(C585,""\d+\s*/\s*(\d+)"")),"""")"),"")</f>
        <v/>
      </c>
      <c r="I585" s="22" t="str">
        <f t="shared" si="2"/>
        <v/>
      </c>
      <c r="J585" s="34" t="str">
        <f t="shared" si="3"/>
        <v/>
      </c>
    </row>
    <row r="586" ht="15.75" customHeight="1">
      <c r="A586" s="32" t="s">
        <v>113</v>
      </c>
      <c r="B586" s="32" t="str">
        <f>IF(MOV_CC_NACIONAL!A586="","",MOV_CC_NACIONAL!A586)</f>
        <v/>
      </c>
      <c r="C586" s="32" t="str">
        <f>IF(MOV_CC_NACIONAL!B586="","",MOV_CC_NACIONAL!B586)</f>
        <v/>
      </c>
      <c r="D586" s="33" t="str">
        <f>IF(MOV_CC_NACIONAL!C586="","",MOV_CC_NACIONAL!C586)</f>
        <v/>
      </c>
      <c r="E586" s="32" t="str">
        <f t="shared" si="1"/>
        <v/>
      </c>
      <c r="F586" s="32" t="str">
        <f>IFERROR(__xludf.DUMMYFUNCTION("IF(C586="""","""", OR(REGEXMATCH(LOWER(C586),""cuota""), REGEXMATCH(C586,""\d+\s*/\s*\d+"")))"),"")</f>
        <v/>
      </c>
      <c r="G586" s="32" t="str">
        <f>IFERROR(__xludf.DUMMYFUNCTION("IFERROR(VALUE(REGEXEXTRACT(C586,""(\d+)\s*/\s*\d+"")),"""")"),"")</f>
        <v/>
      </c>
      <c r="H586" s="32" t="str">
        <f>IFERROR(__xludf.DUMMYFUNCTION("IFERROR(VALUE(REGEXEXTRACT(C586,""\d+\s*/\s*(\d+)"")),"""")"),"")</f>
        <v/>
      </c>
      <c r="I586" s="32" t="str">
        <f t="shared" si="2"/>
        <v/>
      </c>
      <c r="J586" s="33" t="str">
        <f t="shared" si="3"/>
        <v/>
      </c>
    </row>
    <row r="587" ht="15.75" customHeight="1">
      <c r="A587" s="22" t="s">
        <v>113</v>
      </c>
      <c r="B587" s="22" t="str">
        <f>IF(MOV_CC_NACIONAL!A587="","",MOV_CC_NACIONAL!A587)</f>
        <v/>
      </c>
      <c r="C587" s="22" t="str">
        <f>IF(MOV_CC_NACIONAL!B587="","",MOV_CC_NACIONAL!B587)</f>
        <v/>
      </c>
      <c r="D587" s="34" t="str">
        <f>IF(MOV_CC_NACIONAL!C587="","",MOV_CC_NACIONAL!C587)</f>
        <v/>
      </c>
      <c r="E587" s="22" t="str">
        <f t="shared" si="1"/>
        <v/>
      </c>
      <c r="F587" s="22" t="str">
        <f>IFERROR(__xludf.DUMMYFUNCTION("IF(C587="""","""", OR(REGEXMATCH(LOWER(C587),""cuota""), REGEXMATCH(C587,""\d+\s*/\s*\d+"")))"),"")</f>
        <v/>
      </c>
      <c r="G587" s="22" t="str">
        <f>IFERROR(__xludf.DUMMYFUNCTION("IFERROR(VALUE(REGEXEXTRACT(C587,""(\d+)\s*/\s*\d+"")),"""")"),"")</f>
        <v/>
      </c>
      <c r="H587" s="22" t="str">
        <f>IFERROR(__xludf.DUMMYFUNCTION("IFERROR(VALUE(REGEXEXTRACT(C587,""\d+\s*/\s*(\d+)"")),"""")"),"")</f>
        <v/>
      </c>
      <c r="I587" s="22" t="str">
        <f t="shared" si="2"/>
        <v/>
      </c>
      <c r="J587" s="34" t="str">
        <f t="shared" si="3"/>
        <v/>
      </c>
    </row>
    <row r="588" ht="15.75" customHeight="1">
      <c r="A588" s="32" t="s">
        <v>113</v>
      </c>
      <c r="B588" s="32" t="str">
        <f>IF(MOV_CC_NACIONAL!A588="","",MOV_CC_NACIONAL!A588)</f>
        <v/>
      </c>
      <c r="C588" s="32" t="str">
        <f>IF(MOV_CC_NACIONAL!B588="","",MOV_CC_NACIONAL!B588)</f>
        <v/>
      </c>
      <c r="D588" s="33" t="str">
        <f>IF(MOV_CC_NACIONAL!C588="","",MOV_CC_NACIONAL!C588)</f>
        <v/>
      </c>
      <c r="E588" s="32" t="str">
        <f t="shared" si="1"/>
        <v/>
      </c>
      <c r="F588" s="32" t="str">
        <f>IFERROR(__xludf.DUMMYFUNCTION("IF(C588="""","""", OR(REGEXMATCH(LOWER(C588),""cuota""), REGEXMATCH(C588,""\d+\s*/\s*\d+"")))"),"")</f>
        <v/>
      </c>
      <c r="G588" s="32" t="str">
        <f>IFERROR(__xludf.DUMMYFUNCTION("IFERROR(VALUE(REGEXEXTRACT(C588,""(\d+)\s*/\s*\d+"")),"""")"),"")</f>
        <v/>
      </c>
      <c r="H588" s="32" t="str">
        <f>IFERROR(__xludf.DUMMYFUNCTION("IFERROR(VALUE(REGEXEXTRACT(C588,""\d+\s*/\s*(\d+)"")),"""")"),"")</f>
        <v/>
      </c>
      <c r="I588" s="32" t="str">
        <f t="shared" si="2"/>
        <v/>
      </c>
      <c r="J588" s="33" t="str">
        <f t="shared" si="3"/>
        <v/>
      </c>
    </row>
    <row r="589" ht="15.75" customHeight="1">
      <c r="A589" s="22" t="s">
        <v>113</v>
      </c>
      <c r="B589" s="22" t="str">
        <f>IF(MOV_CC_NACIONAL!A589="","",MOV_CC_NACIONAL!A589)</f>
        <v/>
      </c>
      <c r="C589" s="22" t="str">
        <f>IF(MOV_CC_NACIONAL!B589="","",MOV_CC_NACIONAL!B589)</f>
        <v/>
      </c>
      <c r="D589" s="34" t="str">
        <f>IF(MOV_CC_NACIONAL!C589="","",MOV_CC_NACIONAL!C589)</f>
        <v/>
      </c>
      <c r="E589" s="22" t="str">
        <f t="shared" si="1"/>
        <v/>
      </c>
      <c r="F589" s="22" t="str">
        <f>IFERROR(__xludf.DUMMYFUNCTION("IF(C589="""","""", OR(REGEXMATCH(LOWER(C589),""cuota""), REGEXMATCH(C589,""\d+\s*/\s*\d+"")))"),"")</f>
        <v/>
      </c>
      <c r="G589" s="22" t="str">
        <f>IFERROR(__xludf.DUMMYFUNCTION("IFERROR(VALUE(REGEXEXTRACT(C589,""(\d+)\s*/\s*\d+"")),"""")"),"")</f>
        <v/>
      </c>
      <c r="H589" s="22" t="str">
        <f>IFERROR(__xludf.DUMMYFUNCTION("IFERROR(VALUE(REGEXEXTRACT(C589,""\d+\s*/\s*(\d+)"")),"""")"),"")</f>
        <v/>
      </c>
      <c r="I589" s="22" t="str">
        <f t="shared" si="2"/>
        <v/>
      </c>
      <c r="J589" s="34" t="str">
        <f t="shared" si="3"/>
        <v/>
      </c>
    </row>
    <row r="590" ht="15.75" customHeight="1">
      <c r="A590" s="32" t="s">
        <v>113</v>
      </c>
      <c r="B590" s="32" t="str">
        <f>IF(MOV_CC_NACIONAL!A590="","",MOV_CC_NACIONAL!A590)</f>
        <v/>
      </c>
      <c r="C590" s="32" t="str">
        <f>IF(MOV_CC_NACIONAL!B590="","",MOV_CC_NACIONAL!B590)</f>
        <v/>
      </c>
      <c r="D590" s="33" t="str">
        <f>IF(MOV_CC_NACIONAL!C590="","",MOV_CC_NACIONAL!C590)</f>
        <v/>
      </c>
      <c r="E590" s="32" t="str">
        <f t="shared" si="1"/>
        <v/>
      </c>
      <c r="F590" s="32" t="str">
        <f>IFERROR(__xludf.DUMMYFUNCTION("IF(C590="""","""", OR(REGEXMATCH(LOWER(C590),""cuota""), REGEXMATCH(C590,""\d+\s*/\s*\d+"")))"),"")</f>
        <v/>
      </c>
      <c r="G590" s="32" t="str">
        <f>IFERROR(__xludf.DUMMYFUNCTION("IFERROR(VALUE(REGEXEXTRACT(C590,""(\d+)\s*/\s*\d+"")),"""")"),"")</f>
        <v/>
      </c>
      <c r="H590" s="32" t="str">
        <f>IFERROR(__xludf.DUMMYFUNCTION("IFERROR(VALUE(REGEXEXTRACT(C590,""\d+\s*/\s*(\d+)"")),"""")"),"")</f>
        <v/>
      </c>
      <c r="I590" s="32" t="str">
        <f t="shared" si="2"/>
        <v/>
      </c>
      <c r="J590" s="33" t="str">
        <f t="shared" si="3"/>
        <v/>
      </c>
    </row>
    <row r="591" ht="15.75" customHeight="1">
      <c r="A591" s="22" t="s">
        <v>113</v>
      </c>
      <c r="B591" s="22" t="str">
        <f>IF(MOV_CC_NACIONAL!A591="","",MOV_CC_NACIONAL!A591)</f>
        <v/>
      </c>
      <c r="C591" s="22" t="str">
        <f>IF(MOV_CC_NACIONAL!B591="","",MOV_CC_NACIONAL!B591)</f>
        <v/>
      </c>
      <c r="D591" s="34" t="str">
        <f>IF(MOV_CC_NACIONAL!C591="","",MOV_CC_NACIONAL!C591)</f>
        <v/>
      </c>
      <c r="E591" s="22" t="str">
        <f t="shared" si="1"/>
        <v/>
      </c>
      <c r="F591" s="22" t="str">
        <f>IFERROR(__xludf.DUMMYFUNCTION("IF(C591="""","""", OR(REGEXMATCH(LOWER(C591),""cuota""), REGEXMATCH(C591,""\d+\s*/\s*\d+"")))"),"")</f>
        <v/>
      </c>
      <c r="G591" s="22" t="str">
        <f>IFERROR(__xludf.DUMMYFUNCTION("IFERROR(VALUE(REGEXEXTRACT(C591,""(\d+)\s*/\s*\d+"")),"""")"),"")</f>
        <v/>
      </c>
      <c r="H591" s="22" t="str">
        <f>IFERROR(__xludf.DUMMYFUNCTION("IFERROR(VALUE(REGEXEXTRACT(C591,""\d+\s*/\s*(\d+)"")),"""")"),"")</f>
        <v/>
      </c>
      <c r="I591" s="22" t="str">
        <f t="shared" si="2"/>
        <v/>
      </c>
      <c r="J591" s="34" t="str">
        <f t="shared" si="3"/>
        <v/>
      </c>
    </row>
    <row r="592" ht="15.75" customHeight="1">
      <c r="A592" s="32" t="s">
        <v>113</v>
      </c>
      <c r="B592" s="32" t="str">
        <f>IF(MOV_CC_NACIONAL!A592="","",MOV_CC_NACIONAL!A592)</f>
        <v/>
      </c>
      <c r="C592" s="32" t="str">
        <f>IF(MOV_CC_NACIONAL!B592="","",MOV_CC_NACIONAL!B592)</f>
        <v/>
      </c>
      <c r="D592" s="33" t="str">
        <f>IF(MOV_CC_NACIONAL!C592="","",MOV_CC_NACIONAL!C592)</f>
        <v/>
      </c>
      <c r="E592" s="32" t="str">
        <f t="shared" si="1"/>
        <v/>
      </c>
      <c r="F592" s="32" t="str">
        <f>IFERROR(__xludf.DUMMYFUNCTION("IF(C592="""","""", OR(REGEXMATCH(LOWER(C592),""cuota""), REGEXMATCH(C592,""\d+\s*/\s*\d+"")))"),"")</f>
        <v/>
      </c>
      <c r="G592" s="32" t="str">
        <f>IFERROR(__xludf.DUMMYFUNCTION("IFERROR(VALUE(REGEXEXTRACT(C592,""(\d+)\s*/\s*\d+"")),"""")"),"")</f>
        <v/>
      </c>
      <c r="H592" s="32" t="str">
        <f>IFERROR(__xludf.DUMMYFUNCTION("IFERROR(VALUE(REGEXEXTRACT(C592,""\d+\s*/\s*(\d+)"")),"""")"),"")</f>
        <v/>
      </c>
      <c r="I592" s="32" t="str">
        <f t="shared" si="2"/>
        <v/>
      </c>
      <c r="J592" s="33" t="str">
        <f t="shared" si="3"/>
        <v/>
      </c>
    </row>
    <row r="593" ht="15.75" customHeight="1">
      <c r="A593" s="22" t="s">
        <v>113</v>
      </c>
      <c r="B593" s="22" t="str">
        <f>IF(MOV_CC_NACIONAL!A593="","",MOV_CC_NACIONAL!A593)</f>
        <v/>
      </c>
      <c r="C593" s="22" t="str">
        <f>IF(MOV_CC_NACIONAL!B593="","",MOV_CC_NACIONAL!B593)</f>
        <v/>
      </c>
      <c r="D593" s="34" t="str">
        <f>IF(MOV_CC_NACIONAL!C593="","",MOV_CC_NACIONAL!C593)</f>
        <v/>
      </c>
      <c r="E593" s="22" t="str">
        <f t="shared" si="1"/>
        <v/>
      </c>
      <c r="F593" s="22" t="str">
        <f>IFERROR(__xludf.DUMMYFUNCTION("IF(C593="""","""", OR(REGEXMATCH(LOWER(C593),""cuota""), REGEXMATCH(C593,""\d+\s*/\s*\d+"")))"),"")</f>
        <v/>
      </c>
      <c r="G593" s="22" t="str">
        <f>IFERROR(__xludf.DUMMYFUNCTION("IFERROR(VALUE(REGEXEXTRACT(C593,""(\d+)\s*/\s*\d+"")),"""")"),"")</f>
        <v/>
      </c>
      <c r="H593" s="22" t="str">
        <f>IFERROR(__xludf.DUMMYFUNCTION("IFERROR(VALUE(REGEXEXTRACT(C593,""\d+\s*/\s*(\d+)"")),"""")"),"")</f>
        <v/>
      </c>
      <c r="I593" s="22" t="str">
        <f t="shared" si="2"/>
        <v/>
      </c>
      <c r="J593" s="34" t="str">
        <f t="shared" si="3"/>
        <v/>
      </c>
    </row>
    <row r="594" ht="15.75" customHeight="1">
      <c r="A594" s="32" t="s">
        <v>113</v>
      </c>
      <c r="B594" s="32" t="str">
        <f>IF(MOV_CC_NACIONAL!A594="","",MOV_CC_NACIONAL!A594)</f>
        <v/>
      </c>
      <c r="C594" s="32" t="str">
        <f>IF(MOV_CC_NACIONAL!B594="","",MOV_CC_NACIONAL!B594)</f>
        <v/>
      </c>
      <c r="D594" s="33" t="str">
        <f>IF(MOV_CC_NACIONAL!C594="","",MOV_CC_NACIONAL!C594)</f>
        <v/>
      </c>
      <c r="E594" s="32" t="str">
        <f t="shared" si="1"/>
        <v/>
      </c>
      <c r="F594" s="32" t="str">
        <f>IFERROR(__xludf.DUMMYFUNCTION("IF(C594="""","""", OR(REGEXMATCH(LOWER(C594),""cuota""), REGEXMATCH(C594,""\d+\s*/\s*\d+"")))"),"")</f>
        <v/>
      </c>
      <c r="G594" s="32" t="str">
        <f>IFERROR(__xludf.DUMMYFUNCTION("IFERROR(VALUE(REGEXEXTRACT(C594,""(\d+)\s*/\s*\d+"")),"""")"),"")</f>
        <v/>
      </c>
      <c r="H594" s="32" t="str">
        <f>IFERROR(__xludf.DUMMYFUNCTION("IFERROR(VALUE(REGEXEXTRACT(C594,""\d+\s*/\s*(\d+)"")),"""")"),"")</f>
        <v/>
      </c>
      <c r="I594" s="32" t="str">
        <f t="shared" si="2"/>
        <v/>
      </c>
      <c r="J594" s="33" t="str">
        <f t="shared" si="3"/>
        <v/>
      </c>
    </row>
    <row r="595" ht="15.75" customHeight="1">
      <c r="A595" s="22" t="s">
        <v>113</v>
      </c>
      <c r="B595" s="22" t="str">
        <f>IF(MOV_CC_NACIONAL!A595="","",MOV_CC_NACIONAL!A595)</f>
        <v/>
      </c>
      <c r="C595" s="22" t="str">
        <f>IF(MOV_CC_NACIONAL!B595="","",MOV_CC_NACIONAL!B595)</f>
        <v/>
      </c>
      <c r="D595" s="34" t="str">
        <f>IF(MOV_CC_NACIONAL!C595="","",MOV_CC_NACIONAL!C595)</f>
        <v/>
      </c>
      <c r="E595" s="22" t="str">
        <f t="shared" si="1"/>
        <v/>
      </c>
      <c r="F595" s="22" t="str">
        <f>IFERROR(__xludf.DUMMYFUNCTION("IF(C595="""","""", OR(REGEXMATCH(LOWER(C595),""cuota""), REGEXMATCH(C595,""\d+\s*/\s*\d+"")))"),"")</f>
        <v/>
      </c>
      <c r="G595" s="22" t="str">
        <f>IFERROR(__xludf.DUMMYFUNCTION("IFERROR(VALUE(REGEXEXTRACT(C595,""(\d+)\s*/\s*\d+"")),"""")"),"")</f>
        <v/>
      </c>
      <c r="H595" s="22" t="str">
        <f>IFERROR(__xludf.DUMMYFUNCTION("IFERROR(VALUE(REGEXEXTRACT(C595,""\d+\s*/\s*(\d+)"")),"""")"),"")</f>
        <v/>
      </c>
      <c r="I595" s="22" t="str">
        <f t="shared" si="2"/>
        <v/>
      </c>
      <c r="J595" s="34" t="str">
        <f t="shared" si="3"/>
        <v/>
      </c>
    </row>
    <row r="596" ht="15.75" customHeight="1">
      <c r="A596" s="32" t="s">
        <v>113</v>
      </c>
      <c r="B596" s="32" t="str">
        <f>IF(MOV_CC_NACIONAL!A596="","",MOV_CC_NACIONAL!A596)</f>
        <v/>
      </c>
      <c r="C596" s="32" t="str">
        <f>IF(MOV_CC_NACIONAL!B596="","",MOV_CC_NACIONAL!B596)</f>
        <v/>
      </c>
      <c r="D596" s="33" t="str">
        <f>IF(MOV_CC_NACIONAL!C596="","",MOV_CC_NACIONAL!C596)</f>
        <v/>
      </c>
      <c r="E596" s="32" t="str">
        <f t="shared" si="1"/>
        <v/>
      </c>
      <c r="F596" s="32" t="str">
        <f>IFERROR(__xludf.DUMMYFUNCTION("IF(C596="""","""", OR(REGEXMATCH(LOWER(C596),""cuota""), REGEXMATCH(C596,""\d+\s*/\s*\d+"")))"),"")</f>
        <v/>
      </c>
      <c r="G596" s="32" t="str">
        <f>IFERROR(__xludf.DUMMYFUNCTION("IFERROR(VALUE(REGEXEXTRACT(C596,""(\d+)\s*/\s*\d+"")),"""")"),"")</f>
        <v/>
      </c>
      <c r="H596" s="32" t="str">
        <f>IFERROR(__xludf.DUMMYFUNCTION("IFERROR(VALUE(REGEXEXTRACT(C596,""\d+\s*/\s*(\d+)"")),"""")"),"")</f>
        <v/>
      </c>
      <c r="I596" s="32" t="str">
        <f t="shared" si="2"/>
        <v/>
      </c>
      <c r="J596" s="33" t="str">
        <f t="shared" si="3"/>
        <v/>
      </c>
    </row>
    <row r="597" ht="15.75" customHeight="1">
      <c r="A597" s="22" t="s">
        <v>113</v>
      </c>
      <c r="B597" s="22" t="str">
        <f>IF(MOV_CC_NACIONAL!A597="","",MOV_CC_NACIONAL!A597)</f>
        <v/>
      </c>
      <c r="C597" s="22" t="str">
        <f>IF(MOV_CC_NACIONAL!B597="","",MOV_CC_NACIONAL!B597)</f>
        <v/>
      </c>
      <c r="D597" s="34" t="str">
        <f>IF(MOV_CC_NACIONAL!C597="","",MOV_CC_NACIONAL!C597)</f>
        <v/>
      </c>
      <c r="E597" s="22" t="str">
        <f t="shared" si="1"/>
        <v/>
      </c>
      <c r="F597" s="22" t="str">
        <f>IFERROR(__xludf.DUMMYFUNCTION("IF(C597="""","""", OR(REGEXMATCH(LOWER(C597),""cuota""), REGEXMATCH(C597,""\d+\s*/\s*\d+"")))"),"")</f>
        <v/>
      </c>
      <c r="G597" s="22" t="str">
        <f>IFERROR(__xludf.DUMMYFUNCTION("IFERROR(VALUE(REGEXEXTRACT(C597,""(\d+)\s*/\s*\d+"")),"""")"),"")</f>
        <v/>
      </c>
      <c r="H597" s="22" t="str">
        <f>IFERROR(__xludf.DUMMYFUNCTION("IFERROR(VALUE(REGEXEXTRACT(C597,""\d+\s*/\s*(\d+)"")),"""")"),"")</f>
        <v/>
      </c>
      <c r="I597" s="22" t="str">
        <f t="shared" si="2"/>
        <v/>
      </c>
      <c r="J597" s="34" t="str">
        <f t="shared" si="3"/>
        <v/>
      </c>
    </row>
    <row r="598" ht="15.75" customHeight="1">
      <c r="A598" s="32" t="s">
        <v>113</v>
      </c>
      <c r="B598" s="32" t="str">
        <f>IF(MOV_CC_NACIONAL!A598="","",MOV_CC_NACIONAL!A598)</f>
        <v/>
      </c>
      <c r="C598" s="32" t="str">
        <f>IF(MOV_CC_NACIONAL!B598="","",MOV_CC_NACIONAL!B598)</f>
        <v/>
      </c>
      <c r="D598" s="33" t="str">
        <f>IF(MOV_CC_NACIONAL!C598="","",MOV_CC_NACIONAL!C598)</f>
        <v/>
      </c>
      <c r="E598" s="32" t="str">
        <f t="shared" si="1"/>
        <v/>
      </c>
      <c r="F598" s="32" t="str">
        <f>IFERROR(__xludf.DUMMYFUNCTION("IF(C598="""","""", OR(REGEXMATCH(LOWER(C598),""cuota""), REGEXMATCH(C598,""\d+\s*/\s*\d+"")))"),"")</f>
        <v/>
      </c>
      <c r="G598" s="32" t="str">
        <f>IFERROR(__xludf.DUMMYFUNCTION("IFERROR(VALUE(REGEXEXTRACT(C598,""(\d+)\s*/\s*\d+"")),"""")"),"")</f>
        <v/>
      </c>
      <c r="H598" s="32" t="str">
        <f>IFERROR(__xludf.DUMMYFUNCTION("IFERROR(VALUE(REGEXEXTRACT(C598,""\d+\s*/\s*(\d+)"")),"""")"),"")</f>
        <v/>
      </c>
      <c r="I598" s="32" t="str">
        <f t="shared" si="2"/>
        <v/>
      </c>
      <c r="J598" s="33" t="str">
        <f t="shared" si="3"/>
        <v/>
      </c>
    </row>
    <row r="599" ht="15.75" customHeight="1">
      <c r="A599" s="22" t="s">
        <v>113</v>
      </c>
      <c r="B599" s="22" t="str">
        <f>IF(MOV_CC_NACIONAL!A599="","",MOV_CC_NACIONAL!A599)</f>
        <v/>
      </c>
      <c r="C599" s="22" t="str">
        <f>IF(MOV_CC_NACIONAL!B599="","",MOV_CC_NACIONAL!B599)</f>
        <v/>
      </c>
      <c r="D599" s="34" t="str">
        <f>IF(MOV_CC_NACIONAL!C599="","",MOV_CC_NACIONAL!C599)</f>
        <v/>
      </c>
      <c r="E599" s="22" t="str">
        <f t="shared" si="1"/>
        <v/>
      </c>
      <c r="F599" s="22" t="str">
        <f>IFERROR(__xludf.DUMMYFUNCTION("IF(C599="""","""", OR(REGEXMATCH(LOWER(C599),""cuota""), REGEXMATCH(C599,""\d+\s*/\s*\d+"")))"),"")</f>
        <v/>
      </c>
      <c r="G599" s="22" t="str">
        <f>IFERROR(__xludf.DUMMYFUNCTION("IFERROR(VALUE(REGEXEXTRACT(C599,""(\d+)\s*/\s*\d+"")),"""")"),"")</f>
        <v/>
      </c>
      <c r="H599" s="22" t="str">
        <f>IFERROR(__xludf.DUMMYFUNCTION("IFERROR(VALUE(REGEXEXTRACT(C599,""\d+\s*/\s*(\d+)"")),"""")"),"")</f>
        <v/>
      </c>
      <c r="I599" s="22" t="str">
        <f t="shared" si="2"/>
        <v/>
      </c>
      <c r="J599" s="34" t="str">
        <f t="shared" si="3"/>
        <v/>
      </c>
    </row>
    <row r="600" ht="15.75" customHeight="1">
      <c r="A600" s="32" t="s">
        <v>113</v>
      </c>
      <c r="B600" s="32" t="str">
        <f>IF(MOV_CC_NACIONAL!A600="","",MOV_CC_NACIONAL!A600)</f>
        <v/>
      </c>
      <c r="C600" s="32" t="str">
        <f>IF(MOV_CC_NACIONAL!B600="","",MOV_CC_NACIONAL!B600)</f>
        <v/>
      </c>
      <c r="D600" s="33" t="str">
        <f>IF(MOV_CC_NACIONAL!C600="","",MOV_CC_NACIONAL!C600)</f>
        <v/>
      </c>
      <c r="E600" s="32" t="str">
        <f t="shared" si="1"/>
        <v/>
      </c>
      <c r="F600" s="32" t="str">
        <f>IFERROR(__xludf.DUMMYFUNCTION("IF(C600="""","""", OR(REGEXMATCH(LOWER(C600),""cuota""), REGEXMATCH(C600,""\d+\s*/\s*\d+"")))"),"")</f>
        <v/>
      </c>
      <c r="G600" s="32" t="str">
        <f>IFERROR(__xludf.DUMMYFUNCTION("IFERROR(VALUE(REGEXEXTRACT(C600,""(\d+)\s*/\s*\d+"")),"""")"),"")</f>
        <v/>
      </c>
      <c r="H600" s="32" t="str">
        <f>IFERROR(__xludf.DUMMYFUNCTION("IFERROR(VALUE(REGEXEXTRACT(C600,""\d+\s*/\s*(\d+)"")),"""")"),"")</f>
        <v/>
      </c>
      <c r="I600" s="32" t="str">
        <f t="shared" si="2"/>
        <v/>
      </c>
      <c r="J600" s="33" t="str">
        <f t="shared" si="3"/>
        <v/>
      </c>
    </row>
    <row r="601" ht="15.75" customHeight="1">
      <c r="A601" s="22" t="s">
        <v>113</v>
      </c>
      <c r="B601" s="22" t="str">
        <f>IF(MOV_CC_NACIONAL!A601="","",MOV_CC_NACIONAL!A601)</f>
        <v/>
      </c>
      <c r="C601" s="22" t="str">
        <f>IF(MOV_CC_NACIONAL!B601="","",MOV_CC_NACIONAL!B601)</f>
        <v/>
      </c>
      <c r="D601" s="34" t="str">
        <f>IF(MOV_CC_NACIONAL!C601="","",MOV_CC_NACIONAL!C601)</f>
        <v/>
      </c>
      <c r="E601" s="22" t="str">
        <f t="shared" si="1"/>
        <v/>
      </c>
      <c r="F601" s="22" t="str">
        <f>IFERROR(__xludf.DUMMYFUNCTION("IF(C601="""","""", OR(REGEXMATCH(LOWER(C601),""cuota""), REGEXMATCH(C601,""\d+\s*/\s*\d+"")))"),"")</f>
        <v/>
      </c>
      <c r="G601" s="22" t="str">
        <f>IFERROR(__xludf.DUMMYFUNCTION("IFERROR(VALUE(REGEXEXTRACT(C601,""(\d+)\s*/\s*\d+"")),"""")"),"")</f>
        <v/>
      </c>
      <c r="H601" s="22" t="str">
        <f>IFERROR(__xludf.DUMMYFUNCTION("IFERROR(VALUE(REGEXEXTRACT(C601,""\d+\s*/\s*(\d+)"")),"""")"),"")</f>
        <v/>
      </c>
      <c r="I601" s="22" t="str">
        <f t="shared" si="2"/>
        <v/>
      </c>
      <c r="J601" s="34" t="str">
        <f t="shared" si="3"/>
        <v/>
      </c>
    </row>
    <row r="602" ht="15.75" customHeight="1">
      <c r="A602" s="32" t="s">
        <v>113</v>
      </c>
      <c r="B602" s="32" t="str">
        <f>IF(MOV_CC_NACIONAL!A602="","",MOV_CC_NACIONAL!A602)</f>
        <v/>
      </c>
      <c r="C602" s="32" t="str">
        <f>IF(MOV_CC_NACIONAL!B602="","",MOV_CC_NACIONAL!B602)</f>
        <v/>
      </c>
      <c r="D602" s="33" t="str">
        <f>IF(MOV_CC_NACIONAL!C602="","",MOV_CC_NACIONAL!C602)</f>
        <v/>
      </c>
      <c r="E602" s="32" t="str">
        <f t="shared" si="1"/>
        <v/>
      </c>
      <c r="F602" s="32" t="str">
        <f>IFERROR(__xludf.DUMMYFUNCTION("IF(C602="""","""", OR(REGEXMATCH(LOWER(C602),""cuota""), REGEXMATCH(C602,""\d+\s*/\s*\d+"")))"),"")</f>
        <v/>
      </c>
      <c r="G602" s="32" t="str">
        <f>IFERROR(__xludf.DUMMYFUNCTION("IFERROR(VALUE(REGEXEXTRACT(C602,""(\d+)\s*/\s*\d+"")),"""")"),"")</f>
        <v/>
      </c>
      <c r="H602" s="32" t="str">
        <f>IFERROR(__xludf.DUMMYFUNCTION("IFERROR(VALUE(REGEXEXTRACT(C602,""\d+\s*/\s*(\d+)"")),"""")"),"")</f>
        <v/>
      </c>
      <c r="I602" s="32" t="str">
        <f t="shared" si="2"/>
        <v/>
      </c>
      <c r="J602" s="33" t="str">
        <f t="shared" si="3"/>
        <v/>
      </c>
    </row>
    <row r="603" ht="15.75" customHeight="1">
      <c r="A603" s="22" t="s">
        <v>113</v>
      </c>
      <c r="B603" s="22" t="str">
        <f>IF(MOV_CC_NACIONAL!A603="","",MOV_CC_NACIONAL!A603)</f>
        <v/>
      </c>
      <c r="C603" s="22" t="str">
        <f>IF(MOV_CC_NACIONAL!B603="","",MOV_CC_NACIONAL!B603)</f>
        <v/>
      </c>
      <c r="D603" s="34" t="str">
        <f>IF(MOV_CC_NACIONAL!C603="","",MOV_CC_NACIONAL!C603)</f>
        <v/>
      </c>
      <c r="E603" s="22" t="str">
        <f t="shared" si="1"/>
        <v/>
      </c>
      <c r="F603" s="22" t="str">
        <f>IFERROR(__xludf.DUMMYFUNCTION("IF(C603="""","""", OR(REGEXMATCH(LOWER(C603),""cuota""), REGEXMATCH(C603,""\d+\s*/\s*\d+"")))"),"")</f>
        <v/>
      </c>
      <c r="G603" s="22" t="str">
        <f>IFERROR(__xludf.DUMMYFUNCTION("IFERROR(VALUE(REGEXEXTRACT(C603,""(\d+)\s*/\s*\d+"")),"""")"),"")</f>
        <v/>
      </c>
      <c r="H603" s="22" t="str">
        <f>IFERROR(__xludf.DUMMYFUNCTION("IFERROR(VALUE(REGEXEXTRACT(C603,""\d+\s*/\s*(\d+)"")),"""")"),"")</f>
        <v/>
      </c>
      <c r="I603" s="22" t="str">
        <f t="shared" si="2"/>
        <v/>
      </c>
      <c r="J603" s="34" t="str">
        <f t="shared" si="3"/>
        <v/>
      </c>
    </row>
    <row r="604" ht="15.75" customHeight="1">
      <c r="A604" s="32" t="s">
        <v>113</v>
      </c>
      <c r="B604" s="32" t="str">
        <f>IF(MOV_CC_NACIONAL!A604="","",MOV_CC_NACIONAL!A604)</f>
        <v/>
      </c>
      <c r="C604" s="32" t="str">
        <f>IF(MOV_CC_NACIONAL!B604="","",MOV_CC_NACIONAL!B604)</f>
        <v/>
      </c>
      <c r="D604" s="33" t="str">
        <f>IF(MOV_CC_NACIONAL!C604="","",MOV_CC_NACIONAL!C604)</f>
        <v/>
      </c>
      <c r="E604" s="32" t="str">
        <f t="shared" si="1"/>
        <v/>
      </c>
      <c r="F604" s="32" t="str">
        <f>IFERROR(__xludf.DUMMYFUNCTION("IF(C604="""","""", OR(REGEXMATCH(LOWER(C604),""cuota""), REGEXMATCH(C604,""\d+\s*/\s*\d+"")))"),"")</f>
        <v/>
      </c>
      <c r="G604" s="32" t="str">
        <f>IFERROR(__xludf.DUMMYFUNCTION("IFERROR(VALUE(REGEXEXTRACT(C604,""(\d+)\s*/\s*\d+"")),"""")"),"")</f>
        <v/>
      </c>
      <c r="H604" s="32" t="str">
        <f>IFERROR(__xludf.DUMMYFUNCTION("IFERROR(VALUE(REGEXEXTRACT(C604,""\d+\s*/\s*(\d+)"")),"""")"),"")</f>
        <v/>
      </c>
      <c r="I604" s="32" t="str">
        <f t="shared" si="2"/>
        <v/>
      </c>
      <c r="J604" s="33" t="str">
        <f t="shared" si="3"/>
        <v/>
      </c>
    </row>
    <row r="605" ht="15.75" customHeight="1">
      <c r="A605" s="22" t="s">
        <v>113</v>
      </c>
      <c r="B605" s="22" t="str">
        <f>IF(MOV_CC_NACIONAL!A605="","",MOV_CC_NACIONAL!A605)</f>
        <v/>
      </c>
      <c r="C605" s="22" t="str">
        <f>IF(MOV_CC_NACIONAL!B605="","",MOV_CC_NACIONAL!B605)</f>
        <v/>
      </c>
      <c r="D605" s="34" t="str">
        <f>IF(MOV_CC_NACIONAL!C605="","",MOV_CC_NACIONAL!C605)</f>
        <v/>
      </c>
      <c r="E605" s="22" t="str">
        <f t="shared" si="1"/>
        <v/>
      </c>
      <c r="F605" s="22" t="str">
        <f>IFERROR(__xludf.DUMMYFUNCTION("IF(C605="""","""", OR(REGEXMATCH(LOWER(C605),""cuota""), REGEXMATCH(C605,""\d+\s*/\s*\d+"")))"),"")</f>
        <v/>
      </c>
      <c r="G605" s="22" t="str">
        <f>IFERROR(__xludf.DUMMYFUNCTION("IFERROR(VALUE(REGEXEXTRACT(C605,""(\d+)\s*/\s*\d+"")),"""")"),"")</f>
        <v/>
      </c>
      <c r="H605" s="22" t="str">
        <f>IFERROR(__xludf.DUMMYFUNCTION("IFERROR(VALUE(REGEXEXTRACT(C605,""\d+\s*/\s*(\d+)"")),"""")"),"")</f>
        <v/>
      </c>
      <c r="I605" s="22" t="str">
        <f t="shared" si="2"/>
        <v/>
      </c>
      <c r="J605" s="34" t="str">
        <f t="shared" si="3"/>
        <v/>
      </c>
    </row>
    <row r="606" ht="15.75" customHeight="1">
      <c r="A606" s="32" t="s">
        <v>113</v>
      </c>
      <c r="B606" s="32" t="str">
        <f>IF(MOV_CC_NACIONAL!A606="","",MOV_CC_NACIONAL!A606)</f>
        <v/>
      </c>
      <c r="C606" s="32" t="str">
        <f>IF(MOV_CC_NACIONAL!B606="","",MOV_CC_NACIONAL!B606)</f>
        <v/>
      </c>
      <c r="D606" s="33" t="str">
        <f>IF(MOV_CC_NACIONAL!C606="","",MOV_CC_NACIONAL!C606)</f>
        <v/>
      </c>
      <c r="E606" s="32" t="str">
        <f t="shared" si="1"/>
        <v/>
      </c>
      <c r="F606" s="32" t="str">
        <f>IFERROR(__xludf.DUMMYFUNCTION("IF(C606="""","""", OR(REGEXMATCH(LOWER(C606),""cuota""), REGEXMATCH(C606,""\d+\s*/\s*\d+"")))"),"")</f>
        <v/>
      </c>
      <c r="G606" s="32" t="str">
        <f>IFERROR(__xludf.DUMMYFUNCTION("IFERROR(VALUE(REGEXEXTRACT(C606,""(\d+)\s*/\s*\d+"")),"""")"),"")</f>
        <v/>
      </c>
      <c r="H606" s="32" t="str">
        <f>IFERROR(__xludf.DUMMYFUNCTION("IFERROR(VALUE(REGEXEXTRACT(C606,""\d+\s*/\s*(\d+)"")),"""")"),"")</f>
        <v/>
      </c>
      <c r="I606" s="32" t="str">
        <f t="shared" si="2"/>
        <v/>
      </c>
      <c r="J606" s="33" t="str">
        <f t="shared" si="3"/>
        <v/>
      </c>
    </row>
    <row r="607" ht="15.75" customHeight="1">
      <c r="A607" s="22" t="s">
        <v>113</v>
      </c>
      <c r="B607" s="22" t="str">
        <f>IF(MOV_CC_NACIONAL!A607="","",MOV_CC_NACIONAL!A607)</f>
        <v/>
      </c>
      <c r="C607" s="22" t="str">
        <f>IF(MOV_CC_NACIONAL!B607="","",MOV_CC_NACIONAL!B607)</f>
        <v/>
      </c>
      <c r="D607" s="34" t="str">
        <f>IF(MOV_CC_NACIONAL!C607="","",MOV_CC_NACIONAL!C607)</f>
        <v/>
      </c>
      <c r="E607" s="22" t="str">
        <f t="shared" si="1"/>
        <v/>
      </c>
      <c r="F607" s="22" t="str">
        <f>IFERROR(__xludf.DUMMYFUNCTION("IF(C607="""","""", OR(REGEXMATCH(LOWER(C607),""cuota""), REGEXMATCH(C607,""\d+\s*/\s*\d+"")))"),"")</f>
        <v/>
      </c>
      <c r="G607" s="22" t="str">
        <f>IFERROR(__xludf.DUMMYFUNCTION("IFERROR(VALUE(REGEXEXTRACT(C607,""(\d+)\s*/\s*\d+"")),"""")"),"")</f>
        <v/>
      </c>
      <c r="H607" s="22" t="str">
        <f>IFERROR(__xludf.DUMMYFUNCTION("IFERROR(VALUE(REGEXEXTRACT(C607,""\d+\s*/\s*(\d+)"")),"""")"),"")</f>
        <v/>
      </c>
      <c r="I607" s="22" t="str">
        <f t="shared" si="2"/>
        <v/>
      </c>
      <c r="J607" s="34" t="str">
        <f t="shared" si="3"/>
        <v/>
      </c>
    </row>
    <row r="608" ht="15.75" customHeight="1">
      <c r="A608" s="32" t="s">
        <v>113</v>
      </c>
      <c r="B608" s="32" t="str">
        <f>IF(MOV_CC_NACIONAL!A608="","",MOV_CC_NACIONAL!A608)</f>
        <v/>
      </c>
      <c r="C608" s="32" t="str">
        <f>IF(MOV_CC_NACIONAL!B608="","",MOV_CC_NACIONAL!B608)</f>
        <v/>
      </c>
      <c r="D608" s="33" t="str">
        <f>IF(MOV_CC_NACIONAL!C608="","",MOV_CC_NACIONAL!C608)</f>
        <v/>
      </c>
      <c r="E608" s="32" t="str">
        <f t="shared" si="1"/>
        <v/>
      </c>
      <c r="F608" s="32" t="str">
        <f>IFERROR(__xludf.DUMMYFUNCTION("IF(C608="""","""", OR(REGEXMATCH(LOWER(C608),""cuota""), REGEXMATCH(C608,""\d+\s*/\s*\d+"")))"),"")</f>
        <v/>
      </c>
      <c r="G608" s="32" t="str">
        <f>IFERROR(__xludf.DUMMYFUNCTION("IFERROR(VALUE(REGEXEXTRACT(C608,""(\d+)\s*/\s*\d+"")),"""")"),"")</f>
        <v/>
      </c>
      <c r="H608" s="32" t="str">
        <f>IFERROR(__xludf.DUMMYFUNCTION("IFERROR(VALUE(REGEXEXTRACT(C608,""\d+\s*/\s*(\d+)"")),"""")"),"")</f>
        <v/>
      </c>
      <c r="I608" s="32" t="str">
        <f t="shared" si="2"/>
        <v/>
      </c>
      <c r="J608" s="33" t="str">
        <f t="shared" si="3"/>
        <v/>
      </c>
    </row>
    <row r="609" ht="15.75" customHeight="1">
      <c r="A609" s="22" t="s">
        <v>113</v>
      </c>
      <c r="B609" s="22" t="str">
        <f>IF(MOV_CC_NACIONAL!A609="","",MOV_CC_NACIONAL!A609)</f>
        <v/>
      </c>
      <c r="C609" s="22" t="str">
        <f>IF(MOV_CC_NACIONAL!B609="","",MOV_CC_NACIONAL!B609)</f>
        <v/>
      </c>
      <c r="D609" s="34" t="str">
        <f>IF(MOV_CC_NACIONAL!C609="","",MOV_CC_NACIONAL!C609)</f>
        <v/>
      </c>
      <c r="E609" s="22" t="str">
        <f t="shared" si="1"/>
        <v/>
      </c>
      <c r="F609" s="22" t="str">
        <f>IFERROR(__xludf.DUMMYFUNCTION("IF(C609="""","""", OR(REGEXMATCH(LOWER(C609),""cuota""), REGEXMATCH(C609,""\d+\s*/\s*\d+"")))"),"")</f>
        <v/>
      </c>
      <c r="G609" s="22" t="str">
        <f>IFERROR(__xludf.DUMMYFUNCTION("IFERROR(VALUE(REGEXEXTRACT(C609,""(\d+)\s*/\s*\d+"")),"""")"),"")</f>
        <v/>
      </c>
      <c r="H609" s="22" t="str">
        <f>IFERROR(__xludf.DUMMYFUNCTION("IFERROR(VALUE(REGEXEXTRACT(C609,""\d+\s*/\s*(\d+)"")),"""")"),"")</f>
        <v/>
      </c>
      <c r="I609" s="22" t="str">
        <f t="shared" si="2"/>
        <v/>
      </c>
      <c r="J609" s="34" t="str">
        <f t="shared" si="3"/>
        <v/>
      </c>
    </row>
    <row r="610" ht="15.75" customHeight="1">
      <c r="A610" s="32" t="s">
        <v>113</v>
      </c>
      <c r="B610" s="32" t="str">
        <f>IF(MOV_CC_NACIONAL!A610="","",MOV_CC_NACIONAL!A610)</f>
        <v/>
      </c>
      <c r="C610" s="32" t="str">
        <f>IF(MOV_CC_NACIONAL!B610="","",MOV_CC_NACIONAL!B610)</f>
        <v/>
      </c>
      <c r="D610" s="33" t="str">
        <f>IF(MOV_CC_NACIONAL!C610="","",MOV_CC_NACIONAL!C610)</f>
        <v/>
      </c>
      <c r="E610" s="32" t="str">
        <f t="shared" si="1"/>
        <v/>
      </c>
      <c r="F610" s="32" t="str">
        <f>IFERROR(__xludf.DUMMYFUNCTION("IF(C610="""","""", OR(REGEXMATCH(LOWER(C610),""cuota""), REGEXMATCH(C610,""\d+\s*/\s*\d+"")))"),"")</f>
        <v/>
      </c>
      <c r="G610" s="32" t="str">
        <f>IFERROR(__xludf.DUMMYFUNCTION("IFERROR(VALUE(REGEXEXTRACT(C610,""(\d+)\s*/\s*\d+"")),"""")"),"")</f>
        <v/>
      </c>
      <c r="H610" s="32" t="str">
        <f>IFERROR(__xludf.DUMMYFUNCTION("IFERROR(VALUE(REGEXEXTRACT(C610,""\d+\s*/\s*(\d+)"")),"""")"),"")</f>
        <v/>
      </c>
      <c r="I610" s="32" t="str">
        <f t="shared" si="2"/>
        <v/>
      </c>
      <c r="J610" s="33" t="str">
        <f t="shared" si="3"/>
        <v/>
      </c>
    </row>
    <row r="611" ht="15.75" customHeight="1">
      <c r="A611" s="22" t="s">
        <v>113</v>
      </c>
      <c r="B611" s="22" t="str">
        <f>IF(MOV_CC_NACIONAL!A611="","",MOV_CC_NACIONAL!A611)</f>
        <v/>
      </c>
      <c r="C611" s="22" t="str">
        <f>IF(MOV_CC_NACIONAL!B611="","",MOV_CC_NACIONAL!B611)</f>
        <v/>
      </c>
      <c r="D611" s="34" t="str">
        <f>IF(MOV_CC_NACIONAL!C611="","",MOV_CC_NACIONAL!C611)</f>
        <v/>
      </c>
      <c r="E611" s="22" t="str">
        <f t="shared" si="1"/>
        <v/>
      </c>
      <c r="F611" s="22" t="str">
        <f>IFERROR(__xludf.DUMMYFUNCTION("IF(C611="""","""", OR(REGEXMATCH(LOWER(C611),""cuota""), REGEXMATCH(C611,""\d+\s*/\s*\d+"")))"),"")</f>
        <v/>
      </c>
      <c r="G611" s="22" t="str">
        <f>IFERROR(__xludf.DUMMYFUNCTION("IFERROR(VALUE(REGEXEXTRACT(C611,""(\d+)\s*/\s*\d+"")),"""")"),"")</f>
        <v/>
      </c>
      <c r="H611" s="22" t="str">
        <f>IFERROR(__xludf.DUMMYFUNCTION("IFERROR(VALUE(REGEXEXTRACT(C611,""\d+\s*/\s*(\d+)"")),"""")"),"")</f>
        <v/>
      </c>
      <c r="I611" s="22" t="str">
        <f t="shared" si="2"/>
        <v/>
      </c>
      <c r="J611" s="34" t="str">
        <f t="shared" si="3"/>
        <v/>
      </c>
    </row>
    <row r="612" ht="15.75" customHeight="1">
      <c r="A612" s="32" t="s">
        <v>113</v>
      </c>
      <c r="B612" s="32" t="str">
        <f>IF(MOV_CC_NACIONAL!A612="","",MOV_CC_NACIONAL!A612)</f>
        <v/>
      </c>
      <c r="C612" s="32" t="str">
        <f>IF(MOV_CC_NACIONAL!B612="","",MOV_CC_NACIONAL!B612)</f>
        <v/>
      </c>
      <c r="D612" s="33" t="str">
        <f>IF(MOV_CC_NACIONAL!C612="","",MOV_CC_NACIONAL!C612)</f>
        <v/>
      </c>
      <c r="E612" s="32" t="str">
        <f t="shared" si="1"/>
        <v/>
      </c>
      <c r="F612" s="32" t="str">
        <f>IFERROR(__xludf.DUMMYFUNCTION("IF(C612="""","""", OR(REGEXMATCH(LOWER(C612),""cuota""), REGEXMATCH(C612,""\d+\s*/\s*\d+"")))"),"")</f>
        <v/>
      </c>
      <c r="G612" s="32" t="str">
        <f>IFERROR(__xludf.DUMMYFUNCTION("IFERROR(VALUE(REGEXEXTRACT(C612,""(\d+)\s*/\s*\d+"")),"""")"),"")</f>
        <v/>
      </c>
      <c r="H612" s="32" t="str">
        <f>IFERROR(__xludf.DUMMYFUNCTION("IFERROR(VALUE(REGEXEXTRACT(C612,""\d+\s*/\s*(\d+)"")),"""")"),"")</f>
        <v/>
      </c>
      <c r="I612" s="32" t="str">
        <f t="shared" si="2"/>
        <v/>
      </c>
      <c r="J612" s="33" t="str">
        <f t="shared" si="3"/>
        <v/>
      </c>
    </row>
    <row r="613" ht="15.75" customHeight="1">
      <c r="A613" s="22" t="s">
        <v>113</v>
      </c>
      <c r="B613" s="22" t="str">
        <f>IF(MOV_CC_NACIONAL!A613="","",MOV_CC_NACIONAL!A613)</f>
        <v/>
      </c>
      <c r="C613" s="22" t="str">
        <f>IF(MOV_CC_NACIONAL!B613="","",MOV_CC_NACIONAL!B613)</f>
        <v/>
      </c>
      <c r="D613" s="34" t="str">
        <f>IF(MOV_CC_NACIONAL!C613="","",MOV_CC_NACIONAL!C613)</f>
        <v/>
      </c>
      <c r="E613" s="22" t="str">
        <f t="shared" si="1"/>
        <v/>
      </c>
      <c r="F613" s="22" t="str">
        <f>IFERROR(__xludf.DUMMYFUNCTION("IF(C613="""","""", OR(REGEXMATCH(LOWER(C613),""cuota""), REGEXMATCH(C613,""\d+\s*/\s*\d+"")))"),"")</f>
        <v/>
      </c>
      <c r="G613" s="22" t="str">
        <f>IFERROR(__xludf.DUMMYFUNCTION("IFERROR(VALUE(REGEXEXTRACT(C613,""(\d+)\s*/\s*\d+"")),"""")"),"")</f>
        <v/>
      </c>
      <c r="H613" s="22" t="str">
        <f>IFERROR(__xludf.DUMMYFUNCTION("IFERROR(VALUE(REGEXEXTRACT(C613,""\d+\s*/\s*(\d+)"")),"""")"),"")</f>
        <v/>
      </c>
      <c r="I613" s="22" t="str">
        <f t="shared" si="2"/>
        <v/>
      </c>
      <c r="J613" s="34" t="str">
        <f t="shared" si="3"/>
        <v/>
      </c>
    </row>
    <row r="614" ht="15.75" customHeight="1">
      <c r="A614" s="32" t="s">
        <v>113</v>
      </c>
      <c r="B614" s="32" t="str">
        <f>IF(MOV_CC_NACIONAL!A614="","",MOV_CC_NACIONAL!A614)</f>
        <v/>
      </c>
      <c r="C614" s="32" t="str">
        <f>IF(MOV_CC_NACIONAL!B614="","",MOV_CC_NACIONAL!B614)</f>
        <v/>
      </c>
      <c r="D614" s="33" t="str">
        <f>IF(MOV_CC_NACIONAL!C614="","",MOV_CC_NACIONAL!C614)</f>
        <v/>
      </c>
      <c r="E614" s="32" t="str">
        <f t="shared" si="1"/>
        <v/>
      </c>
      <c r="F614" s="32" t="str">
        <f>IFERROR(__xludf.DUMMYFUNCTION("IF(C614="""","""", OR(REGEXMATCH(LOWER(C614),""cuota""), REGEXMATCH(C614,""\d+\s*/\s*\d+"")))"),"")</f>
        <v/>
      </c>
      <c r="G614" s="32" t="str">
        <f>IFERROR(__xludf.DUMMYFUNCTION("IFERROR(VALUE(REGEXEXTRACT(C614,""(\d+)\s*/\s*\d+"")),"""")"),"")</f>
        <v/>
      </c>
      <c r="H614" s="32" t="str">
        <f>IFERROR(__xludf.DUMMYFUNCTION("IFERROR(VALUE(REGEXEXTRACT(C614,""\d+\s*/\s*(\d+)"")),"""")"),"")</f>
        <v/>
      </c>
      <c r="I614" s="32" t="str">
        <f t="shared" si="2"/>
        <v/>
      </c>
      <c r="J614" s="33" t="str">
        <f t="shared" si="3"/>
        <v/>
      </c>
    </row>
    <row r="615" ht="15.75" customHeight="1">
      <c r="A615" s="22" t="s">
        <v>113</v>
      </c>
      <c r="B615" s="22" t="str">
        <f>IF(MOV_CC_NACIONAL!A615="","",MOV_CC_NACIONAL!A615)</f>
        <v/>
      </c>
      <c r="C615" s="22" t="str">
        <f>IF(MOV_CC_NACIONAL!B615="","",MOV_CC_NACIONAL!B615)</f>
        <v/>
      </c>
      <c r="D615" s="34" t="str">
        <f>IF(MOV_CC_NACIONAL!C615="","",MOV_CC_NACIONAL!C615)</f>
        <v/>
      </c>
      <c r="E615" s="22" t="str">
        <f t="shared" si="1"/>
        <v/>
      </c>
      <c r="F615" s="22" t="str">
        <f>IFERROR(__xludf.DUMMYFUNCTION("IF(C615="""","""", OR(REGEXMATCH(LOWER(C615),""cuota""), REGEXMATCH(C615,""\d+\s*/\s*\d+"")))"),"")</f>
        <v/>
      </c>
      <c r="G615" s="22" t="str">
        <f>IFERROR(__xludf.DUMMYFUNCTION("IFERROR(VALUE(REGEXEXTRACT(C615,""(\d+)\s*/\s*\d+"")),"""")"),"")</f>
        <v/>
      </c>
      <c r="H615" s="22" t="str">
        <f>IFERROR(__xludf.DUMMYFUNCTION("IFERROR(VALUE(REGEXEXTRACT(C615,""\d+\s*/\s*(\d+)"")),"""")"),"")</f>
        <v/>
      </c>
      <c r="I615" s="22" t="str">
        <f t="shared" si="2"/>
        <v/>
      </c>
      <c r="J615" s="34" t="str">
        <f t="shared" si="3"/>
        <v/>
      </c>
    </row>
    <row r="616" ht="15.75" customHeight="1">
      <c r="A616" s="32" t="s">
        <v>113</v>
      </c>
      <c r="B616" s="32" t="str">
        <f>IF(MOV_CC_NACIONAL!A616="","",MOV_CC_NACIONAL!A616)</f>
        <v/>
      </c>
      <c r="C616" s="32" t="str">
        <f>IF(MOV_CC_NACIONAL!B616="","",MOV_CC_NACIONAL!B616)</f>
        <v/>
      </c>
      <c r="D616" s="33" t="str">
        <f>IF(MOV_CC_NACIONAL!C616="","",MOV_CC_NACIONAL!C616)</f>
        <v/>
      </c>
      <c r="E616" s="32" t="str">
        <f t="shared" si="1"/>
        <v/>
      </c>
      <c r="F616" s="32" t="str">
        <f>IFERROR(__xludf.DUMMYFUNCTION("IF(C616="""","""", OR(REGEXMATCH(LOWER(C616),""cuota""), REGEXMATCH(C616,""\d+\s*/\s*\d+"")))"),"")</f>
        <v/>
      </c>
      <c r="G616" s="32" t="str">
        <f>IFERROR(__xludf.DUMMYFUNCTION("IFERROR(VALUE(REGEXEXTRACT(C616,""(\d+)\s*/\s*\d+"")),"""")"),"")</f>
        <v/>
      </c>
      <c r="H616" s="32" t="str">
        <f>IFERROR(__xludf.DUMMYFUNCTION("IFERROR(VALUE(REGEXEXTRACT(C616,""\d+\s*/\s*(\d+)"")),"""")"),"")</f>
        <v/>
      </c>
      <c r="I616" s="32" t="str">
        <f t="shared" si="2"/>
        <v/>
      </c>
      <c r="J616" s="33" t="str">
        <f t="shared" si="3"/>
        <v/>
      </c>
    </row>
    <row r="617" ht="15.75" customHeight="1">
      <c r="A617" s="22" t="s">
        <v>113</v>
      </c>
      <c r="B617" s="22" t="str">
        <f>IF(MOV_CC_NACIONAL!A617="","",MOV_CC_NACIONAL!A617)</f>
        <v/>
      </c>
      <c r="C617" s="22" t="str">
        <f>IF(MOV_CC_NACIONAL!B617="","",MOV_CC_NACIONAL!B617)</f>
        <v/>
      </c>
      <c r="D617" s="34" t="str">
        <f>IF(MOV_CC_NACIONAL!C617="","",MOV_CC_NACIONAL!C617)</f>
        <v/>
      </c>
      <c r="E617" s="22" t="str">
        <f t="shared" si="1"/>
        <v/>
      </c>
      <c r="F617" s="22" t="str">
        <f>IFERROR(__xludf.DUMMYFUNCTION("IF(C617="""","""", OR(REGEXMATCH(LOWER(C617),""cuota""), REGEXMATCH(C617,""\d+\s*/\s*\d+"")))"),"")</f>
        <v/>
      </c>
      <c r="G617" s="22" t="str">
        <f>IFERROR(__xludf.DUMMYFUNCTION("IFERROR(VALUE(REGEXEXTRACT(C617,""(\d+)\s*/\s*\d+"")),"""")"),"")</f>
        <v/>
      </c>
      <c r="H617" s="22" t="str">
        <f>IFERROR(__xludf.DUMMYFUNCTION("IFERROR(VALUE(REGEXEXTRACT(C617,""\d+\s*/\s*(\d+)"")),"""")"),"")</f>
        <v/>
      </c>
      <c r="I617" s="22" t="str">
        <f t="shared" si="2"/>
        <v/>
      </c>
      <c r="J617" s="34" t="str">
        <f t="shared" si="3"/>
        <v/>
      </c>
    </row>
    <row r="618" ht="15.75" customHeight="1">
      <c r="A618" s="32" t="s">
        <v>113</v>
      </c>
      <c r="B618" s="32" t="str">
        <f>IF(MOV_CC_NACIONAL!A618="","",MOV_CC_NACIONAL!A618)</f>
        <v/>
      </c>
      <c r="C618" s="32" t="str">
        <f>IF(MOV_CC_NACIONAL!B618="","",MOV_CC_NACIONAL!B618)</f>
        <v/>
      </c>
      <c r="D618" s="33" t="str">
        <f>IF(MOV_CC_NACIONAL!C618="","",MOV_CC_NACIONAL!C618)</f>
        <v/>
      </c>
      <c r="E618" s="32" t="str">
        <f t="shared" si="1"/>
        <v/>
      </c>
      <c r="F618" s="32" t="str">
        <f>IFERROR(__xludf.DUMMYFUNCTION("IF(C618="""","""", OR(REGEXMATCH(LOWER(C618),""cuota""), REGEXMATCH(C618,""\d+\s*/\s*\d+"")))"),"")</f>
        <v/>
      </c>
      <c r="G618" s="32" t="str">
        <f>IFERROR(__xludf.DUMMYFUNCTION("IFERROR(VALUE(REGEXEXTRACT(C618,""(\d+)\s*/\s*\d+"")),"""")"),"")</f>
        <v/>
      </c>
      <c r="H618" s="32" t="str">
        <f>IFERROR(__xludf.DUMMYFUNCTION("IFERROR(VALUE(REGEXEXTRACT(C618,""\d+\s*/\s*(\d+)"")),"""")"),"")</f>
        <v/>
      </c>
      <c r="I618" s="32" t="str">
        <f t="shared" si="2"/>
        <v/>
      </c>
      <c r="J618" s="33" t="str">
        <f t="shared" si="3"/>
        <v/>
      </c>
    </row>
    <row r="619" ht="15.75" customHeight="1">
      <c r="A619" s="22" t="s">
        <v>113</v>
      </c>
      <c r="B619" s="22" t="str">
        <f>IF(MOV_CC_NACIONAL!A619="","",MOV_CC_NACIONAL!A619)</f>
        <v/>
      </c>
      <c r="C619" s="22" t="str">
        <f>IF(MOV_CC_NACIONAL!B619="","",MOV_CC_NACIONAL!B619)</f>
        <v/>
      </c>
      <c r="D619" s="34" t="str">
        <f>IF(MOV_CC_NACIONAL!C619="","",MOV_CC_NACIONAL!C619)</f>
        <v/>
      </c>
      <c r="E619" s="22" t="str">
        <f t="shared" si="1"/>
        <v/>
      </c>
      <c r="F619" s="22" t="str">
        <f>IFERROR(__xludf.DUMMYFUNCTION("IF(C619="""","""", OR(REGEXMATCH(LOWER(C619),""cuota""), REGEXMATCH(C619,""\d+\s*/\s*\d+"")))"),"")</f>
        <v/>
      </c>
      <c r="G619" s="22" t="str">
        <f>IFERROR(__xludf.DUMMYFUNCTION("IFERROR(VALUE(REGEXEXTRACT(C619,""(\d+)\s*/\s*\d+"")),"""")"),"")</f>
        <v/>
      </c>
      <c r="H619" s="22" t="str">
        <f>IFERROR(__xludf.DUMMYFUNCTION("IFERROR(VALUE(REGEXEXTRACT(C619,""\d+\s*/\s*(\d+)"")),"""")"),"")</f>
        <v/>
      </c>
      <c r="I619" s="22" t="str">
        <f t="shared" si="2"/>
        <v/>
      </c>
      <c r="J619" s="34" t="str">
        <f t="shared" si="3"/>
        <v/>
      </c>
    </row>
    <row r="620" ht="15.75" customHeight="1">
      <c r="A620" s="32" t="s">
        <v>113</v>
      </c>
      <c r="B620" s="32" t="str">
        <f>IF(MOV_CC_NACIONAL!A620="","",MOV_CC_NACIONAL!A620)</f>
        <v/>
      </c>
      <c r="C620" s="32" t="str">
        <f>IF(MOV_CC_NACIONAL!B620="","",MOV_CC_NACIONAL!B620)</f>
        <v/>
      </c>
      <c r="D620" s="33" t="str">
        <f>IF(MOV_CC_NACIONAL!C620="","",MOV_CC_NACIONAL!C620)</f>
        <v/>
      </c>
      <c r="E620" s="32" t="str">
        <f t="shared" si="1"/>
        <v/>
      </c>
      <c r="F620" s="32" t="str">
        <f>IFERROR(__xludf.DUMMYFUNCTION("IF(C620="""","""", OR(REGEXMATCH(LOWER(C620),""cuota""), REGEXMATCH(C620,""\d+\s*/\s*\d+"")))"),"")</f>
        <v/>
      </c>
      <c r="G620" s="32" t="str">
        <f>IFERROR(__xludf.DUMMYFUNCTION("IFERROR(VALUE(REGEXEXTRACT(C620,""(\d+)\s*/\s*\d+"")),"""")"),"")</f>
        <v/>
      </c>
      <c r="H620" s="32" t="str">
        <f>IFERROR(__xludf.DUMMYFUNCTION("IFERROR(VALUE(REGEXEXTRACT(C620,""\d+\s*/\s*(\d+)"")),"""")"),"")</f>
        <v/>
      </c>
      <c r="I620" s="32" t="str">
        <f t="shared" si="2"/>
        <v/>
      </c>
      <c r="J620" s="33" t="str">
        <f t="shared" si="3"/>
        <v/>
      </c>
    </row>
    <row r="621" ht="15.75" customHeight="1">
      <c r="A621" s="22" t="s">
        <v>113</v>
      </c>
      <c r="B621" s="22" t="str">
        <f>IF(MOV_CC_NACIONAL!A621="","",MOV_CC_NACIONAL!A621)</f>
        <v/>
      </c>
      <c r="C621" s="22" t="str">
        <f>IF(MOV_CC_NACIONAL!B621="","",MOV_CC_NACIONAL!B621)</f>
        <v/>
      </c>
      <c r="D621" s="34" t="str">
        <f>IF(MOV_CC_NACIONAL!C621="","",MOV_CC_NACIONAL!C621)</f>
        <v/>
      </c>
      <c r="E621" s="22" t="str">
        <f t="shared" si="1"/>
        <v/>
      </c>
      <c r="F621" s="22" t="str">
        <f>IFERROR(__xludf.DUMMYFUNCTION("IF(C621="""","""", OR(REGEXMATCH(LOWER(C621),""cuota""), REGEXMATCH(C621,""\d+\s*/\s*\d+"")))"),"")</f>
        <v/>
      </c>
      <c r="G621" s="22" t="str">
        <f>IFERROR(__xludf.DUMMYFUNCTION("IFERROR(VALUE(REGEXEXTRACT(C621,""(\d+)\s*/\s*\d+"")),"""")"),"")</f>
        <v/>
      </c>
      <c r="H621" s="22" t="str">
        <f>IFERROR(__xludf.DUMMYFUNCTION("IFERROR(VALUE(REGEXEXTRACT(C621,""\d+\s*/\s*(\d+)"")),"""")"),"")</f>
        <v/>
      </c>
      <c r="I621" s="22" t="str">
        <f t="shared" si="2"/>
        <v/>
      </c>
      <c r="J621" s="34" t="str">
        <f t="shared" si="3"/>
        <v/>
      </c>
    </row>
    <row r="622" ht="15.75" customHeight="1">
      <c r="A622" s="32" t="s">
        <v>113</v>
      </c>
      <c r="B622" s="32" t="str">
        <f>IF(MOV_CC_NACIONAL!A622="","",MOV_CC_NACIONAL!A622)</f>
        <v/>
      </c>
      <c r="C622" s="32" t="str">
        <f>IF(MOV_CC_NACIONAL!B622="","",MOV_CC_NACIONAL!B622)</f>
        <v/>
      </c>
      <c r="D622" s="33" t="str">
        <f>IF(MOV_CC_NACIONAL!C622="","",MOV_CC_NACIONAL!C622)</f>
        <v/>
      </c>
      <c r="E622" s="32" t="str">
        <f t="shared" si="1"/>
        <v/>
      </c>
      <c r="F622" s="32" t="str">
        <f>IFERROR(__xludf.DUMMYFUNCTION("IF(C622="""","""", OR(REGEXMATCH(LOWER(C622),""cuota""), REGEXMATCH(C622,""\d+\s*/\s*\d+"")))"),"")</f>
        <v/>
      </c>
      <c r="G622" s="32" t="str">
        <f>IFERROR(__xludf.DUMMYFUNCTION("IFERROR(VALUE(REGEXEXTRACT(C622,""(\d+)\s*/\s*\d+"")),"""")"),"")</f>
        <v/>
      </c>
      <c r="H622" s="32" t="str">
        <f>IFERROR(__xludf.DUMMYFUNCTION("IFERROR(VALUE(REGEXEXTRACT(C622,""\d+\s*/\s*(\d+)"")),"""")"),"")</f>
        <v/>
      </c>
      <c r="I622" s="32" t="str">
        <f t="shared" si="2"/>
        <v/>
      </c>
      <c r="J622" s="33" t="str">
        <f t="shared" si="3"/>
        <v/>
      </c>
    </row>
    <row r="623" ht="15.75" customHeight="1">
      <c r="A623" s="22" t="s">
        <v>113</v>
      </c>
      <c r="B623" s="22" t="str">
        <f>IF(MOV_CC_NACIONAL!A623="","",MOV_CC_NACIONAL!A623)</f>
        <v/>
      </c>
      <c r="C623" s="22" t="str">
        <f>IF(MOV_CC_NACIONAL!B623="","",MOV_CC_NACIONAL!B623)</f>
        <v/>
      </c>
      <c r="D623" s="34" t="str">
        <f>IF(MOV_CC_NACIONAL!C623="","",MOV_CC_NACIONAL!C623)</f>
        <v/>
      </c>
      <c r="E623" s="22" t="str">
        <f t="shared" si="1"/>
        <v/>
      </c>
      <c r="F623" s="22" t="str">
        <f>IFERROR(__xludf.DUMMYFUNCTION("IF(C623="""","""", OR(REGEXMATCH(LOWER(C623),""cuota""), REGEXMATCH(C623,""\d+\s*/\s*\d+"")))"),"")</f>
        <v/>
      </c>
      <c r="G623" s="22" t="str">
        <f>IFERROR(__xludf.DUMMYFUNCTION("IFERROR(VALUE(REGEXEXTRACT(C623,""(\d+)\s*/\s*\d+"")),"""")"),"")</f>
        <v/>
      </c>
      <c r="H623" s="22" t="str">
        <f>IFERROR(__xludf.DUMMYFUNCTION("IFERROR(VALUE(REGEXEXTRACT(C623,""\d+\s*/\s*(\d+)"")),"""")"),"")</f>
        <v/>
      </c>
      <c r="I623" s="22" t="str">
        <f t="shared" si="2"/>
        <v/>
      </c>
      <c r="J623" s="34" t="str">
        <f t="shared" si="3"/>
        <v/>
      </c>
    </row>
    <row r="624" ht="15.75" customHeight="1">
      <c r="A624" s="32" t="s">
        <v>113</v>
      </c>
      <c r="B624" s="32" t="str">
        <f>IF(MOV_CC_NACIONAL!A624="","",MOV_CC_NACIONAL!A624)</f>
        <v/>
      </c>
      <c r="C624" s="32" t="str">
        <f>IF(MOV_CC_NACIONAL!B624="","",MOV_CC_NACIONAL!B624)</f>
        <v/>
      </c>
      <c r="D624" s="33" t="str">
        <f>IF(MOV_CC_NACIONAL!C624="","",MOV_CC_NACIONAL!C624)</f>
        <v/>
      </c>
      <c r="E624" s="32" t="str">
        <f t="shared" si="1"/>
        <v/>
      </c>
      <c r="F624" s="32" t="str">
        <f>IFERROR(__xludf.DUMMYFUNCTION("IF(C624="""","""", OR(REGEXMATCH(LOWER(C624),""cuota""), REGEXMATCH(C624,""\d+\s*/\s*\d+"")))"),"")</f>
        <v/>
      </c>
      <c r="G624" s="32" t="str">
        <f>IFERROR(__xludf.DUMMYFUNCTION("IFERROR(VALUE(REGEXEXTRACT(C624,""(\d+)\s*/\s*\d+"")),"""")"),"")</f>
        <v/>
      </c>
      <c r="H624" s="32" t="str">
        <f>IFERROR(__xludf.DUMMYFUNCTION("IFERROR(VALUE(REGEXEXTRACT(C624,""\d+\s*/\s*(\d+)"")),"""")"),"")</f>
        <v/>
      </c>
      <c r="I624" s="32" t="str">
        <f t="shared" si="2"/>
        <v/>
      </c>
      <c r="J624" s="33" t="str">
        <f t="shared" si="3"/>
        <v/>
      </c>
    </row>
    <row r="625" ht="15.75" customHeight="1">
      <c r="A625" s="22" t="s">
        <v>113</v>
      </c>
      <c r="B625" s="22" t="str">
        <f>IF(MOV_CC_NACIONAL!A625="","",MOV_CC_NACIONAL!A625)</f>
        <v/>
      </c>
      <c r="C625" s="22" t="str">
        <f>IF(MOV_CC_NACIONAL!B625="","",MOV_CC_NACIONAL!B625)</f>
        <v/>
      </c>
      <c r="D625" s="34" t="str">
        <f>IF(MOV_CC_NACIONAL!C625="","",MOV_CC_NACIONAL!C625)</f>
        <v/>
      </c>
      <c r="E625" s="22" t="str">
        <f t="shared" si="1"/>
        <v/>
      </c>
      <c r="F625" s="22" t="str">
        <f>IFERROR(__xludf.DUMMYFUNCTION("IF(C625="""","""", OR(REGEXMATCH(LOWER(C625),""cuota""), REGEXMATCH(C625,""\d+\s*/\s*\d+"")))"),"")</f>
        <v/>
      </c>
      <c r="G625" s="22" t="str">
        <f>IFERROR(__xludf.DUMMYFUNCTION("IFERROR(VALUE(REGEXEXTRACT(C625,""(\d+)\s*/\s*\d+"")),"""")"),"")</f>
        <v/>
      </c>
      <c r="H625" s="22" t="str">
        <f>IFERROR(__xludf.DUMMYFUNCTION("IFERROR(VALUE(REGEXEXTRACT(C625,""\d+\s*/\s*(\d+)"")),"""")"),"")</f>
        <v/>
      </c>
      <c r="I625" s="22" t="str">
        <f t="shared" si="2"/>
        <v/>
      </c>
      <c r="J625" s="34" t="str">
        <f t="shared" si="3"/>
        <v/>
      </c>
    </row>
    <row r="626" ht="15.75" customHeight="1">
      <c r="A626" s="32" t="s">
        <v>113</v>
      </c>
      <c r="B626" s="32" t="str">
        <f>IF(MOV_CC_NACIONAL!A626="","",MOV_CC_NACIONAL!A626)</f>
        <v/>
      </c>
      <c r="C626" s="32" t="str">
        <f>IF(MOV_CC_NACIONAL!B626="","",MOV_CC_NACIONAL!B626)</f>
        <v/>
      </c>
      <c r="D626" s="33" t="str">
        <f>IF(MOV_CC_NACIONAL!C626="","",MOV_CC_NACIONAL!C626)</f>
        <v/>
      </c>
      <c r="E626" s="32" t="str">
        <f t="shared" si="1"/>
        <v/>
      </c>
      <c r="F626" s="32" t="str">
        <f>IFERROR(__xludf.DUMMYFUNCTION("IF(C626="""","""", OR(REGEXMATCH(LOWER(C626),""cuota""), REGEXMATCH(C626,""\d+\s*/\s*\d+"")))"),"")</f>
        <v/>
      </c>
      <c r="G626" s="32" t="str">
        <f>IFERROR(__xludf.DUMMYFUNCTION("IFERROR(VALUE(REGEXEXTRACT(C626,""(\d+)\s*/\s*\d+"")),"""")"),"")</f>
        <v/>
      </c>
      <c r="H626" s="32" t="str">
        <f>IFERROR(__xludf.DUMMYFUNCTION("IFERROR(VALUE(REGEXEXTRACT(C626,""\d+\s*/\s*(\d+)"")),"""")"),"")</f>
        <v/>
      </c>
      <c r="I626" s="32" t="str">
        <f t="shared" si="2"/>
        <v/>
      </c>
      <c r="J626" s="33" t="str">
        <f t="shared" si="3"/>
        <v/>
      </c>
    </row>
    <row r="627" ht="15.75" customHeight="1">
      <c r="A627" s="22" t="s">
        <v>113</v>
      </c>
      <c r="B627" s="22" t="str">
        <f>IF(MOV_CC_NACIONAL!A627="","",MOV_CC_NACIONAL!A627)</f>
        <v/>
      </c>
      <c r="C627" s="22" t="str">
        <f>IF(MOV_CC_NACIONAL!B627="","",MOV_CC_NACIONAL!B627)</f>
        <v/>
      </c>
      <c r="D627" s="34" t="str">
        <f>IF(MOV_CC_NACIONAL!C627="","",MOV_CC_NACIONAL!C627)</f>
        <v/>
      </c>
      <c r="E627" s="22" t="str">
        <f t="shared" si="1"/>
        <v/>
      </c>
      <c r="F627" s="22" t="str">
        <f>IFERROR(__xludf.DUMMYFUNCTION("IF(C627="""","""", OR(REGEXMATCH(LOWER(C627),""cuota""), REGEXMATCH(C627,""\d+\s*/\s*\d+"")))"),"")</f>
        <v/>
      </c>
      <c r="G627" s="22" t="str">
        <f>IFERROR(__xludf.DUMMYFUNCTION("IFERROR(VALUE(REGEXEXTRACT(C627,""(\d+)\s*/\s*\d+"")),"""")"),"")</f>
        <v/>
      </c>
      <c r="H627" s="22" t="str">
        <f>IFERROR(__xludf.DUMMYFUNCTION("IFERROR(VALUE(REGEXEXTRACT(C627,""\d+\s*/\s*(\d+)"")),"""")"),"")</f>
        <v/>
      </c>
      <c r="I627" s="22" t="str">
        <f t="shared" si="2"/>
        <v/>
      </c>
      <c r="J627" s="34" t="str">
        <f t="shared" si="3"/>
        <v/>
      </c>
    </row>
    <row r="628" ht="15.75" customHeight="1">
      <c r="A628" s="32" t="s">
        <v>113</v>
      </c>
      <c r="B628" s="32" t="str">
        <f>IF(MOV_CC_NACIONAL!A628="","",MOV_CC_NACIONAL!A628)</f>
        <v/>
      </c>
      <c r="C628" s="32" t="str">
        <f>IF(MOV_CC_NACIONAL!B628="","",MOV_CC_NACIONAL!B628)</f>
        <v/>
      </c>
      <c r="D628" s="33" t="str">
        <f>IF(MOV_CC_NACIONAL!C628="","",MOV_CC_NACIONAL!C628)</f>
        <v/>
      </c>
      <c r="E628" s="32" t="str">
        <f t="shared" si="1"/>
        <v/>
      </c>
      <c r="F628" s="32" t="str">
        <f>IFERROR(__xludf.DUMMYFUNCTION("IF(C628="""","""", OR(REGEXMATCH(LOWER(C628),""cuota""), REGEXMATCH(C628,""\d+\s*/\s*\d+"")))"),"")</f>
        <v/>
      </c>
      <c r="G628" s="32" t="str">
        <f>IFERROR(__xludf.DUMMYFUNCTION("IFERROR(VALUE(REGEXEXTRACT(C628,""(\d+)\s*/\s*\d+"")),"""")"),"")</f>
        <v/>
      </c>
      <c r="H628" s="32" t="str">
        <f>IFERROR(__xludf.DUMMYFUNCTION("IFERROR(VALUE(REGEXEXTRACT(C628,""\d+\s*/\s*(\d+)"")),"""")"),"")</f>
        <v/>
      </c>
      <c r="I628" s="32" t="str">
        <f t="shared" si="2"/>
        <v/>
      </c>
      <c r="J628" s="33" t="str">
        <f t="shared" si="3"/>
        <v/>
      </c>
    </row>
    <row r="629" ht="15.75" customHeight="1">
      <c r="A629" s="22" t="s">
        <v>113</v>
      </c>
      <c r="B629" s="22" t="str">
        <f>IF(MOV_CC_NACIONAL!A629="","",MOV_CC_NACIONAL!A629)</f>
        <v/>
      </c>
      <c r="C629" s="22" t="str">
        <f>IF(MOV_CC_NACIONAL!B629="","",MOV_CC_NACIONAL!B629)</f>
        <v/>
      </c>
      <c r="D629" s="34" t="str">
        <f>IF(MOV_CC_NACIONAL!C629="","",MOV_CC_NACIONAL!C629)</f>
        <v/>
      </c>
      <c r="E629" s="22" t="str">
        <f t="shared" si="1"/>
        <v/>
      </c>
      <c r="F629" s="22" t="str">
        <f>IFERROR(__xludf.DUMMYFUNCTION("IF(C629="""","""", OR(REGEXMATCH(LOWER(C629),""cuota""), REGEXMATCH(C629,""\d+\s*/\s*\d+"")))"),"")</f>
        <v/>
      </c>
      <c r="G629" s="22" t="str">
        <f>IFERROR(__xludf.DUMMYFUNCTION("IFERROR(VALUE(REGEXEXTRACT(C629,""(\d+)\s*/\s*\d+"")),"""")"),"")</f>
        <v/>
      </c>
      <c r="H629" s="22" t="str">
        <f>IFERROR(__xludf.DUMMYFUNCTION("IFERROR(VALUE(REGEXEXTRACT(C629,""\d+\s*/\s*(\d+)"")),"""")"),"")</f>
        <v/>
      </c>
      <c r="I629" s="22" t="str">
        <f t="shared" si="2"/>
        <v/>
      </c>
      <c r="J629" s="34" t="str">
        <f t="shared" si="3"/>
        <v/>
      </c>
    </row>
    <row r="630" ht="15.75" customHeight="1">
      <c r="A630" s="32" t="s">
        <v>113</v>
      </c>
      <c r="B630" s="32" t="str">
        <f>IF(MOV_CC_NACIONAL!A630="","",MOV_CC_NACIONAL!A630)</f>
        <v/>
      </c>
      <c r="C630" s="32" t="str">
        <f>IF(MOV_CC_NACIONAL!B630="","",MOV_CC_NACIONAL!B630)</f>
        <v/>
      </c>
      <c r="D630" s="33" t="str">
        <f>IF(MOV_CC_NACIONAL!C630="","",MOV_CC_NACIONAL!C630)</f>
        <v/>
      </c>
      <c r="E630" s="32" t="str">
        <f t="shared" si="1"/>
        <v/>
      </c>
      <c r="F630" s="32" t="str">
        <f>IFERROR(__xludf.DUMMYFUNCTION("IF(C630="""","""", OR(REGEXMATCH(LOWER(C630),""cuota""), REGEXMATCH(C630,""\d+\s*/\s*\d+"")))"),"")</f>
        <v/>
      </c>
      <c r="G630" s="32" t="str">
        <f>IFERROR(__xludf.DUMMYFUNCTION("IFERROR(VALUE(REGEXEXTRACT(C630,""(\d+)\s*/\s*\d+"")),"""")"),"")</f>
        <v/>
      </c>
      <c r="H630" s="32" t="str">
        <f>IFERROR(__xludf.DUMMYFUNCTION("IFERROR(VALUE(REGEXEXTRACT(C630,""\d+\s*/\s*(\d+)"")),"""")"),"")</f>
        <v/>
      </c>
      <c r="I630" s="32" t="str">
        <f t="shared" si="2"/>
        <v/>
      </c>
      <c r="J630" s="33" t="str">
        <f t="shared" si="3"/>
        <v/>
      </c>
    </row>
    <row r="631" ht="15.75" customHeight="1">
      <c r="A631" s="22" t="s">
        <v>113</v>
      </c>
      <c r="B631" s="22" t="str">
        <f>IF(MOV_CC_NACIONAL!A631="","",MOV_CC_NACIONAL!A631)</f>
        <v/>
      </c>
      <c r="C631" s="22" t="str">
        <f>IF(MOV_CC_NACIONAL!B631="","",MOV_CC_NACIONAL!B631)</f>
        <v/>
      </c>
      <c r="D631" s="34" t="str">
        <f>IF(MOV_CC_NACIONAL!C631="","",MOV_CC_NACIONAL!C631)</f>
        <v/>
      </c>
      <c r="E631" s="22" t="str">
        <f t="shared" si="1"/>
        <v/>
      </c>
      <c r="F631" s="22" t="str">
        <f>IFERROR(__xludf.DUMMYFUNCTION("IF(C631="""","""", OR(REGEXMATCH(LOWER(C631),""cuota""), REGEXMATCH(C631,""\d+\s*/\s*\d+"")))"),"")</f>
        <v/>
      </c>
      <c r="G631" s="22" t="str">
        <f>IFERROR(__xludf.DUMMYFUNCTION("IFERROR(VALUE(REGEXEXTRACT(C631,""(\d+)\s*/\s*\d+"")),"""")"),"")</f>
        <v/>
      </c>
      <c r="H631" s="22" t="str">
        <f>IFERROR(__xludf.DUMMYFUNCTION("IFERROR(VALUE(REGEXEXTRACT(C631,""\d+\s*/\s*(\d+)"")),"""")"),"")</f>
        <v/>
      </c>
      <c r="I631" s="22" t="str">
        <f t="shared" si="2"/>
        <v/>
      </c>
      <c r="J631" s="34" t="str">
        <f t="shared" si="3"/>
        <v/>
      </c>
    </row>
    <row r="632" ht="15.75" customHeight="1">
      <c r="A632" s="32" t="s">
        <v>113</v>
      </c>
      <c r="B632" s="32" t="str">
        <f>IF(MOV_CC_NACIONAL!A632="","",MOV_CC_NACIONAL!A632)</f>
        <v/>
      </c>
      <c r="C632" s="32" t="str">
        <f>IF(MOV_CC_NACIONAL!B632="","",MOV_CC_NACIONAL!B632)</f>
        <v/>
      </c>
      <c r="D632" s="33" t="str">
        <f>IF(MOV_CC_NACIONAL!C632="","",MOV_CC_NACIONAL!C632)</f>
        <v/>
      </c>
      <c r="E632" s="32" t="str">
        <f t="shared" si="1"/>
        <v/>
      </c>
      <c r="F632" s="32" t="str">
        <f>IFERROR(__xludf.DUMMYFUNCTION("IF(C632="""","""", OR(REGEXMATCH(LOWER(C632),""cuota""), REGEXMATCH(C632,""\d+\s*/\s*\d+"")))"),"")</f>
        <v/>
      </c>
      <c r="G632" s="32" t="str">
        <f>IFERROR(__xludf.DUMMYFUNCTION("IFERROR(VALUE(REGEXEXTRACT(C632,""(\d+)\s*/\s*\d+"")),"""")"),"")</f>
        <v/>
      </c>
      <c r="H632" s="32" t="str">
        <f>IFERROR(__xludf.DUMMYFUNCTION("IFERROR(VALUE(REGEXEXTRACT(C632,""\d+\s*/\s*(\d+)"")),"""")"),"")</f>
        <v/>
      </c>
      <c r="I632" s="32" t="str">
        <f t="shared" si="2"/>
        <v/>
      </c>
      <c r="J632" s="33" t="str">
        <f t="shared" si="3"/>
        <v/>
      </c>
    </row>
    <row r="633" ht="15.75" customHeight="1">
      <c r="A633" s="22" t="s">
        <v>113</v>
      </c>
      <c r="B633" s="22" t="str">
        <f>IF(MOV_CC_NACIONAL!A633="","",MOV_CC_NACIONAL!A633)</f>
        <v/>
      </c>
      <c r="C633" s="22" t="str">
        <f>IF(MOV_CC_NACIONAL!B633="","",MOV_CC_NACIONAL!B633)</f>
        <v/>
      </c>
      <c r="D633" s="34" t="str">
        <f>IF(MOV_CC_NACIONAL!C633="","",MOV_CC_NACIONAL!C633)</f>
        <v/>
      </c>
      <c r="E633" s="22" t="str">
        <f t="shared" si="1"/>
        <v/>
      </c>
      <c r="F633" s="22" t="str">
        <f>IFERROR(__xludf.DUMMYFUNCTION("IF(C633="""","""", OR(REGEXMATCH(LOWER(C633),""cuota""), REGEXMATCH(C633,""\d+\s*/\s*\d+"")))"),"")</f>
        <v/>
      </c>
      <c r="G633" s="22" t="str">
        <f>IFERROR(__xludf.DUMMYFUNCTION("IFERROR(VALUE(REGEXEXTRACT(C633,""(\d+)\s*/\s*\d+"")),"""")"),"")</f>
        <v/>
      </c>
      <c r="H633" s="22" t="str">
        <f>IFERROR(__xludf.DUMMYFUNCTION("IFERROR(VALUE(REGEXEXTRACT(C633,""\d+\s*/\s*(\d+)"")),"""")"),"")</f>
        <v/>
      </c>
      <c r="I633" s="22" t="str">
        <f t="shared" si="2"/>
        <v/>
      </c>
      <c r="J633" s="34" t="str">
        <f t="shared" si="3"/>
        <v/>
      </c>
    </row>
    <row r="634" ht="15.75" customHeight="1">
      <c r="A634" s="32" t="s">
        <v>113</v>
      </c>
      <c r="B634" s="32" t="str">
        <f>IF(MOV_CC_NACIONAL!A634="","",MOV_CC_NACIONAL!A634)</f>
        <v/>
      </c>
      <c r="C634" s="32" t="str">
        <f>IF(MOV_CC_NACIONAL!B634="","",MOV_CC_NACIONAL!B634)</f>
        <v/>
      </c>
      <c r="D634" s="33" t="str">
        <f>IF(MOV_CC_NACIONAL!C634="","",MOV_CC_NACIONAL!C634)</f>
        <v/>
      </c>
      <c r="E634" s="32" t="str">
        <f t="shared" si="1"/>
        <v/>
      </c>
      <c r="F634" s="32" t="str">
        <f>IFERROR(__xludf.DUMMYFUNCTION("IF(C634="""","""", OR(REGEXMATCH(LOWER(C634),""cuota""), REGEXMATCH(C634,""\d+\s*/\s*\d+"")))"),"")</f>
        <v/>
      </c>
      <c r="G634" s="32" t="str">
        <f>IFERROR(__xludf.DUMMYFUNCTION("IFERROR(VALUE(REGEXEXTRACT(C634,""(\d+)\s*/\s*\d+"")),"""")"),"")</f>
        <v/>
      </c>
      <c r="H634" s="32" t="str">
        <f>IFERROR(__xludf.DUMMYFUNCTION("IFERROR(VALUE(REGEXEXTRACT(C634,""\d+\s*/\s*(\d+)"")),"""")"),"")</f>
        <v/>
      </c>
      <c r="I634" s="32" t="str">
        <f t="shared" si="2"/>
        <v/>
      </c>
      <c r="J634" s="33" t="str">
        <f t="shared" si="3"/>
        <v/>
      </c>
    </row>
    <row r="635" ht="15.75" customHeight="1">
      <c r="A635" s="22" t="s">
        <v>113</v>
      </c>
      <c r="B635" s="22" t="str">
        <f>IF(MOV_CC_NACIONAL!A635="","",MOV_CC_NACIONAL!A635)</f>
        <v/>
      </c>
      <c r="C635" s="22" t="str">
        <f>IF(MOV_CC_NACIONAL!B635="","",MOV_CC_NACIONAL!B635)</f>
        <v/>
      </c>
      <c r="D635" s="34" t="str">
        <f>IF(MOV_CC_NACIONAL!C635="","",MOV_CC_NACIONAL!C635)</f>
        <v/>
      </c>
      <c r="E635" s="22" t="str">
        <f t="shared" si="1"/>
        <v/>
      </c>
      <c r="F635" s="22" t="str">
        <f>IFERROR(__xludf.DUMMYFUNCTION("IF(C635="""","""", OR(REGEXMATCH(LOWER(C635),""cuota""), REGEXMATCH(C635,""\d+\s*/\s*\d+"")))"),"")</f>
        <v/>
      </c>
      <c r="G635" s="22" t="str">
        <f>IFERROR(__xludf.DUMMYFUNCTION("IFERROR(VALUE(REGEXEXTRACT(C635,""(\d+)\s*/\s*\d+"")),"""")"),"")</f>
        <v/>
      </c>
      <c r="H635" s="22" t="str">
        <f>IFERROR(__xludf.DUMMYFUNCTION("IFERROR(VALUE(REGEXEXTRACT(C635,""\d+\s*/\s*(\d+)"")),"""")"),"")</f>
        <v/>
      </c>
      <c r="I635" s="22" t="str">
        <f t="shared" si="2"/>
        <v/>
      </c>
      <c r="J635" s="34" t="str">
        <f t="shared" si="3"/>
        <v/>
      </c>
    </row>
    <row r="636" ht="15.75" customHeight="1">
      <c r="A636" s="32" t="s">
        <v>113</v>
      </c>
      <c r="B636" s="32" t="str">
        <f>IF(MOV_CC_NACIONAL!A636="","",MOV_CC_NACIONAL!A636)</f>
        <v/>
      </c>
      <c r="C636" s="32" t="str">
        <f>IF(MOV_CC_NACIONAL!B636="","",MOV_CC_NACIONAL!B636)</f>
        <v/>
      </c>
      <c r="D636" s="33" t="str">
        <f>IF(MOV_CC_NACIONAL!C636="","",MOV_CC_NACIONAL!C636)</f>
        <v/>
      </c>
      <c r="E636" s="32" t="str">
        <f t="shared" si="1"/>
        <v/>
      </c>
      <c r="F636" s="32" t="str">
        <f>IFERROR(__xludf.DUMMYFUNCTION("IF(C636="""","""", OR(REGEXMATCH(LOWER(C636),""cuota""), REGEXMATCH(C636,""\d+\s*/\s*\d+"")))"),"")</f>
        <v/>
      </c>
      <c r="G636" s="32" t="str">
        <f>IFERROR(__xludf.DUMMYFUNCTION("IFERROR(VALUE(REGEXEXTRACT(C636,""(\d+)\s*/\s*\d+"")),"""")"),"")</f>
        <v/>
      </c>
      <c r="H636" s="32" t="str">
        <f>IFERROR(__xludf.DUMMYFUNCTION("IFERROR(VALUE(REGEXEXTRACT(C636,""\d+\s*/\s*(\d+)"")),"""")"),"")</f>
        <v/>
      </c>
      <c r="I636" s="32" t="str">
        <f t="shared" si="2"/>
        <v/>
      </c>
      <c r="J636" s="33" t="str">
        <f t="shared" si="3"/>
        <v/>
      </c>
    </row>
    <row r="637" ht="15.75" customHeight="1">
      <c r="A637" s="22" t="s">
        <v>113</v>
      </c>
      <c r="B637" s="22" t="str">
        <f>IF(MOV_CC_NACIONAL!A637="","",MOV_CC_NACIONAL!A637)</f>
        <v/>
      </c>
      <c r="C637" s="22" t="str">
        <f>IF(MOV_CC_NACIONAL!B637="","",MOV_CC_NACIONAL!B637)</f>
        <v/>
      </c>
      <c r="D637" s="34" t="str">
        <f>IF(MOV_CC_NACIONAL!C637="","",MOV_CC_NACIONAL!C637)</f>
        <v/>
      </c>
      <c r="E637" s="22" t="str">
        <f t="shared" si="1"/>
        <v/>
      </c>
      <c r="F637" s="22" t="str">
        <f>IFERROR(__xludf.DUMMYFUNCTION("IF(C637="""","""", OR(REGEXMATCH(LOWER(C637),""cuota""), REGEXMATCH(C637,""\d+\s*/\s*\d+"")))"),"")</f>
        <v/>
      </c>
      <c r="G637" s="22" t="str">
        <f>IFERROR(__xludf.DUMMYFUNCTION("IFERROR(VALUE(REGEXEXTRACT(C637,""(\d+)\s*/\s*\d+"")),"""")"),"")</f>
        <v/>
      </c>
      <c r="H637" s="22" t="str">
        <f>IFERROR(__xludf.DUMMYFUNCTION("IFERROR(VALUE(REGEXEXTRACT(C637,""\d+\s*/\s*(\d+)"")),"""")"),"")</f>
        <v/>
      </c>
      <c r="I637" s="22" t="str">
        <f t="shared" si="2"/>
        <v/>
      </c>
      <c r="J637" s="34" t="str">
        <f t="shared" si="3"/>
        <v/>
      </c>
    </row>
    <row r="638" ht="15.75" customHeight="1">
      <c r="A638" s="32" t="s">
        <v>113</v>
      </c>
      <c r="B638" s="32" t="str">
        <f>IF(MOV_CC_NACIONAL!A638="","",MOV_CC_NACIONAL!A638)</f>
        <v/>
      </c>
      <c r="C638" s="32" t="str">
        <f>IF(MOV_CC_NACIONAL!B638="","",MOV_CC_NACIONAL!B638)</f>
        <v/>
      </c>
      <c r="D638" s="33" t="str">
        <f>IF(MOV_CC_NACIONAL!C638="","",MOV_CC_NACIONAL!C638)</f>
        <v/>
      </c>
      <c r="E638" s="32" t="str">
        <f t="shared" si="1"/>
        <v/>
      </c>
      <c r="F638" s="32" t="str">
        <f>IFERROR(__xludf.DUMMYFUNCTION("IF(C638="""","""", OR(REGEXMATCH(LOWER(C638),""cuota""), REGEXMATCH(C638,""\d+\s*/\s*\d+"")))"),"")</f>
        <v/>
      </c>
      <c r="G638" s="32" t="str">
        <f>IFERROR(__xludf.DUMMYFUNCTION("IFERROR(VALUE(REGEXEXTRACT(C638,""(\d+)\s*/\s*\d+"")),"""")"),"")</f>
        <v/>
      </c>
      <c r="H638" s="32" t="str">
        <f>IFERROR(__xludf.DUMMYFUNCTION("IFERROR(VALUE(REGEXEXTRACT(C638,""\d+\s*/\s*(\d+)"")),"""")"),"")</f>
        <v/>
      </c>
      <c r="I638" s="32" t="str">
        <f t="shared" si="2"/>
        <v/>
      </c>
      <c r="J638" s="33" t="str">
        <f t="shared" si="3"/>
        <v/>
      </c>
    </row>
    <row r="639" ht="15.75" customHeight="1">
      <c r="A639" s="22" t="s">
        <v>113</v>
      </c>
      <c r="B639" s="22" t="str">
        <f>IF(MOV_CC_NACIONAL!A639="","",MOV_CC_NACIONAL!A639)</f>
        <v/>
      </c>
      <c r="C639" s="22" t="str">
        <f>IF(MOV_CC_NACIONAL!B639="","",MOV_CC_NACIONAL!B639)</f>
        <v/>
      </c>
      <c r="D639" s="34" t="str">
        <f>IF(MOV_CC_NACIONAL!C639="","",MOV_CC_NACIONAL!C639)</f>
        <v/>
      </c>
      <c r="E639" s="22" t="str">
        <f t="shared" si="1"/>
        <v/>
      </c>
      <c r="F639" s="22" t="str">
        <f>IFERROR(__xludf.DUMMYFUNCTION("IF(C639="""","""", OR(REGEXMATCH(LOWER(C639),""cuota""), REGEXMATCH(C639,""\d+\s*/\s*\d+"")))"),"")</f>
        <v/>
      </c>
      <c r="G639" s="22" t="str">
        <f>IFERROR(__xludf.DUMMYFUNCTION("IFERROR(VALUE(REGEXEXTRACT(C639,""(\d+)\s*/\s*\d+"")),"""")"),"")</f>
        <v/>
      </c>
      <c r="H639" s="22" t="str">
        <f>IFERROR(__xludf.DUMMYFUNCTION("IFERROR(VALUE(REGEXEXTRACT(C639,""\d+\s*/\s*(\d+)"")),"""")"),"")</f>
        <v/>
      </c>
      <c r="I639" s="22" t="str">
        <f t="shared" si="2"/>
        <v/>
      </c>
      <c r="J639" s="34" t="str">
        <f t="shared" si="3"/>
        <v/>
      </c>
    </row>
    <row r="640" ht="15.75" customHeight="1">
      <c r="A640" s="32" t="s">
        <v>113</v>
      </c>
      <c r="B640" s="32" t="str">
        <f>IF(MOV_CC_NACIONAL!A640="","",MOV_CC_NACIONAL!A640)</f>
        <v/>
      </c>
      <c r="C640" s="32" t="str">
        <f>IF(MOV_CC_NACIONAL!B640="","",MOV_CC_NACIONAL!B640)</f>
        <v/>
      </c>
      <c r="D640" s="33" t="str">
        <f>IF(MOV_CC_NACIONAL!C640="","",MOV_CC_NACIONAL!C640)</f>
        <v/>
      </c>
      <c r="E640" s="32" t="str">
        <f t="shared" si="1"/>
        <v/>
      </c>
      <c r="F640" s="32" t="str">
        <f>IFERROR(__xludf.DUMMYFUNCTION("IF(C640="""","""", OR(REGEXMATCH(LOWER(C640),""cuota""), REGEXMATCH(C640,""\d+\s*/\s*\d+"")))"),"")</f>
        <v/>
      </c>
      <c r="G640" s="32" t="str">
        <f>IFERROR(__xludf.DUMMYFUNCTION("IFERROR(VALUE(REGEXEXTRACT(C640,""(\d+)\s*/\s*\d+"")),"""")"),"")</f>
        <v/>
      </c>
      <c r="H640" s="32" t="str">
        <f>IFERROR(__xludf.DUMMYFUNCTION("IFERROR(VALUE(REGEXEXTRACT(C640,""\d+\s*/\s*(\d+)"")),"""")"),"")</f>
        <v/>
      </c>
      <c r="I640" s="32" t="str">
        <f t="shared" si="2"/>
        <v/>
      </c>
      <c r="J640" s="33" t="str">
        <f t="shared" si="3"/>
        <v/>
      </c>
    </row>
    <row r="641" ht="15.75" customHeight="1">
      <c r="A641" s="22" t="s">
        <v>113</v>
      </c>
      <c r="B641" s="22" t="str">
        <f>IF(MOV_CC_NACIONAL!A641="","",MOV_CC_NACIONAL!A641)</f>
        <v/>
      </c>
      <c r="C641" s="22" t="str">
        <f>IF(MOV_CC_NACIONAL!B641="","",MOV_CC_NACIONAL!B641)</f>
        <v/>
      </c>
      <c r="D641" s="34" t="str">
        <f>IF(MOV_CC_NACIONAL!C641="","",MOV_CC_NACIONAL!C641)</f>
        <v/>
      </c>
      <c r="E641" s="22" t="str">
        <f t="shared" si="1"/>
        <v/>
      </c>
      <c r="F641" s="22" t="str">
        <f>IFERROR(__xludf.DUMMYFUNCTION("IF(C641="""","""", OR(REGEXMATCH(LOWER(C641),""cuota""), REGEXMATCH(C641,""\d+\s*/\s*\d+"")))"),"")</f>
        <v/>
      </c>
      <c r="G641" s="22" t="str">
        <f>IFERROR(__xludf.DUMMYFUNCTION("IFERROR(VALUE(REGEXEXTRACT(C641,""(\d+)\s*/\s*\d+"")),"""")"),"")</f>
        <v/>
      </c>
      <c r="H641" s="22" t="str">
        <f>IFERROR(__xludf.DUMMYFUNCTION("IFERROR(VALUE(REGEXEXTRACT(C641,""\d+\s*/\s*(\d+)"")),"""")"),"")</f>
        <v/>
      </c>
      <c r="I641" s="22" t="str">
        <f t="shared" si="2"/>
        <v/>
      </c>
      <c r="J641" s="34" t="str">
        <f t="shared" si="3"/>
        <v/>
      </c>
    </row>
    <row r="642" ht="15.75" customHeight="1">
      <c r="A642" s="32" t="s">
        <v>113</v>
      </c>
      <c r="B642" s="32" t="str">
        <f>IF(MOV_CC_NACIONAL!A642="","",MOV_CC_NACIONAL!A642)</f>
        <v/>
      </c>
      <c r="C642" s="32" t="str">
        <f>IF(MOV_CC_NACIONAL!B642="","",MOV_CC_NACIONAL!B642)</f>
        <v/>
      </c>
      <c r="D642" s="33" t="str">
        <f>IF(MOV_CC_NACIONAL!C642="","",MOV_CC_NACIONAL!C642)</f>
        <v/>
      </c>
      <c r="E642" s="32" t="str">
        <f t="shared" si="1"/>
        <v/>
      </c>
      <c r="F642" s="32" t="str">
        <f>IFERROR(__xludf.DUMMYFUNCTION("IF(C642="""","""", OR(REGEXMATCH(LOWER(C642),""cuota""), REGEXMATCH(C642,""\d+\s*/\s*\d+"")))"),"")</f>
        <v/>
      </c>
      <c r="G642" s="32" t="str">
        <f>IFERROR(__xludf.DUMMYFUNCTION("IFERROR(VALUE(REGEXEXTRACT(C642,""(\d+)\s*/\s*\d+"")),"""")"),"")</f>
        <v/>
      </c>
      <c r="H642" s="32" t="str">
        <f>IFERROR(__xludf.DUMMYFUNCTION("IFERROR(VALUE(REGEXEXTRACT(C642,""\d+\s*/\s*(\d+)"")),"""")"),"")</f>
        <v/>
      </c>
      <c r="I642" s="32" t="str">
        <f t="shared" si="2"/>
        <v/>
      </c>
      <c r="J642" s="33" t="str">
        <f t="shared" si="3"/>
        <v/>
      </c>
    </row>
    <row r="643" ht="15.75" customHeight="1">
      <c r="A643" s="22" t="s">
        <v>113</v>
      </c>
      <c r="B643" s="22" t="str">
        <f>IF(MOV_CC_NACIONAL!A643="","",MOV_CC_NACIONAL!A643)</f>
        <v/>
      </c>
      <c r="C643" s="22" t="str">
        <f>IF(MOV_CC_NACIONAL!B643="","",MOV_CC_NACIONAL!B643)</f>
        <v/>
      </c>
      <c r="D643" s="34" t="str">
        <f>IF(MOV_CC_NACIONAL!C643="","",MOV_CC_NACIONAL!C643)</f>
        <v/>
      </c>
      <c r="E643" s="22" t="str">
        <f t="shared" si="1"/>
        <v/>
      </c>
      <c r="F643" s="22" t="str">
        <f>IFERROR(__xludf.DUMMYFUNCTION("IF(C643="""","""", OR(REGEXMATCH(LOWER(C643),""cuota""), REGEXMATCH(C643,""\d+\s*/\s*\d+"")))"),"")</f>
        <v/>
      </c>
      <c r="G643" s="22" t="str">
        <f>IFERROR(__xludf.DUMMYFUNCTION("IFERROR(VALUE(REGEXEXTRACT(C643,""(\d+)\s*/\s*\d+"")),"""")"),"")</f>
        <v/>
      </c>
      <c r="H643" s="22" t="str">
        <f>IFERROR(__xludf.DUMMYFUNCTION("IFERROR(VALUE(REGEXEXTRACT(C643,""\d+\s*/\s*(\d+)"")),"""")"),"")</f>
        <v/>
      </c>
      <c r="I643" s="22" t="str">
        <f t="shared" si="2"/>
        <v/>
      </c>
      <c r="J643" s="34" t="str">
        <f t="shared" si="3"/>
        <v/>
      </c>
    </row>
    <row r="644" ht="15.75" customHeight="1">
      <c r="A644" s="32" t="s">
        <v>113</v>
      </c>
      <c r="B644" s="32" t="str">
        <f>IF(MOV_CC_NACIONAL!A644="","",MOV_CC_NACIONAL!A644)</f>
        <v/>
      </c>
      <c r="C644" s="32" t="str">
        <f>IF(MOV_CC_NACIONAL!B644="","",MOV_CC_NACIONAL!B644)</f>
        <v/>
      </c>
      <c r="D644" s="33" t="str">
        <f>IF(MOV_CC_NACIONAL!C644="","",MOV_CC_NACIONAL!C644)</f>
        <v/>
      </c>
      <c r="E644" s="32" t="str">
        <f t="shared" si="1"/>
        <v/>
      </c>
      <c r="F644" s="32" t="str">
        <f>IFERROR(__xludf.DUMMYFUNCTION("IF(C644="""","""", OR(REGEXMATCH(LOWER(C644),""cuota""), REGEXMATCH(C644,""\d+\s*/\s*\d+"")))"),"")</f>
        <v/>
      </c>
      <c r="G644" s="32" t="str">
        <f>IFERROR(__xludf.DUMMYFUNCTION("IFERROR(VALUE(REGEXEXTRACT(C644,""(\d+)\s*/\s*\d+"")),"""")"),"")</f>
        <v/>
      </c>
      <c r="H644" s="32" t="str">
        <f>IFERROR(__xludf.DUMMYFUNCTION("IFERROR(VALUE(REGEXEXTRACT(C644,""\d+\s*/\s*(\d+)"")),"""")"),"")</f>
        <v/>
      </c>
      <c r="I644" s="32" t="str">
        <f t="shared" si="2"/>
        <v/>
      </c>
      <c r="J644" s="33" t="str">
        <f t="shared" si="3"/>
        <v/>
      </c>
    </row>
    <row r="645" ht="15.75" customHeight="1">
      <c r="A645" s="22" t="s">
        <v>113</v>
      </c>
      <c r="B645" s="22" t="str">
        <f>IF(MOV_CC_NACIONAL!A645="","",MOV_CC_NACIONAL!A645)</f>
        <v/>
      </c>
      <c r="C645" s="22" t="str">
        <f>IF(MOV_CC_NACIONAL!B645="","",MOV_CC_NACIONAL!B645)</f>
        <v/>
      </c>
      <c r="D645" s="34" t="str">
        <f>IF(MOV_CC_NACIONAL!C645="","",MOV_CC_NACIONAL!C645)</f>
        <v/>
      </c>
      <c r="E645" s="22" t="str">
        <f t="shared" si="1"/>
        <v/>
      </c>
      <c r="F645" s="22" t="str">
        <f>IFERROR(__xludf.DUMMYFUNCTION("IF(C645="""","""", OR(REGEXMATCH(LOWER(C645),""cuota""), REGEXMATCH(C645,""\d+\s*/\s*\d+"")))"),"")</f>
        <v/>
      </c>
      <c r="G645" s="22" t="str">
        <f>IFERROR(__xludf.DUMMYFUNCTION("IFERROR(VALUE(REGEXEXTRACT(C645,""(\d+)\s*/\s*\d+"")),"""")"),"")</f>
        <v/>
      </c>
      <c r="H645" s="22" t="str">
        <f>IFERROR(__xludf.DUMMYFUNCTION("IFERROR(VALUE(REGEXEXTRACT(C645,""\d+\s*/\s*(\d+)"")),"""")"),"")</f>
        <v/>
      </c>
      <c r="I645" s="22" t="str">
        <f t="shared" si="2"/>
        <v/>
      </c>
      <c r="J645" s="34" t="str">
        <f t="shared" si="3"/>
        <v/>
      </c>
    </row>
    <row r="646" ht="15.75" customHeight="1">
      <c r="A646" s="32" t="s">
        <v>113</v>
      </c>
      <c r="B646" s="32" t="str">
        <f>IF(MOV_CC_NACIONAL!A646="","",MOV_CC_NACIONAL!A646)</f>
        <v/>
      </c>
      <c r="C646" s="32" t="str">
        <f>IF(MOV_CC_NACIONAL!B646="","",MOV_CC_NACIONAL!B646)</f>
        <v/>
      </c>
      <c r="D646" s="33" t="str">
        <f>IF(MOV_CC_NACIONAL!C646="","",MOV_CC_NACIONAL!C646)</f>
        <v/>
      </c>
      <c r="E646" s="32" t="str">
        <f t="shared" si="1"/>
        <v/>
      </c>
      <c r="F646" s="32" t="str">
        <f>IFERROR(__xludf.DUMMYFUNCTION("IF(C646="""","""", OR(REGEXMATCH(LOWER(C646),""cuota""), REGEXMATCH(C646,""\d+\s*/\s*\d+"")))"),"")</f>
        <v/>
      </c>
      <c r="G646" s="32" t="str">
        <f>IFERROR(__xludf.DUMMYFUNCTION("IFERROR(VALUE(REGEXEXTRACT(C646,""(\d+)\s*/\s*\d+"")),"""")"),"")</f>
        <v/>
      </c>
      <c r="H646" s="32" t="str">
        <f>IFERROR(__xludf.DUMMYFUNCTION("IFERROR(VALUE(REGEXEXTRACT(C646,""\d+\s*/\s*(\d+)"")),"""")"),"")</f>
        <v/>
      </c>
      <c r="I646" s="32" t="str">
        <f t="shared" si="2"/>
        <v/>
      </c>
      <c r="J646" s="33" t="str">
        <f t="shared" si="3"/>
        <v/>
      </c>
    </row>
    <row r="647" ht="15.75" customHeight="1">
      <c r="A647" s="22" t="s">
        <v>113</v>
      </c>
      <c r="B647" s="22" t="str">
        <f>IF(MOV_CC_NACIONAL!A647="","",MOV_CC_NACIONAL!A647)</f>
        <v/>
      </c>
      <c r="C647" s="22" t="str">
        <f>IF(MOV_CC_NACIONAL!B647="","",MOV_CC_NACIONAL!B647)</f>
        <v/>
      </c>
      <c r="D647" s="34" t="str">
        <f>IF(MOV_CC_NACIONAL!C647="","",MOV_CC_NACIONAL!C647)</f>
        <v/>
      </c>
      <c r="E647" s="22" t="str">
        <f t="shared" si="1"/>
        <v/>
      </c>
      <c r="F647" s="22" t="str">
        <f>IFERROR(__xludf.DUMMYFUNCTION("IF(C647="""","""", OR(REGEXMATCH(LOWER(C647),""cuota""), REGEXMATCH(C647,""\d+\s*/\s*\d+"")))"),"")</f>
        <v/>
      </c>
      <c r="G647" s="22" t="str">
        <f>IFERROR(__xludf.DUMMYFUNCTION("IFERROR(VALUE(REGEXEXTRACT(C647,""(\d+)\s*/\s*\d+"")),"""")"),"")</f>
        <v/>
      </c>
      <c r="H647" s="22" t="str">
        <f>IFERROR(__xludf.DUMMYFUNCTION("IFERROR(VALUE(REGEXEXTRACT(C647,""\d+\s*/\s*(\d+)"")),"""")"),"")</f>
        <v/>
      </c>
      <c r="I647" s="22" t="str">
        <f t="shared" si="2"/>
        <v/>
      </c>
      <c r="J647" s="34" t="str">
        <f t="shared" si="3"/>
        <v/>
      </c>
    </row>
    <row r="648" ht="15.75" customHeight="1">
      <c r="A648" s="32" t="s">
        <v>113</v>
      </c>
      <c r="B648" s="32" t="str">
        <f>IF(MOV_CC_NACIONAL!A648="","",MOV_CC_NACIONAL!A648)</f>
        <v/>
      </c>
      <c r="C648" s="32" t="str">
        <f>IF(MOV_CC_NACIONAL!B648="","",MOV_CC_NACIONAL!B648)</f>
        <v/>
      </c>
      <c r="D648" s="33" t="str">
        <f>IF(MOV_CC_NACIONAL!C648="","",MOV_CC_NACIONAL!C648)</f>
        <v/>
      </c>
      <c r="E648" s="32" t="str">
        <f t="shared" si="1"/>
        <v/>
      </c>
      <c r="F648" s="32" t="str">
        <f>IFERROR(__xludf.DUMMYFUNCTION("IF(C648="""","""", OR(REGEXMATCH(LOWER(C648),""cuota""), REGEXMATCH(C648,""\d+\s*/\s*\d+"")))"),"")</f>
        <v/>
      </c>
      <c r="G648" s="32" t="str">
        <f>IFERROR(__xludf.DUMMYFUNCTION("IFERROR(VALUE(REGEXEXTRACT(C648,""(\d+)\s*/\s*\d+"")),"""")"),"")</f>
        <v/>
      </c>
      <c r="H648" s="32" t="str">
        <f>IFERROR(__xludf.DUMMYFUNCTION("IFERROR(VALUE(REGEXEXTRACT(C648,""\d+\s*/\s*(\d+)"")),"""")"),"")</f>
        <v/>
      </c>
      <c r="I648" s="32" t="str">
        <f t="shared" si="2"/>
        <v/>
      </c>
      <c r="J648" s="33" t="str">
        <f t="shared" si="3"/>
        <v/>
      </c>
    </row>
    <row r="649" ht="15.75" customHeight="1">
      <c r="A649" s="22" t="s">
        <v>113</v>
      </c>
      <c r="B649" s="22" t="str">
        <f>IF(MOV_CC_NACIONAL!A649="","",MOV_CC_NACIONAL!A649)</f>
        <v/>
      </c>
      <c r="C649" s="22" t="str">
        <f>IF(MOV_CC_NACIONAL!B649="","",MOV_CC_NACIONAL!B649)</f>
        <v/>
      </c>
      <c r="D649" s="34" t="str">
        <f>IF(MOV_CC_NACIONAL!C649="","",MOV_CC_NACIONAL!C649)</f>
        <v/>
      </c>
      <c r="E649" s="22" t="str">
        <f t="shared" si="1"/>
        <v/>
      </c>
      <c r="F649" s="22" t="str">
        <f>IFERROR(__xludf.DUMMYFUNCTION("IF(C649="""","""", OR(REGEXMATCH(LOWER(C649),""cuota""), REGEXMATCH(C649,""\d+\s*/\s*\d+"")))"),"")</f>
        <v/>
      </c>
      <c r="G649" s="22" t="str">
        <f>IFERROR(__xludf.DUMMYFUNCTION("IFERROR(VALUE(REGEXEXTRACT(C649,""(\d+)\s*/\s*\d+"")),"""")"),"")</f>
        <v/>
      </c>
      <c r="H649" s="22" t="str">
        <f>IFERROR(__xludf.DUMMYFUNCTION("IFERROR(VALUE(REGEXEXTRACT(C649,""\d+\s*/\s*(\d+)"")),"""")"),"")</f>
        <v/>
      </c>
      <c r="I649" s="22" t="str">
        <f t="shared" si="2"/>
        <v/>
      </c>
      <c r="J649" s="34" t="str">
        <f t="shared" si="3"/>
        <v/>
      </c>
    </row>
    <row r="650" ht="15.75" customHeight="1">
      <c r="A650" s="32" t="s">
        <v>113</v>
      </c>
      <c r="B650" s="32" t="str">
        <f>IF(MOV_CC_NACIONAL!A650="","",MOV_CC_NACIONAL!A650)</f>
        <v/>
      </c>
      <c r="C650" s="32" t="str">
        <f>IF(MOV_CC_NACIONAL!B650="","",MOV_CC_NACIONAL!B650)</f>
        <v/>
      </c>
      <c r="D650" s="33" t="str">
        <f>IF(MOV_CC_NACIONAL!C650="","",MOV_CC_NACIONAL!C650)</f>
        <v/>
      </c>
      <c r="E650" s="32" t="str">
        <f t="shared" si="1"/>
        <v/>
      </c>
      <c r="F650" s="32" t="str">
        <f>IFERROR(__xludf.DUMMYFUNCTION("IF(C650="""","""", OR(REGEXMATCH(LOWER(C650),""cuota""), REGEXMATCH(C650,""\d+\s*/\s*\d+"")))"),"")</f>
        <v/>
      </c>
      <c r="G650" s="32" t="str">
        <f>IFERROR(__xludf.DUMMYFUNCTION("IFERROR(VALUE(REGEXEXTRACT(C650,""(\d+)\s*/\s*\d+"")),"""")"),"")</f>
        <v/>
      </c>
      <c r="H650" s="32" t="str">
        <f>IFERROR(__xludf.DUMMYFUNCTION("IFERROR(VALUE(REGEXEXTRACT(C650,""\d+\s*/\s*(\d+)"")),"""")"),"")</f>
        <v/>
      </c>
      <c r="I650" s="32" t="str">
        <f t="shared" si="2"/>
        <v/>
      </c>
      <c r="J650" s="33" t="str">
        <f t="shared" si="3"/>
        <v/>
      </c>
    </row>
    <row r="651" ht="15.75" customHeight="1">
      <c r="A651" s="22" t="s">
        <v>113</v>
      </c>
      <c r="B651" s="22" t="str">
        <f>IF(MOV_CC_NACIONAL!A651="","",MOV_CC_NACIONAL!A651)</f>
        <v/>
      </c>
      <c r="C651" s="22" t="str">
        <f>IF(MOV_CC_NACIONAL!B651="","",MOV_CC_NACIONAL!B651)</f>
        <v/>
      </c>
      <c r="D651" s="34" t="str">
        <f>IF(MOV_CC_NACIONAL!C651="","",MOV_CC_NACIONAL!C651)</f>
        <v/>
      </c>
      <c r="E651" s="22" t="str">
        <f t="shared" si="1"/>
        <v/>
      </c>
      <c r="F651" s="22" t="str">
        <f>IFERROR(__xludf.DUMMYFUNCTION("IF(C651="""","""", OR(REGEXMATCH(LOWER(C651),""cuota""), REGEXMATCH(C651,""\d+\s*/\s*\d+"")))"),"")</f>
        <v/>
      </c>
      <c r="G651" s="22" t="str">
        <f>IFERROR(__xludf.DUMMYFUNCTION("IFERROR(VALUE(REGEXEXTRACT(C651,""(\d+)\s*/\s*\d+"")),"""")"),"")</f>
        <v/>
      </c>
      <c r="H651" s="22" t="str">
        <f>IFERROR(__xludf.DUMMYFUNCTION("IFERROR(VALUE(REGEXEXTRACT(C651,""\d+\s*/\s*(\d+)"")),"""")"),"")</f>
        <v/>
      </c>
      <c r="I651" s="22" t="str">
        <f t="shared" si="2"/>
        <v/>
      </c>
      <c r="J651" s="34" t="str">
        <f t="shared" si="3"/>
        <v/>
      </c>
    </row>
    <row r="652" ht="15.75" customHeight="1">
      <c r="A652" s="32" t="s">
        <v>113</v>
      </c>
      <c r="B652" s="32" t="str">
        <f>IF(MOV_CC_NACIONAL!A652="","",MOV_CC_NACIONAL!A652)</f>
        <v/>
      </c>
      <c r="C652" s="32" t="str">
        <f>IF(MOV_CC_NACIONAL!B652="","",MOV_CC_NACIONAL!B652)</f>
        <v/>
      </c>
      <c r="D652" s="33" t="str">
        <f>IF(MOV_CC_NACIONAL!C652="","",MOV_CC_NACIONAL!C652)</f>
        <v/>
      </c>
      <c r="E652" s="32" t="str">
        <f t="shared" si="1"/>
        <v/>
      </c>
      <c r="F652" s="32" t="str">
        <f>IFERROR(__xludf.DUMMYFUNCTION("IF(C652="""","""", OR(REGEXMATCH(LOWER(C652),""cuota""), REGEXMATCH(C652,""\d+\s*/\s*\d+"")))"),"")</f>
        <v/>
      </c>
      <c r="G652" s="32" t="str">
        <f>IFERROR(__xludf.DUMMYFUNCTION("IFERROR(VALUE(REGEXEXTRACT(C652,""(\d+)\s*/\s*\d+"")),"""")"),"")</f>
        <v/>
      </c>
      <c r="H652" s="32" t="str">
        <f>IFERROR(__xludf.DUMMYFUNCTION("IFERROR(VALUE(REGEXEXTRACT(C652,""\d+\s*/\s*(\d+)"")),"""")"),"")</f>
        <v/>
      </c>
      <c r="I652" s="32" t="str">
        <f t="shared" si="2"/>
        <v/>
      </c>
      <c r="J652" s="33" t="str">
        <f t="shared" si="3"/>
        <v/>
      </c>
    </row>
    <row r="653" ht="15.75" customHeight="1">
      <c r="A653" s="22" t="s">
        <v>113</v>
      </c>
      <c r="B653" s="22" t="str">
        <f>IF(MOV_CC_NACIONAL!A653="","",MOV_CC_NACIONAL!A653)</f>
        <v/>
      </c>
      <c r="C653" s="22" t="str">
        <f>IF(MOV_CC_NACIONAL!B653="","",MOV_CC_NACIONAL!B653)</f>
        <v/>
      </c>
      <c r="D653" s="34" t="str">
        <f>IF(MOV_CC_NACIONAL!C653="","",MOV_CC_NACIONAL!C653)</f>
        <v/>
      </c>
      <c r="E653" s="22" t="str">
        <f t="shared" si="1"/>
        <v/>
      </c>
      <c r="F653" s="22" t="str">
        <f>IFERROR(__xludf.DUMMYFUNCTION("IF(C653="""","""", OR(REGEXMATCH(LOWER(C653),""cuota""), REGEXMATCH(C653,""\d+\s*/\s*\d+"")))"),"")</f>
        <v/>
      </c>
      <c r="G653" s="22" t="str">
        <f>IFERROR(__xludf.DUMMYFUNCTION("IFERROR(VALUE(REGEXEXTRACT(C653,""(\d+)\s*/\s*\d+"")),"""")"),"")</f>
        <v/>
      </c>
      <c r="H653" s="22" t="str">
        <f>IFERROR(__xludf.DUMMYFUNCTION("IFERROR(VALUE(REGEXEXTRACT(C653,""\d+\s*/\s*(\d+)"")),"""")"),"")</f>
        <v/>
      </c>
      <c r="I653" s="22" t="str">
        <f t="shared" si="2"/>
        <v/>
      </c>
      <c r="J653" s="34" t="str">
        <f t="shared" si="3"/>
        <v/>
      </c>
    </row>
    <row r="654" ht="15.75" customHeight="1">
      <c r="A654" s="32" t="s">
        <v>113</v>
      </c>
      <c r="B654" s="32" t="str">
        <f>IF(MOV_CC_NACIONAL!A654="","",MOV_CC_NACIONAL!A654)</f>
        <v/>
      </c>
      <c r="C654" s="32" t="str">
        <f>IF(MOV_CC_NACIONAL!B654="","",MOV_CC_NACIONAL!B654)</f>
        <v/>
      </c>
      <c r="D654" s="33" t="str">
        <f>IF(MOV_CC_NACIONAL!C654="","",MOV_CC_NACIONAL!C654)</f>
        <v/>
      </c>
      <c r="E654" s="32" t="str">
        <f t="shared" si="1"/>
        <v/>
      </c>
      <c r="F654" s="32" t="str">
        <f>IFERROR(__xludf.DUMMYFUNCTION("IF(C654="""","""", OR(REGEXMATCH(LOWER(C654),""cuota""), REGEXMATCH(C654,""\d+\s*/\s*\d+"")))"),"")</f>
        <v/>
      </c>
      <c r="G654" s="32" t="str">
        <f>IFERROR(__xludf.DUMMYFUNCTION("IFERROR(VALUE(REGEXEXTRACT(C654,""(\d+)\s*/\s*\d+"")),"""")"),"")</f>
        <v/>
      </c>
      <c r="H654" s="32" t="str">
        <f>IFERROR(__xludf.DUMMYFUNCTION("IFERROR(VALUE(REGEXEXTRACT(C654,""\d+\s*/\s*(\d+)"")),"""")"),"")</f>
        <v/>
      </c>
      <c r="I654" s="32" t="str">
        <f t="shared" si="2"/>
        <v/>
      </c>
      <c r="J654" s="33" t="str">
        <f t="shared" si="3"/>
        <v/>
      </c>
    </row>
    <row r="655" ht="15.75" customHeight="1">
      <c r="A655" s="22" t="s">
        <v>113</v>
      </c>
      <c r="B655" s="22" t="str">
        <f>IF(MOV_CC_NACIONAL!A655="","",MOV_CC_NACIONAL!A655)</f>
        <v/>
      </c>
      <c r="C655" s="22" t="str">
        <f>IF(MOV_CC_NACIONAL!B655="","",MOV_CC_NACIONAL!B655)</f>
        <v/>
      </c>
      <c r="D655" s="34" t="str">
        <f>IF(MOV_CC_NACIONAL!C655="","",MOV_CC_NACIONAL!C655)</f>
        <v/>
      </c>
      <c r="E655" s="22" t="str">
        <f t="shared" si="1"/>
        <v/>
      </c>
      <c r="F655" s="22" t="str">
        <f>IFERROR(__xludf.DUMMYFUNCTION("IF(C655="""","""", OR(REGEXMATCH(LOWER(C655),""cuota""), REGEXMATCH(C655,""\d+\s*/\s*\d+"")))"),"")</f>
        <v/>
      </c>
      <c r="G655" s="22" t="str">
        <f>IFERROR(__xludf.DUMMYFUNCTION("IFERROR(VALUE(REGEXEXTRACT(C655,""(\d+)\s*/\s*\d+"")),"""")"),"")</f>
        <v/>
      </c>
      <c r="H655" s="22" t="str">
        <f>IFERROR(__xludf.DUMMYFUNCTION("IFERROR(VALUE(REGEXEXTRACT(C655,""\d+\s*/\s*(\d+)"")),"""")"),"")</f>
        <v/>
      </c>
      <c r="I655" s="22" t="str">
        <f t="shared" si="2"/>
        <v/>
      </c>
      <c r="J655" s="34" t="str">
        <f t="shared" si="3"/>
        <v/>
      </c>
    </row>
    <row r="656" ht="15.75" customHeight="1">
      <c r="A656" s="32" t="s">
        <v>113</v>
      </c>
      <c r="B656" s="32" t="str">
        <f>IF(MOV_CC_NACIONAL!A656="","",MOV_CC_NACIONAL!A656)</f>
        <v/>
      </c>
      <c r="C656" s="32" t="str">
        <f>IF(MOV_CC_NACIONAL!B656="","",MOV_CC_NACIONAL!B656)</f>
        <v/>
      </c>
      <c r="D656" s="33" t="str">
        <f>IF(MOV_CC_NACIONAL!C656="","",MOV_CC_NACIONAL!C656)</f>
        <v/>
      </c>
      <c r="E656" s="32" t="str">
        <f t="shared" si="1"/>
        <v/>
      </c>
      <c r="F656" s="32" t="str">
        <f>IFERROR(__xludf.DUMMYFUNCTION("IF(C656="""","""", OR(REGEXMATCH(LOWER(C656),""cuota""), REGEXMATCH(C656,""\d+\s*/\s*\d+"")))"),"")</f>
        <v/>
      </c>
      <c r="G656" s="32" t="str">
        <f>IFERROR(__xludf.DUMMYFUNCTION("IFERROR(VALUE(REGEXEXTRACT(C656,""(\d+)\s*/\s*\d+"")),"""")"),"")</f>
        <v/>
      </c>
      <c r="H656" s="32" t="str">
        <f>IFERROR(__xludf.DUMMYFUNCTION("IFERROR(VALUE(REGEXEXTRACT(C656,""\d+\s*/\s*(\d+)"")),"""")"),"")</f>
        <v/>
      </c>
      <c r="I656" s="32" t="str">
        <f t="shared" si="2"/>
        <v/>
      </c>
      <c r="J656" s="33" t="str">
        <f t="shared" si="3"/>
        <v/>
      </c>
    </row>
    <row r="657" ht="15.75" customHeight="1">
      <c r="A657" s="22" t="s">
        <v>113</v>
      </c>
      <c r="B657" s="22" t="str">
        <f>IF(MOV_CC_NACIONAL!A657="","",MOV_CC_NACIONAL!A657)</f>
        <v/>
      </c>
      <c r="C657" s="22" t="str">
        <f>IF(MOV_CC_NACIONAL!B657="","",MOV_CC_NACIONAL!B657)</f>
        <v/>
      </c>
      <c r="D657" s="34" t="str">
        <f>IF(MOV_CC_NACIONAL!C657="","",MOV_CC_NACIONAL!C657)</f>
        <v/>
      </c>
      <c r="E657" s="22" t="str">
        <f t="shared" si="1"/>
        <v/>
      </c>
      <c r="F657" s="22" t="str">
        <f>IFERROR(__xludf.DUMMYFUNCTION("IF(C657="""","""", OR(REGEXMATCH(LOWER(C657),""cuota""), REGEXMATCH(C657,""\d+\s*/\s*\d+"")))"),"")</f>
        <v/>
      </c>
      <c r="G657" s="22" t="str">
        <f>IFERROR(__xludf.DUMMYFUNCTION("IFERROR(VALUE(REGEXEXTRACT(C657,""(\d+)\s*/\s*\d+"")),"""")"),"")</f>
        <v/>
      </c>
      <c r="H657" s="22" t="str">
        <f>IFERROR(__xludf.DUMMYFUNCTION("IFERROR(VALUE(REGEXEXTRACT(C657,""\d+\s*/\s*(\d+)"")),"""")"),"")</f>
        <v/>
      </c>
      <c r="I657" s="22" t="str">
        <f t="shared" si="2"/>
        <v/>
      </c>
      <c r="J657" s="34" t="str">
        <f t="shared" si="3"/>
        <v/>
      </c>
    </row>
    <row r="658" ht="15.75" customHeight="1">
      <c r="A658" s="32" t="s">
        <v>113</v>
      </c>
      <c r="B658" s="32" t="str">
        <f>IF(MOV_CC_NACIONAL!A658="","",MOV_CC_NACIONAL!A658)</f>
        <v/>
      </c>
      <c r="C658" s="32" t="str">
        <f>IF(MOV_CC_NACIONAL!B658="","",MOV_CC_NACIONAL!B658)</f>
        <v/>
      </c>
      <c r="D658" s="33" t="str">
        <f>IF(MOV_CC_NACIONAL!C658="","",MOV_CC_NACIONAL!C658)</f>
        <v/>
      </c>
      <c r="E658" s="32" t="str">
        <f t="shared" si="1"/>
        <v/>
      </c>
      <c r="F658" s="32" t="str">
        <f>IFERROR(__xludf.DUMMYFUNCTION("IF(C658="""","""", OR(REGEXMATCH(LOWER(C658),""cuota""), REGEXMATCH(C658,""\d+\s*/\s*\d+"")))"),"")</f>
        <v/>
      </c>
      <c r="G658" s="32" t="str">
        <f>IFERROR(__xludf.DUMMYFUNCTION("IFERROR(VALUE(REGEXEXTRACT(C658,""(\d+)\s*/\s*\d+"")),"""")"),"")</f>
        <v/>
      </c>
      <c r="H658" s="32" t="str">
        <f>IFERROR(__xludf.DUMMYFUNCTION("IFERROR(VALUE(REGEXEXTRACT(C658,""\d+\s*/\s*(\d+)"")),"""")"),"")</f>
        <v/>
      </c>
      <c r="I658" s="32" t="str">
        <f t="shared" si="2"/>
        <v/>
      </c>
      <c r="J658" s="33" t="str">
        <f t="shared" si="3"/>
        <v/>
      </c>
    </row>
    <row r="659" ht="15.75" customHeight="1">
      <c r="A659" s="22" t="s">
        <v>113</v>
      </c>
      <c r="B659" s="22" t="str">
        <f>IF(MOV_CC_NACIONAL!A659="","",MOV_CC_NACIONAL!A659)</f>
        <v/>
      </c>
      <c r="C659" s="22" t="str">
        <f>IF(MOV_CC_NACIONAL!B659="","",MOV_CC_NACIONAL!B659)</f>
        <v/>
      </c>
      <c r="D659" s="34" t="str">
        <f>IF(MOV_CC_NACIONAL!C659="","",MOV_CC_NACIONAL!C659)</f>
        <v/>
      </c>
      <c r="E659" s="22" t="str">
        <f t="shared" si="1"/>
        <v/>
      </c>
      <c r="F659" s="22" t="str">
        <f>IFERROR(__xludf.DUMMYFUNCTION("IF(C659="""","""", OR(REGEXMATCH(LOWER(C659),""cuota""), REGEXMATCH(C659,""\d+\s*/\s*\d+"")))"),"")</f>
        <v/>
      </c>
      <c r="G659" s="22" t="str">
        <f>IFERROR(__xludf.DUMMYFUNCTION("IFERROR(VALUE(REGEXEXTRACT(C659,""(\d+)\s*/\s*\d+"")),"""")"),"")</f>
        <v/>
      </c>
      <c r="H659" s="22" t="str">
        <f>IFERROR(__xludf.DUMMYFUNCTION("IFERROR(VALUE(REGEXEXTRACT(C659,""\d+\s*/\s*(\d+)"")),"""")"),"")</f>
        <v/>
      </c>
      <c r="I659" s="22" t="str">
        <f t="shared" si="2"/>
        <v/>
      </c>
      <c r="J659" s="34" t="str">
        <f t="shared" si="3"/>
        <v/>
      </c>
    </row>
    <row r="660" ht="15.75" customHeight="1">
      <c r="A660" s="32" t="s">
        <v>113</v>
      </c>
      <c r="B660" s="32" t="str">
        <f>IF(MOV_CC_NACIONAL!A660="","",MOV_CC_NACIONAL!A660)</f>
        <v/>
      </c>
      <c r="C660" s="32" t="str">
        <f>IF(MOV_CC_NACIONAL!B660="","",MOV_CC_NACIONAL!B660)</f>
        <v/>
      </c>
      <c r="D660" s="33" t="str">
        <f>IF(MOV_CC_NACIONAL!C660="","",MOV_CC_NACIONAL!C660)</f>
        <v/>
      </c>
      <c r="E660" s="32" t="str">
        <f t="shared" si="1"/>
        <v/>
      </c>
      <c r="F660" s="32" t="str">
        <f>IFERROR(__xludf.DUMMYFUNCTION("IF(C660="""","""", OR(REGEXMATCH(LOWER(C660),""cuota""), REGEXMATCH(C660,""\d+\s*/\s*\d+"")))"),"")</f>
        <v/>
      </c>
      <c r="G660" s="32" t="str">
        <f>IFERROR(__xludf.DUMMYFUNCTION("IFERROR(VALUE(REGEXEXTRACT(C660,""(\d+)\s*/\s*\d+"")),"""")"),"")</f>
        <v/>
      </c>
      <c r="H660" s="32" t="str">
        <f>IFERROR(__xludf.DUMMYFUNCTION("IFERROR(VALUE(REGEXEXTRACT(C660,""\d+\s*/\s*(\d+)"")),"""")"),"")</f>
        <v/>
      </c>
      <c r="I660" s="32" t="str">
        <f t="shared" si="2"/>
        <v/>
      </c>
      <c r="J660" s="33" t="str">
        <f t="shared" si="3"/>
        <v/>
      </c>
    </row>
    <row r="661" ht="15.75" customHeight="1">
      <c r="A661" s="22" t="s">
        <v>113</v>
      </c>
      <c r="B661" s="22" t="str">
        <f>IF(MOV_CC_NACIONAL!A661="","",MOV_CC_NACIONAL!A661)</f>
        <v/>
      </c>
      <c r="C661" s="22" t="str">
        <f>IF(MOV_CC_NACIONAL!B661="","",MOV_CC_NACIONAL!B661)</f>
        <v/>
      </c>
      <c r="D661" s="34" t="str">
        <f>IF(MOV_CC_NACIONAL!C661="","",MOV_CC_NACIONAL!C661)</f>
        <v/>
      </c>
      <c r="E661" s="22" t="str">
        <f t="shared" si="1"/>
        <v/>
      </c>
      <c r="F661" s="22" t="str">
        <f>IFERROR(__xludf.DUMMYFUNCTION("IF(C661="""","""", OR(REGEXMATCH(LOWER(C661),""cuota""), REGEXMATCH(C661,""\d+\s*/\s*\d+"")))"),"")</f>
        <v/>
      </c>
      <c r="G661" s="22" t="str">
        <f>IFERROR(__xludf.DUMMYFUNCTION("IFERROR(VALUE(REGEXEXTRACT(C661,""(\d+)\s*/\s*\d+"")),"""")"),"")</f>
        <v/>
      </c>
      <c r="H661" s="22" t="str">
        <f>IFERROR(__xludf.DUMMYFUNCTION("IFERROR(VALUE(REGEXEXTRACT(C661,""\d+\s*/\s*(\d+)"")),"""")"),"")</f>
        <v/>
      </c>
      <c r="I661" s="22" t="str">
        <f t="shared" si="2"/>
        <v/>
      </c>
      <c r="J661" s="34" t="str">
        <f t="shared" si="3"/>
        <v/>
      </c>
    </row>
    <row r="662" ht="15.75" customHeight="1">
      <c r="A662" s="32" t="s">
        <v>113</v>
      </c>
      <c r="B662" s="32" t="str">
        <f>IF(MOV_CC_NACIONAL!A662="","",MOV_CC_NACIONAL!A662)</f>
        <v/>
      </c>
      <c r="C662" s="32" t="str">
        <f>IF(MOV_CC_NACIONAL!B662="","",MOV_CC_NACIONAL!B662)</f>
        <v/>
      </c>
      <c r="D662" s="33" t="str">
        <f>IF(MOV_CC_NACIONAL!C662="","",MOV_CC_NACIONAL!C662)</f>
        <v/>
      </c>
      <c r="E662" s="32" t="str">
        <f t="shared" si="1"/>
        <v/>
      </c>
      <c r="F662" s="32" t="str">
        <f>IFERROR(__xludf.DUMMYFUNCTION("IF(C662="""","""", OR(REGEXMATCH(LOWER(C662),""cuota""), REGEXMATCH(C662,""\d+\s*/\s*\d+"")))"),"")</f>
        <v/>
      </c>
      <c r="G662" s="32" t="str">
        <f>IFERROR(__xludf.DUMMYFUNCTION("IFERROR(VALUE(REGEXEXTRACT(C662,""(\d+)\s*/\s*\d+"")),"""")"),"")</f>
        <v/>
      </c>
      <c r="H662" s="32" t="str">
        <f>IFERROR(__xludf.DUMMYFUNCTION("IFERROR(VALUE(REGEXEXTRACT(C662,""\d+\s*/\s*(\d+)"")),"""")"),"")</f>
        <v/>
      </c>
      <c r="I662" s="32" t="str">
        <f t="shared" si="2"/>
        <v/>
      </c>
      <c r="J662" s="33" t="str">
        <f t="shared" si="3"/>
        <v/>
      </c>
    </row>
    <row r="663" ht="15.75" customHeight="1">
      <c r="A663" s="22" t="s">
        <v>113</v>
      </c>
      <c r="B663" s="22" t="str">
        <f>IF(MOV_CC_NACIONAL!A663="","",MOV_CC_NACIONAL!A663)</f>
        <v/>
      </c>
      <c r="C663" s="22" t="str">
        <f>IF(MOV_CC_NACIONAL!B663="","",MOV_CC_NACIONAL!B663)</f>
        <v/>
      </c>
      <c r="D663" s="34" t="str">
        <f>IF(MOV_CC_NACIONAL!C663="","",MOV_CC_NACIONAL!C663)</f>
        <v/>
      </c>
      <c r="E663" s="22" t="str">
        <f t="shared" si="1"/>
        <v/>
      </c>
      <c r="F663" s="22" t="str">
        <f>IFERROR(__xludf.DUMMYFUNCTION("IF(C663="""","""", OR(REGEXMATCH(LOWER(C663),""cuota""), REGEXMATCH(C663,""\d+\s*/\s*\d+"")))"),"")</f>
        <v/>
      </c>
      <c r="G663" s="22" t="str">
        <f>IFERROR(__xludf.DUMMYFUNCTION("IFERROR(VALUE(REGEXEXTRACT(C663,""(\d+)\s*/\s*\d+"")),"""")"),"")</f>
        <v/>
      </c>
      <c r="H663" s="22" t="str">
        <f>IFERROR(__xludf.DUMMYFUNCTION("IFERROR(VALUE(REGEXEXTRACT(C663,""\d+\s*/\s*(\d+)"")),"""")"),"")</f>
        <v/>
      </c>
      <c r="I663" s="22" t="str">
        <f t="shared" si="2"/>
        <v/>
      </c>
      <c r="J663" s="34" t="str">
        <f t="shared" si="3"/>
        <v/>
      </c>
    </row>
    <row r="664" ht="15.75" customHeight="1">
      <c r="A664" s="32" t="s">
        <v>113</v>
      </c>
      <c r="B664" s="32" t="str">
        <f>IF(MOV_CC_NACIONAL!A664="","",MOV_CC_NACIONAL!A664)</f>
        <v/>
      </c>
      <c r="C664" s="32" t="str">
        <f>IF(MOV_CC_NACIONAL!B664="","",MOV_CC_NACIONAL!B664)</f>
        <v/>
      </c>
      <c r="D664" s="33" t="str">
        <f>IF(MOV_CC_NACIONAL!C664="","",MOV_CC_NACIONAL!C664)</f>
        <v/>
      </c>
      <c r="E664" s="32" t="str">
        <f t="shared" si="1"/>
        <v/>
      </c>
      <c r="F664" s="32" t="str">
        <f>IFERROR(__xludf.DUMMYFUNCTION("IF(C664="""","""", OR(REGEXMATCH(LOWER(C664),""cuota""), REGEXMATCH(C664,""\d+\s*/\s*\d+"")))"),"")</f>
        <v/>
      </c>
      <c r="G664" s="32" t="str">
        <f>IFERROR(__xludf.DUMMYFUNCTION("IFERROR(VALUE(REGEXEXTRACT(C664,""(\d+)\s*/\s*\d+"")),"""")"),"")</f>
        <v/>
      </c>
      <c r="H664" s="32" t="str">
        <f>IFERROR(__xludf.DUMMYFUNCTION("IFERROR(VALUE(REGEXEXTRACT(C664,""\d+\s*/\s*(\d+)"")),"""")"),"")</f>
        <v/>
      </c>
      <c r="I664" s="32" t="str">
        <f t="shared" si="2"/>
        <v/>
      </c>
      <c r="J664" s="33" t="str">
        <f t="shared" si="3"/>
        <v/>
      </c>
    </row>
    <row r="665" ht="15.75" customHeight="1">
      <c r="A665" s="22" t="s">
        <v>113</v>
      </c>
      <c r="B665" s="22" t="str">
        <f>IF(MOV_CC_NACIONAL!A665="","",MOV_CC_NACIONAL!A665)</f>
        <v/>
      </c>
      <c r="C665" s="22" t="str">
        <f>IF(MOV_CC_NACIONAL!B665="","",MOV_CC_NACIONAL!B665)</f>
        <v/>
      </c>
      <c r="D665" s="34" t="str">
        <f>IF(MOV_CC_NACIONAL!C665="","",MOV_CC_NACIONAL!C665)</f>
        <v/>
      </c>
      <c r="E665" s="22" t="str">
        <f t="shared" si="1"/>
        <v/>
      </c>
      <c r="F665" s="22" t="str">
        <f>IFERROR(__xludf.DUMMYFUNCTION("IF(C665="""","""", OR(REGEXMATCH(LOWER(C665),""cuota""), REGEXMATCH(C665,""\d+\s*/\s*\d+"")))"),"")</f>
        <v/>
      </c>
      <c r="G665" s="22" t="str">
        <f>IFERROR(__xludf.DUMMYFUNCTION("IFERROR(VALUE(REGEXEXTRACT(C665,""(\d+)\s*/\s*\d+"")),"""")"),"")</f>
        <v/>
      </c>
      <c r="H665" s="22" t="str">
        <f>IFERROR(__xludf.DUMMYFUNCTION("IFERROR(VALUE(REGEXEXTRACT(C665,""\d+\s*/\s*(\d+)"")),"""")"),"")</f>
        <v/>
      </c>
      <c r="I665" s="22" t="str">
        <f t="shared" si="2"/>
        <v/>
      </c>
      <c r="J665" s="34" t="str">
        <f t="shared" si="3"/>
        <v/>
      </c>
    </row>
    <row r="666" ht="15.75" customHeight="1">
      <c r="A666" s="32" t="s">
        <v>113</v>
      </c>
      <c r="B666" s="32" t="str">
        <f>IF(MOV_CC_NACIONAL!A666="","",MOV_CC_NACIONAL!A666)</f>
        <v/>
      </c>
      <c r="C666" s="32" t="str">
        <f>IF(MOV_CC_NACIONAL!B666="","",MOV_CC_NACIONAL!B666)</f>
        <v/>
      </c>
      <c r="D666" s="33" t="str">
        <f>IF(MOV_CC_NACIONAL!C666="","",MOV_CC_NACIONAL!C666)</f>
        <v/>
      </c>
      <c r="E666" s="32" t="str">
        <f t="shared" si="1"/>
        <v/>
      </c>
      <c r="F666" s="32" t="str">
        <f>IFERROR(__xludf.DUMMYFUNCTION("IF(C666="""","""", OR(REGEXMATCH(LOWER(C666),""cuota""), REGEXMATCH(C666,""\d+\s*/\s*\d+"")))"),"")</f>
        <v/>
      </c>
      <c r="G666" s="32" t="str">
        <f>IFERROR(__xludf.DUMMYFUNCTION("IFERROR(VALUE(REGEXEXTRACT(C666,""(\d+)\s*/\s*\d+"")),"""")"),"")</f>
        <v/>
      </c>
      <c r="H666" s="32" t="str">
        <f>IFERROR(__xludf.DUMMYFUNCTION("IFERROR(VALUE(REGEXEXTRACT(C666,""\d+\s*/\s*(\d+)"")),"""")"),"")</f>
        <v/>
      </c>
      <c r="I666" s="32" t="str">
        <f t="shared" si="2"/>
        <v/>
      </c>
      <c r="J666" s="33" t="str">
        <f t="shared" si="3"/>
        <v/>
      </c>
    </row>
    <row r="667" ht="15.75" customHeight="1">
      <c r="A667" s="22" t="s">
        <v>113</v>
      </c>
      <c r="B667" s="22" t="str">
        <f>IF(MOV_CC_NACIONAL!A667="","",MOV_CC_NACIONAL!A667)</f>
        <v/>
      </c>
      <c r="C667" s="22" t="str">
        <f>IF(MOV_CC_NACIONAL!B667="","",MOV_CC_NACIONAL!B667)</f>
        <v/>
      </c>
      <c r="D667" s="34" t="str">
        <f>IF(MOV_CC_NACIONAL!C667="","",MOV_CC_NACIONAL!C667)</f>
        <v/>
      </c>
      <c r="E667" s="22" t="str">
        <f t="shared" si="1"/>
        <v/>
      </c>
      <c r="F667" s="22" t="str">
        <f>IFERROR(__xludf.DUMMYFUNCTION("IF(C667="""","""", OR(REGEXMATCH(LOWER(C667),""cuota""), REGEXMATCH(C667,""\d+\s*/\s*\d+"")))"),"")</f>
        <v/>
      </c>
      <c r="G667" s="22" t="str">
        <f>IFERROR(__xludf.DUMMYFUNCTION("IFERROR(VALUE(REGEXEXTRACT(C667,""(\d+)\s*/\s*\d+"")),"""")"),"")</f>
        <v/>
      </c>
      <c r="H667" s="22" t="str">
        <f>IFERROR(__xludf.DUMMYFUNCTION("IFERROR(VALUE(REGEXEXTRACT(C667,""\d+\s*/\s*(\d+)"")),"""")"),"")</f>
        <v/>
      </c>
      <c r="I667" s="22" t="str">
        <f t="shared" si="2"/>
        <v/>
      </c>
      <c r="J667" s="34" t="str">
        <f t="shared" si="3"/>
        <v/>
      </c>
    </row>
    <row r="668" ht="15.75" customHeight="1">
      <c r="A668" s="32" t="s">
        <v>113</v>
      </c>
      <c r="B668" s="32" t="str">
        <f>IF(MOV_CC_NACIONAL!A668="","",MOV_CC_NACIONAL!A668)</f>
        <v/>
      </c>
      <c r="C668" s="32" t="str">
        <f>IF(MOV_CC_NACIONAL!B668="","",MOV_CC_NACIONAL!B668)</f>
        <v/>
      </c>
      <c r="D668" s="33" t="str">
        <f>IF(MOV_CC_NACIONAL!C668="","",MOV_CC_NACIONAL!C668)</f>
        <v/>
      </c>
      <c r="E668" s="32" t="str">
        <f t="shared" si="1"/>
        <v/>
      </c>
      <c r="F668" s="32" t="str">
        <f>IFERROR(__xludf.DUMMYFUNCTION("IF(C668="""","""", OR(REGEXMATCH(LOWER(C668),""cuota""), REGEXMATCH(C668,""\d+\s*/\s*\d+"")))"),"")</f>
        <v/>
      </c>
      <c r="G668" s="32" t="str">
        <f>IFERROR(__xludf.DUMMYFUNCTION("IFERROR(VALUE(REGEXEXTRACT(C668,""(\d+)\s*/\s*\d+"")),"""")"),"")</f>
        <v/>
      </c>
      <c r="H668" s="32" t="str">
        <f>IFERROR(__xludf.DUMMYFUNCTION("IFERROR(VALUE(REGEXEXTRACT(C668,""\d+\s*/\s*(\d+)"")),"""")"),"")</f>
        <v/>
      </c>
      <c r="I668" s="32" t="str">
        <f t="shared" si="2"/>
        <v/>
      </c>
      <c r="J668" s="33" t="str">
        <f t="shared" si="3"/>
        <v/>
      </c>
    </row>
    <row r="669" ht="15.75" customHeight="1">
      <c r="A669" s="22" t="s">
        <v>113</v>
      </c>
      <c r="B669" s="22" t="str">
        <f>IF(MOV_CC_NACIONAL!A669="","",MOV_CC_NACIONAL!A669)</f>
        <v/>
      </c>
      <c r="C669" s="22" t="str">
        <f>IF(MOV_CC_NACIONAL!B669="","",MOV_CC_NACIONAL!B669)</f>
        <v/>
      </c>
      <c r="D669" s="34" t="str">
        <f>IF(MOV_CC_NACIONAL!C669="","",MOV_CC_NACIONAL!C669)</f>
        <v/>
      </c>
      <c r="E669" s="22" t="str">
        <f t="shared" si="1"/>
        <v/>
      </c>
      <c r="F669" s="22" t="str">
        <f>IFERROR(__xludf.DUMMYFUNCTION("IF(C669="""","""", OR(REGEXMATCH(LOWER(C669),""cuota""), REGEXMATCH(C669,""\d+\s*/\s*\d+"")))"),"")</f>
        <v/>
      </c>
      <c r="G669" s="22" t="str">
        <f>IFERROR(__xludf.DUMMYFUNCTION("IFERROR(VALUE(REGEXEXTRACT(C669,""(\d+)\s*/\s*\d+"")),"""")"),"")</f>
        <v/>
      </c>
      <c r="H669" s="22" t="str">
        <f>IFERROR(__xludf.DUMMYFUNCTION("IFERROR(VALUE(REGEXEXTRACT(C669,""\d+\s*/\s*(\d+)"")),"""")"),"")</f>
        <v/>
      </c>
      <c r="I669" s="22" t="str">
        <f t="shared" si="2"/>
        <v/>
      </c>
      <c r="J669" s="34" t="str">
        <f t="shared" si="3"/>
        <v/>
      </c>
    </row>
    <row r="670" ht="15.75" customHeight="1">
      <c r="A670" s="32" t="s">
        <v>113</v>
      </c>
      <c r="B670" s="32" t="str">
        <f>IF(MOV_CC_NACIONAL!A670="","",MOV_CC_NACIONAL!A670)</f>
        <v/>
      </c>
      <c r="C670" s="32" t="str">
        <f>IF(MOV_CC_NACIONAL!B670="","",MOV_CC_NACIONAL!B670)</f>
        <v/>
      </c>
      <c r="D670" s="33" t="str">
        <f>IF(MOV_CC_NACIONAL!C670="","",MOV_CC_NACIONAL!C670)</f>
        <v/>
      </c>
      <c r="E670" s="32" t="str">
        <f t="shared" si="1"/>
        <v/>
      </c>
      <c r="F670" s="32" t="str">
        <f>IFERROR(__xludf.DUMMYFUNCTION("IF(C670="""","""", OR(REGEXMATCH(LOWER(C670),""cuota""), REGEXMATCH(C670,""\d+\s*/\s*\d+"")))"),"")</f>
        <v/>
      </c>
      <c r="G670" s="32" t="str">
        <f>IFERROR(__xludf.DUMMYFUNCTION("IFERROR(VALUE(REGEXEXTRACT(C670,""(\d+)\s*/\s*\d+"")),"""")"),"")</f>
        <v/>
      </c>
      <c r="H670" s="32" t="str">
        <f>IFERROR(__xludf.DUMMYFUNCTION("IFERROR(VALUE(REGEXEXTRACT(C670,""\d+\s*/\s*(\d+)"")),"""")"),"")</f>
        <v/>
      </c>
      <c r="I670" s="32" t="str">
        <f t="shared" si="2"/>
        <v/>
      </c>
      <c r="J670" s="33" t="str">
        <f t="shared" si="3"/>
        <v/>
      </c>
    </row>
    <row r="671" ht="15.75" customHeight="1">
      <c r="A671" s="22" t="s">
        <v>113</v>
      </c>
      <c r="B671" s="22" t="str">
        <f>IF(MOV_CC_NACIONAL!A671="","",MOV_CC_NACIONAL!A671)</f>
        <v/>
      </c>
      <c r="C671" s="22" t="str">
        <f>IF(MOV_CC_NACIONAL!B671="","",MOV_CC_NACIONAL!B671)</f>
        <v/>
      </c>
      <c r="D671" s="34" t="str">
        <f>IF(MOV_CC_NACIONAL!C671="","",MOV_CC_NACIONAL!C671)</f>
        <v/>
      </c>
      <c r="E671" s="22" t="str">
        <f t="shared" si="1"/>
        <v/>
      </c>
      <c r="F671" s="22" t="str">
        <f>IFERROR(__xludf.DUMMYFUNCTION("IF(C671="""","""", OR(REGEXMATCH(LOWER(C671),""cuota""), REGEXMATCH(C671,""\d+\s*/\s*\d+"")))"),"")</f>
        <v/>
      </c>
      <c r="G671" s="22" t="str">
        <f>IFERROR(__xludf.DUMMYFUNCTION("IFERROR(VALUE(REGEXEXTRACT(C671,""(\d+)\s*/\s*\d+"")),"""")"),"")</f>
        <v/>
      </c>
      <c r="H671" s="22" t="str">
        <f>IFERROR(__xludf.DUMMYFUNCTION("IFERROR(VALUE(REGEXEXTRACT(C671,""\d+\s*/\s*(\d+)"")),"""")"),"")</f>
        <v/>
      </c>
      <c r="I671" s="22" t="str">
        <f t="shared" si="2"/>
        <v/>
      </c>
      <c r="J671" s="34" t="str">
        <f t="shared" si="3"/>
        <v/>
      </c>
    </row>
    <row r="672" ht="15.75" customHeight="1">
      <c r="A672" s="32" t="s">
        <v>113</v>
      </c>
      <c r="B672" s="32" t="str">
        <f>IF(MOV_CC_NACIONAL!A672="","",MOV_CC_NACIONAL!A672)</f>
        <v/>
      </c>
      <c r="C672" s="32" t="str">
        <f>IF(MOV_CC_NACIONAL!B672="","",MOV_CC_NACIONAL!B672)</f>
        <v/>
      </c>
      <c r="D672" s="33" t="str">
        <f>IF(MOV_CC_NACIONAL!C672="","",MOV_CC_NACIONAL!C672)</f>
        <v/>
      </c>
      <c r="E672" s="32" t="str">
        <f t="shared" si="1"/>
        <v/>
      </c>
      <c r="F672" s="32" t="str">
        <f>IFERROR(__xludf.DUMMYFUNCTION("IF(C672="""","""", OR(REGEXMATCH(LOWER(C672),""cuota""), REGEXMATCH(C672,""\d+\s*/\s*\d+"")))"),"")</f>
        <v/>
      </c>
      <c r="G672" s="32" t="str">
        <f>IFERROR(__xludf.DUMMYFUNCTION("IFERROR(VALUE(REGEXEXTRACT(C672,""(\d+)\s*/\s*\d+"")),"""")"),"")</f>
        <v/>
      </c>
      <c r="H672" s="32" t="str">
        <f>IFERROR(__xludf.DUMMYFUNCTION("IFERROR(VALUE(REGEXEXTRACT(C672,""\d+\s*/\s*(\d+)"")),"""")"),"")</f>
        <v/>
      </c>
      <c r="I672" s="32" t="str">
        <f t="shared" si="2"/>
        <v/>
      </c>
      <c r="J672" s="33" t="str">
        <f t="shared" si="3"/>
        <v/>
      </c>
    </row>
    <row r="673" ht="15.75" customHeight="1">
      <c r="A673" s="22" t="s">
        <v>113</v>
      </c>
      <c r="B673" s="22" t="str">
        <f>IF(MOV_CC_NACIONAL!A673="","",MOV_CC_NACIONAL!A673)</f>
        <v/>
      </c>
      <c r="C673" s="22" t="str">
        <f>IF(MOV_CC_NACIONAL!B673="","",MOV_CC_NACIONAL!B673)</f>
        <v/>
      </c>
      <c r="D673" s="34" t="str">
        <f>IF(MOV_CC_NACIONAL!C673="","",MOV_CC_NACIONAL!C673)</f>
        <v/>
      </c>
      <c r="E673" s="22" t="str">
        <f t="shared" si="1"/>
        <v/>
      </c>
      <c r="F673" s="22" t="str">
        <f>IFERROR(__xludf.DUMMYFUNCTION("IF(C673="""","""", OR(REGEXMATCH(LOWER(C673),""cuota""), REGEXMATCH(C673,""\d+\s*/\s*\d+"")))"),"")</f>
        <v/>
      </c>
      <c r="G673" s="22" t="str">
        <f>IFERROR(__xludf.DUMMYFUNCTION("IFERROR(VALUE(REGEXEXTRACT(C673,""(\d+)\s*/\s*\d+"")),"""")"),"")</f>
        <v/>
      </c>
      <c r="H673" s="22" t="str">
        <f>IFERROR(__xludf.DUMMYFUNCTION("IFERROR(VALUE(REGEXEXTRACT(C673,""\d+\s*/\s*(\d+)"")),"""")"),"")</f>
        <v/>
      </c>
      <c r="I673" s="22" t="str">
        <f t="shared" si="2"/>
        <v/>
      </c>
      <c r="J673" s="34" t="str">
        <f t="shared" si="3"/>
        <v/>
      </c>
    </row>
    <row r="674" ht="15.75" customHeight="1">
      <c r="A674" s="32" t="s">
        <v>113</v>
      </c>
      <c r="B674" s="32" t="str">
        <f>IF(MOV_CC_NACIONAL!A674="","",MOV_CC_NACIONAL!A674)</f>
        <v/>
      </c>
      <c r="C674" s="32" t="str">
        <f>IF(MOV_CC_NACIONAL!B674="","",MOV_CC_NACIONAL!B674)</f>
        <v/>
      </c>
      <c r="D674" s="33" t="str">
        <f>IF(MOV_CC_NACIONAL!C674="","",MOV_CC_NACIONAL!C674)</f>
        <v/>
      </c>
      <c r="E674" s="32" t="str">
        <f t="shared" si="1"/>
        <v/>
      </c>
      <c r="F674" s="32" t="str">
        <f>IFERROR(__xludf.DUMMYFUNCTION("IF(C674="""","""", OR(REGEXMATCH(LOWER(C674),""cuota""), REGEXMATCH(C674,""\d+\s*/\s*\d+"")))"),"")</f>
        <v/>
      </c>
      <c r="G674" s="32" t="str">
        <f>IFERROR(__xludf.DUMMYFUNCTION("IFERROR(VALUE(REGEXEXTRACT(C674,""(\d+)\s*/\s*\d+"")),"""")"),"")</f>
        <v/>
      </c>
      <c r="H674" s="32" t="str">
        <f>IFERROR(__xludf.DUMMYFUNCTION("IFERROR(VALUE(REGEXEXTRACT(C674,""\d+\s*/\s*(\d+)"")),"""")"),"")</f>
        <v/>
      </c>
      <c r="I674" s="32" t="str">
        <f t="shared" si="2"/>
        <v/>
      </c>
      <c r="J674" s="33" t="str">
        <f t="shared" si="3"/>
        <v/>
      </c>
    </row>
    <row r="675" ht="15.75" customHeight="1">
      <c r="A675" s="22" t="s">
        <v>113</v>
      </c>
      <c r="B675" s="22" t="str">
        <f>IF(MOV_CC_NACIONAL!A675="","",MOV_CC_NACIONAL!A675)</f>
        <v/>
      </c>
      <c r="C675" s="22" t="str">
        <f>IF(MOV_CC_NACIONAL!B675="","",MOV_CC_NACIONAL!B675)</f>
        <v/>
      </c>
      <c r="D675" s="34" t="str">
        <f>IF(MOV_CC_NACIONAL!C675="","",MOV_CC_NACIONAL!C675)</f>
        <v/>
      </c>
      <c r="E675" s="22" t="str">
        <f t="shared" si="1"/>
        <v/>
      </c>
      <c r="F675" s="22" t="str">
        <f>IFERROR(__xludf.DUMMYFUNCTION("IF(C675="""","""", OR(REGEXMATCH(LOWER(C675),""cuota""), REGEXMATCH(C675,""\d+\s*/\s*\d+"")))"),"")</f>
        <v/>
      </c>
      <c r="G675" s="22" t="str">
        <f>IFERROR(__xludf.DUMMYFUNCTION("IFERROR(VALUE(REGEXEXTRACT(C675,""(\d+)\s*/\s*\d+"")),"""")"),"")</f>
        <v/>
      </c>
      <c r="H675" s="22" t="str">
        <f>IFERROR(__xludf.DUMMYFUNCTION("IFERROR(VALUE(REGEXEXTRACT(C675,""\d+\s*/\s*(\d+)"")),"""")"),"")</f>
        <v/>
      </c>
      <c r="I675" s="22" t="str">
        <f t="shared" si="2"/>
        <v/>
      </c>
      <c r="J675" s="34" t="str">
        <f t="shared" si="3"/>
        <v/>
      </c>
    </row>
    <row r="676" ht="15.75" customHeight="1">
      <c r="A676" s="32" t="s">
        <v>113</v>
      </c>
      <c r="B676" s="32" t="str">
        <f>IF(MOV_CC_NACIONAL!A676="","",MOV_CC_NACIONAL!A676)</f>
        <v/>
      </c>
      <c r="C676" s="32" t="str">
        <f>IF(MOV_CC_NACIONAL!B676="","",MOV_CC_NACIONAL!B676)</f>
        <v/>
      </c>
      <c r="D676" s="33" t="str">
        <f>IF(MOV_CC_NACIONAL!C676="","",MOV_CC_NACIONAL!C676)</f>
        <v/>
      </c>
      <c r="E676" s="32" t="str">
        <f t="shared" si="1"/>
        <v/>
      </c>
      <c r="F676" s="32" t="str">
        <f>IFERROR(__xludf.DUMMYFUNCTION("IF(C676="""","""", OR(REGEXMATCH(LOWER(C676),""cuota""), REGEXMATCH(C676,""\d+\s*/\s*\d+"")))"),"")</f>
        <v/>
      </c>
      <c r="G676" s="32" t="str">
        <f>IFERROR(__xludf.DUMMYFUNCTION("IFERROR(VALUE(REGEXEXTRACT(C676,""(\d+)\s*/\s*\d+"")),"""")"),"")</f>
        <v/>
      </c>
      <c r="H676" s="32" t="str">
        <f>IFERROR(__xludf.DUMMYFUNCTION("IFERROR(VALUE(REGEXEXTRACT(C676,""\d+\s*/\s*(\d+)"")),"""")"),"")</f>
        <v/>
      </c>
      <c r="I676" s="32" t="str">
        <f t="shared" si="2"/>
        <v/>
      </c>
      <c r="J676" s="33" t="str">
        <f t="shared" si="3"/>
        <v/>
      </c>
    </row>
    <row r="677" ht="15.75" customHeight="1">
      <c r="A677" s="22" t="s">
        <v>113</v>
      </c>
      <c r="B677" s="22" t="str">
        <f>IF(MOV_CC_NACIONAL!A677="","",MOV_CC_NACIONAL!A677)</f>
        <v/>
      </c>
      <c r="C677" s="22" t="str">
        <f>IF(MOV_CC_NACIONAL!B677="","",MOV_CC_NACIONAL!B677)</f>
        <v/>
      </c>
      <c r="D677" s="34" t="str">
        <f>IF(MOV_CC_NACIONAL!C677="","",MOV_CC_NACIONAL!C677)</f>
        <v/>
      </c>
      <c r="E677" s="22" t="str">
        <f t="shared" si="1"/>
        <v/>
      </c>
      <c r="F677" s="22" t="str">
        <f>IFERROR(__xludf.DUMMYFUNCTION("IF(C677="""","""", OR(REGEXMATCH(LOWER(C677),""cuota""), REGEXMATCH(C677,""\d+\s*/\s*\d+"")))"),"")</f>
        <v/>
      </c>
      <c r="G677" s="22" t="str">
        <f>IFERROR(__xludf.DUMMYFUNCTION("IFERROR(VALUE(REGEXEXTRACT(C677,""(\d+)\s*/\s*\d+"")),"""")"),"")</f>
        <v/>
      </c>
      <c r="H677" s="22" t="str">
        <f>IFERROR(__xludf.DUMMYFUNCTION("IFERROR(VALUE(REGEXEXTRACT(C677,""\d+\s*/\s*(\d+)"")),"""")"),"")</f>
        <v/>
      </c>
      <c r="I677" s="22" t="str">
        <f t="shared" si="2"/>
        <v/>
      </c>
      <c r="J677" s="34" t="str">
        <f t="shared" si="3"/>
        <v/>
      </c>
    </row>
    <row r="678" ht="15.75" customHeight="1">
      <c r="A678" s="32" t="s">
        <v>113</v>
      </c>
      <c r="B678" s="32" t="str">
        <f>IF(MOV_CC_NACIONAL!A678="","",MOV_CC_NACIONAL!A678)</f>
        <v/>
      </c>
      <c r="C678" s="32" t="str">
        <f>IF(MOV_CC_NACIONAL!B678="","",MOV_CC_NACIONAL!B678)</f>
        <v/>
      </c>
      <c r="D678" s="33" t="str">
        <f>IF(MOV_CC_NACIONAL!C678="","",MOV_CC_NACIONAL!C678)</f>
        <v/>
      </c>
      <c r="E678" s="32" t="str">
        <f t="shared" si="1"/>
        <v/>
      </c>
      <c r="F678" s="32" t="str">
        <f>IFERROR(__xludf.DUMMYFUNCTION("IF(C678="""","""", OR(REGEXMATCH(LOWER(C678),""cuota""), REGEXMATCH(C678,""\d+\s*/\s*\d+"")))"),"")</f>
        <v/>
      </c>
      <c r="G678" s="32" t="str">
        <f>IFERROR(__xludf.DUMMYFUNCTION("IFERROR(VALUE(REGEXEXTRACT(C678,""(\d+)\s*/\s*\d+"")),"""")"),"")</f>
        <v/>
      </c>
      <c r="H678" s="32" t="str">
        <f>IFERROR(__xludf.DUMMYFUNCTION("IFERROR(VALUE(REGEXEXTRACT(C678,""\d+\s*/\s*(\d+)"")),"""")"),"")</f>
        <v/>
      </c>
      <c r="I678" s="32" t="str">
        <f t="shared" si="2"/>
        <v/>
      </c>
      <c r="J678" s="33" t="str">
        <f t="shared" si="3"/>
        <v/>
      </c>
    </row>
    <row r="679" ht="15.75" customHeight="1">
      <c r="A679" s="22" t="s">
        <v>113</v>
      </c>
      <c r="B679" s="22" t="str">
        <f>IF(MOV_CC_NACIONAL!A679="","",MOV_CC_NACIONAL!A679)</f>
        <v/>
      </c>
      <c r="C679" s="22" t="str">
        <f>IF(MOV_CC_NACIONAL!B679="","",MOV_CC_NACIONAL!B679)</f>
        <v/>
      </c>
      <c r="D679" s="34" t="str">
        <f>IF(MOV_CC_NACIONAL!C679="","",MOV_CC_NACIONAL!C679)</f>
        <v/>
      </c>
      <c r="E679" s="22" t="str">
        <f t="shared" si="1"/>
        <v/>
      </c>
      <c r="F679" s="22" t="str">
        <f>IFERROR(__xludf.DUMMYFUNCTION("IF(C679="""","""", OR(REGEXMATCH(LOWER(C679),""cuota""), REGEXMATCH(C679,""\d+\s*/\s*\d+"")))"),"")</f>
        <v/>
      </c>
      <c r="G679" s="22" t="str">
        <f>IFERROR(__xludf.DUMMYFUNCTION("IFERROR(VALUE(REGEXEXTRACT(C679,""(\d+)\s*/\s*\d+"")),"""")"),"")</f>
        <v/>
      </c>
      <c r="H679" s="22" t="str">
        <f>IFERROR(__xludf.DUMMYFUNCTION("IFERROR(VALUE(REGEXEXTRACT(C679,""\d+\s*/\s*(\d+)"")),"""")"),"")</f>
        <v/>
      </c>
      <c r="I679" s="22" t="str">
        <f t="shared" si="2"/>
        <v/>
      </c>
      <c r="J679" s="34" t="str">
        <f t="shared" si="3"/>
        <v/>
      </c>
    </row>
    <row r="680" ht="15.75" customHeight="1">
      <c r="A680" s="32" t="s">
        <v>113</v>
      </c>
      <c r="B680" s="32" t="str">
        <f>IF(MOV_CC_NACIONAL!A680="","",MOV_CC_NACIONAL!A680)</f>
        <v/>
      </c>
      <c r="C680" s="32" t="str">
        <f>IF(MOV_CC_NACIONAL!B680="","",MOV_CC_NACIONAL!B680)</f>
        <v/>
      </c>
      <c r="D680" s="33" t="str">
        <f>IF(MOV_CC_NACIONAL!C680="","",MOV_CC_NACIONAL!C680)</f>
        <v/>
      </c>
      <c r="E680" s="32" t="str">
        <f t="shared" si="1"/>
        <v/>
      </c>
      <c r="F680" s="32" t="str">
        <f>IFERROR(__xludf.DUMMYFUNCTION("IF(C680="""","""", OR(REGEXMATCH(LOWER(C680),""cuota""), REGEXMATCH(C680,""\d+\s*/\s*\d+"")))"),"")</f>
        <v/>
      </c>
      <c r="G680" s="32" t="str">
        <f>IFERROR(__xludf.DUMMYFUNCTION("IFERROR(VALUE(REGEXEXTRACT(C680,""(\d+)\s*/\s*\d+"")),"""")"),"")</f>
        <v/>
      </c>
      <c r="H680" s="32" t="str">
        <f>IFERROR(__xludf.DUMMYFUNCTION("IFERROR(VALUE(REGEXEXTRACT(C680,""\d+\s*/\s*(\d+)"")),"""")"),"")</f>
        <v/>
      </c>
      <c r="I680" s="32" t="str">
        <f t="shared" si="2"/>
        <v/>
      </c>
      <c r="J680" s="33" t="str">
        <f t="shared" si="3"/>
        <v/>
      </c>
    </row>
    <row r="681" ht="15.75" customHeight="1">
      <c r="A681" s="22" t="s">
        <v>113</v>
      </c>
      <c r="B681" s="22" t="str">
        <f>IF(MOV_CC_NACIONAL!A681="","",MOV_CC_NACIONAL!A681)</f>
        <v/>
      </c>
      <c r="C681" s="22" t="str">
        <f>IF(MOV_CC_NACIONAL!B681="","",MOV_CC_NACIONAL!B681)</f>
        <v/>
      </c>
      <c r="D681" s="34" t="str">
        <f>IF(MOV_CC_NACIONAL!C681="","",MOV_CC_NACIONAL!C681)</f>
        <v/>
      </c>
      <c r="E681" s="22" t="str">
        <f t="shared" si="1"/>
        <v/>
      </c>
      <c r="F681" s="22" t="str">
        <f>IFERROR(__xludf.DUMMYFUNCTION("IF(C681="""","""", OR(REGEXMATCH(LOWER(C681),""cuota""), REGEXMATCH(C681,""\d+\s*/\s*\d+"")))"),"")</f>
        <v/>
      </c>
      <c r="G681" s="22" t="str">
        <f>IFERROR(__xludf.DUMMYFUNCTION("IFERROR(VALUE(REGEXEXTRACT(C681,""(\d+)\s*/\s*\d+"")),"""")"),"")</f>
        <v/>
      </c>
      <c r="H681" s="22" t="str">
        <f>IFERROR(__xludf.DUMMYFUNCTION("IFERROR(VALUE(REGEXEXTRACT(C681,""\d+\s*/\s*(\d+)"")),"""")"),"")</f>
        <v/>
      </c>
      <c r="I681" s="22" t="str">
        <f t="shared" si="2"/>
        <v/>
      </c>
      <c r="J681" s="34" t="str">
        <f t="shared" si="3"/>
        <v/>
      </c>
    </row>
    <row r="682" ht="15.75" customHeight="1">
      <c r="A682" s="32" t="s">
        <v>113</v>
      </c>
      <c r="B682" s="32" t="str">
        <f>IF(MOV_CC_NACIONAL!A682="","",MOV_CC_NACIONAL!A682)</f>
        <v/>
      </c>
      <c r="C682" s="32" t="str">
        <f>IF(MOV_CC_NACIONAL!B682="","",MOV_CC_NACIONAL!B682)</f>
        <v/>
      </c>
      <c r="D682" s="33" t="str">
        <f>IF(MOV_CC_NACIONAL!C682="","",MOV_CC_NACIONAL!C682)</f>
        <v/>
      </c>
      <c r="E682" s="32" t="str">
        <f t="shared" si="1"/>
        <v/>
      </c>
      <c r="F682" s="32" t="str">
        <f>IFERROR(__xludf.DUMMYFUNCTION("IF(C682="""","""", OR(REGEXMATCH(LOWER(C682),""cuota""), REGEXMATCH(C682,""\d+\s*/\s*\d+"")))"),"")</f>
        <v/>
      </c>
      <c r="G682" s="32" t="str">
        <f>IFERROR(__xludf.DUMMYFUNCTION("IFERROR(VALUE(REGEXEXTRACT(C682,""(\d+)\s*/\s*\d+"")),"""")"),"")</f>
        <v/>
      </c>
      <c r="H682" s="32" t="str">
        <f>IFERROR(__xludf.DUMMYFUNCTION("IFERROR(VALUE(REGEXEXTRACT(C682,""\d+\s*/\s*(\d+)"")),"""")"),"")</f>
        <v/>
      </c>
      <c r="I682" s="32" t="str">
        <f t="shared" si="2"/>
        <v/>
      </c>
      <c r="J682" s="33" t="str">
        <f t="shared" si="3"/>
        <v/>
      </c>
    </row>
    <row r="683" ht="15.75" customHeight="1">
      <c r="A683" s="22" t="s">
        <v>113</v>
      </c>
      <c r="B683" s="22" t="str">
        <f>IF(MOV_CC_NACIONAL!A683="","",MOV_CC_NACIONAL!A683)</f>
        <v/>
      </c>
      <c r="C683" s="22" t="str">
        <f>IF(MOV_CC_NACIONAL!B683="","",MOV_CC_NACIONAL!B683)</f>
        <v/>
      </c>
      <c r="D683" s="34" t="str">
        <f>IF(MOV_CC_NACIONAL!C683="","",MOV_CC_NACIONAL!C683)</f>
        <v/>
      </c>
      <c r="E683" s="22" t="str">
        <f t="shared" si="1"/>
        <v/>
      </c>
      <c r="F683" s="22" t="str">
        <f>IFERROR(__xludf.DUMMYFUNCTION("IF(C683="""","""", OR(REGEXMATCH(LOWER(C683),""cuota""), REGEXMATCH(C683,""\d+\s*/\s*\d+"")))"),"")</f>
        <v/>
      </c>
      <c r="G683" s="22" t="str">
        <f>IFERROR(__xludf.DUMMYFUNCTION("IFERROR(VALUE(REGEXEXTRACT(C683,""(\d+)\s*/\s*\d+"")),"""")"),"")</f>
        <v/>
      </c>
      <c r="H683" s="22" t="str">
        <f>IFERROR(__xludf.DUMMYFUNCTION("IFERROR(VALUE(REGEXEXTRACT(C683,""\d+\s*/\s*(\d+)"")),"""")"),"")</f>
        <v/>
      </c>
      <c r="I683" s="22" t="str">
        <f t="shared" si="2"/>
        <v/>
      </c>
      <c r="J683" s="34" t="str">
        <f t="shared" si="3"/>
        <v/>
      </c>
    </row>
    <row r="684" ht="15.75" customHeight="1">
      <c r="A684" s="32" t="s">
        <v>113</v>
      </c>
      <c r="B684" s="32" t="str">
        <f>IF(MOV_CC_NACIONAL!A684="","",MOV_CC_NACIONAL!A684)</f>
        <v/>
      </c>
      <c r="C684" s="32" t="str">
        <f>IF(MOV_CC_NACIONAL!B684="","",MOV_CC_NACIONAL!B684)</f>
        <v/>
      </c>
      <c r="D684" s="33" t="str">
        <f>IF(MOV_CC_NACIONAL!C684="","",MOV_CC_NACIONAL!C684)</f>
        <v/>
      </c>
      <c r="E684" s="32" t="str">
        <f t="shared" si="1"/>
        <v/>
      </c>
      <c r="F684" s="32" t="str">
        <f>IFERROR(__xludf.DUMMYFUNCTION("IF(C684="""","""", OR(REGEXMATCH(LOWER(C684),""cuota""), REGEXMATCH(C684,""\d+\s*/\s*\d+"")))"),"")</f>
        <v/>
      </c>
      <c r="G684" s="32" t="str">
        <f>IFERROR(__xludf.DUMMYFUNCTION("IFERROR(VALUE(REGEXEXTRACT(C684,""(\d+)\s*/\s*\d+"")),"""")"),"")</f>
        <v/>
      </c>
      <c r="H684" s="32" t="str">
        <f>IFERROR(__xludf.DUMMYFUNCTION("IFERROR(VALUE(REGEXEXTRACT(C684,""\d+\s*/\s*(\d+)"")),"""")"),"")</f>
        <v/>
      </c>
      <c r="I684" s="32" t="str">
        <f t="shared" si="2"/>
        <v/>
      </c>
      <c r="J684" s="33" t="str">
        <f t="shared" si="3"/>
        <v/>
      </c>
    </row>
    <row r="685" ht="15.75" customHeight="1">
      <c r="A685" s="22" t="s">
        <v>113</v>
      </c>
      <c r="B685" s="22" t="str">
        <f>IF(MOV_CC_NACIONAL!A685="","",MOV_CC_NACIONAL!A685)</f>
        <v/>
      </c>
      <c r="C685" s="22" t="str">
        <f>IF(MOV_CC_NACIONAL!B685="","",MOV_CC_NACIONAL!B685)</f>
        <v/>
      </c>
      <c r="D685" s="34" t="str">
        <f>IF(MOV_CC_NACIONAL!C685="","",MOV_CC_NACIONAL!C685)</f>
        <v/>
      </c>
      <c r="E685" s="22" t="str">
        <f t="shared" si="1"/>
        <v/>
      </c>
      <c r="F685" s="22" t="str">
        <f>IFERROR(__xludf.DUMMYFUNCTION("IF(C685="""","""", OR(REGEXMATCH(LOWER(C685),""cuota""), REGEXMATCH(C685,""\d+\s*/\s*\d+"")))"),"")</f>
        <v/>
      </c>
      <c r="G685" s="22" t="str">
        <f>IFERROR(__xludf.DUMMYFUNCTION("IFERROR(VALUE(REGEXEXTRACT(C685,""(\d+)\s*/\s*\d+"")),"""")"),"")</f>
        <v/>
      </c>
      <c r="H685" s="22" t="str">
        <f>IFERROR(__xludf.DUMMYFUNCTION("IFERROR(VALUE(REGEXEXTRACT(C685,""\d+\s*/\s*(\d+)"")),"""")"),"")</f>
        <v/>
      </c>
      <c r="I685" s="22" t="str">
        <f t="shared" si="2"/>
        <v/>
      </c>
      <c r="J685" s="34" t="str">
        <f t="shared" si="3"/>
        <v/>
      </c>
    </row>
    <row r="686" ht="15.75" customHeight="1">
      <c r="A686" s="32" t="s">
        <v>113</v>
      </c>
      <c r="B686" s="32" t="str">
        <f>IF(MOV_CC_NACIONAL!A686="","",MOV_CC_NACIONAL!A686)</f>
        <v/>
      </c>
      <c r="C686" s="32" t="str">
        <f>IF(MOV_CC_NACIONAL!B686="","",MOV_CC_NACIONAL!B686)</f>
        <v/>
      </c>
      <c r="D686" s="33" t="str">
        <f>IF(MOV_CC_NACIONAL!C686="","",MOV_CC_NACIONAL!C686)</f>
        <v/>
      </c>
      <c r="E686" s="32" t="str">
        <f t="shared" si="1"/>
        <v/>
      </c>
      <c r="F686" s="32" t="str">
        <f>IFERROR(__xludf.DUMMYFUNCTION("IF(C686="""","""", OR(REGEXMATCH(LOWER(C686),""cuota""), REGEXMATCH(C686,""\d+\s*/\s*\d+"")))"),"")</f>
        <v/>
      </c>
      <c r="G686" s="32" t="str">
        <f>IFERROR(__xludf.DUMMYFUNCTION("IFERROR(VALUE(REGEXEXTRACT(C686,""(\d+)\s*/\s*\d+"")),"""")"),"")</f>
        <v/>
      </c>
      <c r="H686" s="32" t="str">
        <f>IFERROR(__xludf.DUMMYFUNCTION("IFERROR(VALUE(REGEXEXTRACT(C686,""\d+\s*/\s*(\d+)"")),"""")"),"")</f>
        <v/>
      </c>
      <c r="I686" s="32" t="str">
        <f t="shared" si="2"/>
        <v/>
      </c>
      <c r="J686" s="33" t="str">
        <f t="shared" si="3"/>
        <v/>
      </c>
    </row>
    <row r="687" ht="15.75" customHeight="1">
      <c r="A687" s="22" t="s">
        <v>113</v>
      </c>
      <c r="B687" s="22" t="str">
        <f>IF(MOV_CC_NACIONAL!A687="","",MOV_CC_NACIONAL!A687)</f>
        <v/>
      </c>
      <c r="C687" s="22" t="str">
        <f>IF(MOV_CC_NACIONAL!B687="","",MOV_CC_NACIONAL!B687)</f>
        <v/>
      </c>
      <c r="D687" s="34" t="str">
        <f>IF(MOV_CC_NACIONAL!C687="","",MOV_CC_NACIONAL!C687)</f>
        <v/>
      </c>
      <c r="E687" s="22" t="str">
        <f t="shared" si="1"/>
        <v/>
      </c>
      <c r="F687" s="22" t="str">
        <f>IFERROR(__xludf.DUMMYFUNCTION("IF(C687="""","""", OR(REGEXMATCH(LOWER(C687),""cuota""), REGEXMATCH(C687,""\d+\s*/\s*\d+"")))"),"")</f>
        <v/>
      </c>
      <c r="G687" s="22" t="str">
        <f>IFERROR(__xludf.DUMMYFUNCTION("IFERROR(VALUE(REGEXEXTRACT(C687,""(\d+)\s*/\s*\d+"")),"""")"),"")</f>
        <v/>
      </c>
      <c r="H687" s="22" t="str">
        <f>IFERROR(__xludf.DUMMYFUNCTION("IFERROR(VALUE(REGEXEXTRACT(C687,""\d+\s*/\s*(\d+)"")),"""")"),"")</f>
        <v/>
      </c>
      <c r="I687" s="22" t="str">
        <f t="shared" si="2"/>
        <v/>
      </c>
      <c r="J687" s="34" t="str">
        <f t="shared" si="3"/>
        <v/>
      </c>
    </row>
    <row r="688" ht="15.75" customHeight="1">
      <c r="A688" s="32" t="s">
        <v>113</v>
      </c>
      <c r="B688" s="32" t="str">
        <f>IF(MOV_CC_NACIONAL!A688="","",MOV_CC_NACIONAL!A688)</f>
        <v/>
      </c>
      <c r="C688" s="32" t="str">
        <f>IF(MOV_CC_NACIONAL!B688="","",MOV_CC_NACIONAL!B688)</f>
        <v/>
      </c>
      <c r="D688" s="33" t="str">
        <f>IF(MOV_CC_NACIONAL!C688="","",MOV_CC_NACIONAL!C688)</f>
        <v/>
      </c>
      <c r="E688" s="32" t="str">
        <f t="shared" si="1"/>
        <v/>
      </c>
      <c r="F688" s="32" t="str">
        <f>IFERROR(__xludf.DUMMYFUNCTION("IF(C688="""","""", OR(REGEXMATCH(LOWER(C688),""cuota""), REGEXMATCH(C688,""\d+\s*/\s*\d+"")))"),"")</f>
        <v/>
      </c>
      <c r="G688" s="32" t="str">
        <f>IFERROR(__xludf.DUMMYFUNCTION("IFERROR(VALUE(REGEXEXTRACT(C688,""(\d+)\s*/\s*\d+"")),"""")"),"")</f>
        <v/>
      </c>
      <c r="H688" s="32" t="str">
        <f>IFERROR(__xludf.DUMMYFUNCTION("IFERROR(VALUE(REGEXEXTRACT(C688,""\d+\s*/\s*(\d+)"")),"""")"),"")</f>
        <v/>
      </c>
      <c r="I688" s="32" t="str">
        <f t="shared" si="2"/>
        <v/>
      </c>
      <c r="J688" s="33" t="str">
        <f t="shared" si="3"/>
        <v/>
      </c>
    </row>
    <row r="689" ht="15.75" customHeight="1">
      <c r="A689" s="22" t="s">
        <v>113</v>
      </c>
      <c r="B689" s="22" t="str">
        <f>IF(MOV_CC_NACIONAL!A689="","",MOV_CC_NACIONAL!A689)</f>
        <v/>
      </c>
      <c r="C689" s="22" t="str">
        <f>IF(MOV_CC_NACIONAL!B689="","",MOV_CC_NACIONAL!B689)</f>
        <v/>
      </c>
      <c r="D689" s="34" t="str">
        <f>IF(MOV_CC_NACIONAL!C689="","",MOV_CC_NACIONAL!C689)</f>
        <v/>
      </c>
      <c r="E689" s="22" t="str">
        <f t="shared" si="1"/>
        <v/>
      </c>
      <c r="F689" s="22" t="str">
        <f>IFERROR(__xludf.DUMMYFUNCTION("IF(C689="""","""", OR(REGEXMATCH(LOWER(C689),""cuota""), REGEXMATCH(C689,""\d+\s*/\s*\d+"")))"),"")</f>
        <v/>
      </c>
      <c r="G689" s="22" t="str">
        <f>IFERROR(__xludf.DUMMYFUNCTION("IFERROR(VALUE(REGEXEXTRACT(C689,""(\d+)\s*/\s*\d+"")),"""")"),"")</f>
        <v/>
      </c>
      <c r="H689" s="22" t="str">
        <f>IFERROR(__xludf.DUMMYFUNCTION("IFERROR(VALUE(REGEXEXTRACT(C689,""\d+\s*/\s*(\d+)"")),"""")"),"")</f>
        <v/>
      </c>
      <c r="I689" s="22" t="str">
        <f t="shared" si="2"/>
        <v/>
      </c>
      <c r="J689" s="34" t="str">
        <f t="shared" si="3"/>
        <v/>
      </c>
    </row>
    <row r="690" ht="15.75" customHeight="1">
      <c r="A690" s="32" t="s">
        <v>113</v>
      </c>
      <c r="B690" s="32" t="str">
        <f>IF(MOV_CC_NACIONAL!A690="","",MOV_CC_NACIONAL!A690)</f>
        <v/>
      </c>
      <c r="C690" s="32" t="str">
        <f>IF(MOV_CC_NACIONAL!B690="","",MOV_CC_NACIONAL!B690)</f>
        <v/>
      </c>
      <c r="D690" s="33" t="str">
        <f>IF(MOV_CC_NACIONAL!C690="","",MOV_CC_NACIONAL!C690)</f>
        <v/>
      </c>
      <c r="E690" s="32" t="str">
        <f t="shared" si="1"/>
        <v/>
      </c>
      <c r="F690" s="32" t="str">
        <f>IFERROR(__xludf.DUMMYFUNCTION("IF(C690="""","""", OR(REGEXMATCH(LOWER(C690),""cuota""), REGEXMATCH(C690,""\d+\s*/\s*\d+"")))"),"")</f>
        <v/>
      </c>
      <c r="G690" s="32" t="str">
        <f>IFERROR(__xludf.DUMMYFUNCTION("IFERROR(VALUE(REGEXEXTRACT(C690,""(\d+)\s*/\s*\d+"")),"""")"),"")</f>
        <v/>
      </c>
      <c r="H690" s="32" t="str">
        <f>IFERROR(__xludf.DUMMYFUNCTION("IFERROR(VALUE(REGEXEXTRACT(C690,""\d+\s*/\s*(\d+)"")),"""")"),"")</f>
        <v/>
      </c>
      <c r="I690" s="32" t="str">
        <f t="shared" si="2"/>
        <v/>
      </c>
      <c r="J690" s="33" t="str">
        <f t="shared" si="3"/>
        <v/>
      </c>
    </row>
    <row r="691" ht="15.75" customHeight="1">
      <c r="A691" s="22" t="s">
        <v>113</v>
      </c>
      <c r="B691" s="22" t="str">
        <f>IF(MOV_CC_NACIONAL!A691="","",MOV_CC_NACIONAL!A691)</f>
        <v/>
      </c>
      <c r="C691" s="22" t="str">
        <f>IF(MOV_CC_NACIONAL!B691="","",MOV_CC_NACIONAL!B691)</f>
        <v/>
      </c>
      <c r="D691" s="34" t="str">
        <f>IF(MOV_CC_NACIONAL!C691="","",MOV_CC_NACIONAL!C691)</f>
        <v/>
      </c>
      <c r="E691" s="22" t="str">
        <f t="shared" si="1"/>
        <v/>
      </c>
      <c r="F691" s="22" t="str">
        <f>IFERROR(__xludf.DUMMYFUNCTION("IF(C691="""","""", OR(REGEXMATCH(LOWER(C691),""cuota""), REGEXMATCH(C691,""\d+\s*/\s*\d+"")))"),"")</f>
        <v/>
      </c>
      <c r="G691" s="22" t="str">
        <f>IFERROR(__xludf.DUMMYFUNCTION("IFERROR(VALUE(REGEXEXTRACT(C691,""(\d+)\s*/\s*\d+"")),"""")"),"")</f>
        <v/>
      </c>
      <c r="H691" s="22" t="str">
        <f>IFERROR(__xludf.DUMMYFUNCTION("IFERROR(VALUE(REGEXEXTRACT(C691,""\d+\s*/\s*(\d+)"")),"""")"),"")</f>
        <v/>
      </c>
      <c r="I691" s="22" t="str">
        <f t="shared" si="2"/>
        <v/>
      </c>
      <c r="J691" s="34" t="str">
        <f t="shared" si="3"/>
        <v/>
      </c>
    </row>
    <row r="692" ht="15.75" customHeight="1">
      <c r="A692" s="32" t="s">
        <v>113</v>
      </c>
      <c r="B692" s="32" t="str">
        <f>IF(MOV_CC_NACIONAL!A692="","",MOV_CC_NACIONAL!A692)</f>
        <v/>
      </c>
      <c r="C692" s="32" t="str">
        <f>IF(MOV_CC_NACIONAL!B692="","",MOV_CC_NACIONAL!B692)</f>
        <v/>
      </c>
      <c r="D692" s="33" t="str">
        <f>IF(MOV_CC_NACIONAL!C692="","",MOV_CC_NACIONAL!C692)</f>
        <v/>
      </c>
      <c r="E692" s="32" t="str">
        <f t="shared" si="1"/>
        <v/>
      </c>
      <c r="F692" s="32" t="str">
        <f>IFERROR(__xludf.DUMMYFUNCTION("IF(C692="""","""", OR(REGEXMATCH(LOWER(C692),""cuota""), REGEXMATCH(C692,""\d+\s*/\s*\d+"")))"),"")</f>
        <v/>
      </c>
      <c r="G692" s="32" t="str">
        <f>IFERROR(__xludf.DUMMYFUNCTION("IFERROR(VALUE(REGEXEXTRACT(C692,""(\d+)\s*/\s*\d+"")),"""")"),"")</f>
        <v/>
      </c>
      <c r="H692" s="32" t="str">
        <f>IFERROR(__xludf.DUMMYFUNCTION("IFERROR(VALUE(REGEXEXTRACT(C692,""\d+\s*/\s*(\d+)"")),"""")"),"")</f>
        <v/>
      </c>
      <c r="I692" s="32" t="str">
        <f t="shared" si="2"/>
        <v/>
      </c>
      <c r="J692" s="33" t="str">
        <f t="shared" si="3"/>
        <v/>
      </c>
    </row>
    <row r="693" ht="15.75" customHeight="1">
      <c r="A693" s="22" t="s">
        <v>113</v>
      </c>
      <c r="B693" s="22" t="str">
        <f>IF(MOV_CC_NACIONAL!A693="","",MOV_CC_NACIONAL!A693)</f>
        <v/>
      </c>
      <c r="C693" s="22" t="str">
        <f>IF(MOV_CC_NACIONAL!B693="","",MOV_CC_NACIONAL!B693)</f>
        <v/>
      </c>
      <c r="D693" s="34" t="str">
        <f>IF(MOV_CC_NACIONAL!C693="","",MOV_CC_NACIONAL!C693)</f>
        <v/>
      </c>
      <c r="E693" s="22" t="str">
        <f t="shared" si="1"/>
        <v/>
      </c>
      <c r="F693" s="22" t="str">
        <f>IFERROR(__xludf.DUMMYFUNCTION("IF(C693="""","""", OR(REGEXMATCH(LOWER(C693),""cuota""), REGEXMATCH(C693,""\d+\s*/\s*\d+"")))"),"")</f>
        <v/>
      </c>
      <c r="G693" s="22" t="str">
        <f>IFERROR(__xludf.DUMMYFUNCTION("IFERROR(VALUE(REGEXEXTRACT(C693,""(\d+)\s*/\s*\d+"")),"""")"),"")</f>
        <v/>
      </c>
      <c r="H693" s="22" t="str">
        <f>IFERROR(__xludf.DUMMYFUNCTION("IFERROR(VALUE(REGEXEXTRACT(C693,""\d+\s*/\s*(\d+)"")),"""")"),"")</f>
        <v/>
      </c>
      <c r="I693" s="22" t="str">
        <f t="shared" si="2"/>
        <v/>
      </c>
      <c r="J693" s="34" t="str">
        <f t="shared" si="3"/>
        <v/>
      </c>
    </row>
    <row r="694" ht="15.75" customHeight="1">
      <c r="A694" s="32" t="s">
        <v>113</v>
      </c>
      <c r="B694" s="32" t="str">
        <f>IF(MOV_CC_NACIONAL!A694="","",MOV_CC_NACIONAL!A694)</f>
        <v/>
      </c>
      <c r="C694" s="32" t="str">
        <f>IF(MOV_CC_NACIONAL!B694="","",MOV_CC_NACIONAL!B694)</f>
        <v/>
      </c>
      <c r="D694" s="33" t="str">
        <f>IF(MOV_CC_NACIONAL!C694="","",MOV_CC_NACIONAL!C694)</f>
        <v/>
      </c>
      <c r="E694" s="32" t="str">
        <f t="shared" si="1"/>
        <v/>
      </c>
      <c r="F694" s="32" t="str">
        <f>IFERROR(__xludf.DUMMYFUNCTION("IF(C694="""","""", OR(REGEXMATCH(LOWER(C694),""cuota""), REGEXMATCH(C694,""\d+\s*/\s*\d+"")))"),"")</f>
        <v/>
      </c>
      <c r="G694" s="32" t="str">
        <f>IFERROR(__xludf.DUMMYFUNCTION("IFERROR(VALUE(REGEXEXTRACT(C694,""(\d+)\s*/\s*\d+"")),"""")"),"")</f>
        <v/>
      </c>
      <c r="H694" s="32" t="str">
        <f>IFERROR(__xludf.DUMMYFUNCTION("IFERROR(VALUE(REGEXEXTRACT(C694,""\d+\s*/\s*(\d+)"")),"""")"),"")</f>
        <v/>
      </c>
      <c r="I694" s="32" t="str">
        <f t="shared" si="2"/>
        <v/>
      </c>
      <c r="J694" s="33" t="str">
        <f t="shared" si="3"/>
        <v/>
      </c>
    </row>
    <row r="695" ht="15.75" customHeight="1">
      <c r="A695" s="22" t="s">
        <v>113</v>
      </c>
      <c r="B695" s="22" t="str">
        <f>IF(MOV_CC_NACIONAL!A695="","",MOV_CC_NACIONAL!A695)</f>
        <v/>
      </c>
      <c r="C695" s="22" t="str">
        <f>IF(MOV_CC_NACIONAL!B695="","",MOV_CC_NACIONAL!B695)</f>
        <v/>
      </c>
      <c r="D695" s="34" t="str">
        <f>IF(MOV_CC_NACIONAL!C695="","",MOV_CC_NACIONAL!C695)</f>
        <v/>
      </c>
      <c r="E695" s="22" t="str">
        <f t="shared" si="1"/>
        <v/>
      </c>
      <c r="F695" s="22" t="str">
        <f>IFERROR(__xludf.DUMMYFUNCTION("IF(C695="""","""", OR(REGEXMATCH(LOWER(C695),""cuota""), REGEXMATCH(C695,""\d+\s*/\s*\d+"")))"),"")</f>
        <v/>
      </c>
      <c r="G695" s="22" t="str">
        <f>IFERROR(__xludf.DUMMYFUNCTION("IFERROR(VALUE(REGEXEXTRACT(C695,""(\d+)\s*/\s*\d+"")),"""")"),"")</f>
        <v/>
      </c>
      <c r="H695" s="22" t="str">
        <f>IFERROR(__xludf.DUMMYFUNCTION("IFERROR(VALUE(REGEXEXTRACT(C695,""\d+\s*/\s*(\d+)"")),"""")"),"")</f>
        <v/>
      </c>
      <c r="I695" s="22" t="str">
        <f t="shared" si="2"/>
        <v/>
      </c>
      <c r="J695" s="34" t="str">
        <f t="shared" si="3"/>
        <v/>
      </c>
    </row>
    <row r="696" ht="15.75" customHeight="1">
      <c r="A696" s="32" t="s">
        <v>113</v>
      </c>
      <c r="B696" s="32" t="str">
        <f>IF(MOV_CC_NACIONAL!A696="","",MOV_CC_NACIONAL!A696)</f>
        <v/>
      </c>
      <c r="C696" s="32" t="str">
        <f>IF(MOV_CC_NACIONAL!B696="","",MOV_CC_NACIONAL!B696)</f>
        <v/>
      </c>
      <c r="D696" s="33" t="str">
        <f>IF(MOV_CC_NACIONAL!C696="","",MOV_CC_NACIONAL!C696)</f>
        <v/>
      </c>
      <c r="E696" s="32" t="str">
        <f t="shared" si="1"/>
        <v/>
      </c>
      <c r="F696" s="32" t="str">
        <f>IFERROR(__xludf.DUMMYFUNCTION("IF(C696="""","""", OR(REGEXMATCH(LOWER(C696),""cuota""), REGEXMATCH(C696,""\d+\s*/\s*\d+"")))"),"")</f>
        <v/>
      </c>
      <c r="G696" s="32" t="str">
        <f>IFERROR(__xludf.DUMMYFUNCTION("IFERROR(VALUE(REGEXEXTRACT(C696,""(\d+)\s*/\s*\d+"")),"""")"),"")</f>
        <v/>
      </c>
      <c r="H696" s="32" t="str">
        <f>IFERROR(__xludf.DUMMYFUNCTION("IFERROR(VALUE(REGEXEXTRACT(C696,""\d+\s*/\s*(\d+)"")),"""")"),"")</f>
        <v/>
      </c>
      <c r="I696" s="32" t="str">
        <f t="shared" si="2"/>
        <v/>
      </c>
      <c r="J696" s="33" t="str">
        <f t="shared" si="3"/>
        <v/>
      </c>
    </row>
    <row r="697" ht="15.75" customHeight="1">
      <c r="A697" s="22" t="s">
        <v>113</v>
      </c>
      <c r="B697" s="22" t="str">
        <f>IF(MOV_CC_NACIONAL!A697="","",MOV_CC_NACIONAL!A697)</f>
        <v/>
      </c>
      <c r="C697" s="22" t="str">
        <f>IF(MOV_CC_NACIONAL!B697="","",MOV_CC_NACIONAL!B697)</f>
        <v/>
      </c>
      <c r="D697" s="34" t="str">
        <f>IF(MOV_CC_NACIONAL!C697="","",MOV_CC_NACIONAL!C697)</f>
        <v/>
      </c>
      <c r="E697" s="22" t="str">
        <f t="shared" si="1"/>
        <v/>
      </c>
      <c r="F697" s="22" t="str">
        <f>IFERROR(__xludf.DUMMYFUNCTION("IF(C697="""","""", OR(REGEXMATCH(LOWER(C697),""cuota""), REGEXMATCH(C697,""\d+\s*/\s*\d+"")))"),"")</f>
        <v/>
      </c>
      <c r="G697" s="22" t="str">
        <f>IFERROR(__xludf.DUMMYFUNCTION("IFERROR(VALUE(REGEXEXTRACT(C697,""(\d+)\s*/\s*\d+"")),"""")"),"")</f>
        <v/>
      </c>
      <c r="H697" s="22" t="str">
        <f>IFERROR(__xludf.DUMMYFUNCTION("IFERROR(VALUE(REGEXEXTRACT(C697,""\d+\s*/\s*(\d+)"")),"""")"),"")</f>
        <v/>
      </c>
      <c r="I697" s="22" t="str">
        <f t="shared" si="2"/>
        <v/>
      </c>
      <c r="J697" s="34" t="str">
        <f t="shared" si="3"/>
        <v/>
      </c>
    </row>
    <row r="698" ht="15.75" customHeight="1">
      <c r="A698" s="32" t="s">
        <v>113</v>
      </c>
      <c r="B698" s="32" t="str">
        <f>IF(MOV_CC_NACIONAL!A698="","",MOV_CC_NACIONAL!A698)</f>
        <v/>
      </c>
      <c r="C698" s="32" t="str">
        <f>IF(MOV_CC_NACIONAL!B698="","",MOV_CC_NACIONAL!B698)</f>
        <v/>
      </c>
      <c r="D698" s="33" t="str">
        <f>IF(MOV_CC_NACIONAL!C698="","",MOV_CC_NACIONAL!C698)</f>
        <v/>
      </c>
      <c r="E698" s="32" t="str">
        <f t="shared" si="1"/>
        <v/>
      </c>
      <c r="F698" s="32" t="str">
        <f>IFERROR(__xludf.DUMMYFUNCTION("IF(C698="""","""", OR(REGEXMATCH(LOWER(C698),""cuota""), REGEXMATCH(C698,""\d+\s*/\s*\d+"")))"),"")</f>
        <v/>
      </c>
      <c r="G698" s="32" t="str">
        <f>IFERROR(__xludf.DUMMYFUNCTION("IFERROR(VALUE(REGEXEXTRACT(C698,""(\d+)\s*/\s*\d+"")),"""")"),"")</f>
        <v/>
      </c>
      <c r="H698" s="32" t="str">
        <f>IFERROR(__xludf.DUMMYFUNCTION("IFERROR(VALUE(REGEXEXTRACT(C698,""\d+\s*/\s*(\d+)"")),"""")"),"")</f>
        <v/>
      </c>
      <c r="I698" s="32" t="str">
        <f t="shared" si="2"/>
        <v/>
      </c>
      <c r="J698" s="33" t="str">
        <f t="shared" si="3"/>
        <v/>
      </c>
    </row>
    <row r="699" ht="15.75" customHeight="1">
      <c r="A699" s="22" t="s">
        <v>113</v>
      </c>
      <c r="B699" s="22" t="str">
        <f>IF(MOV_CC_NACIONAL!A699="","",MOV_CC_NACIONAL!A699)</f>
        <v/>
      </c>
      <c r="C699" s="22" t="str">
        <f>IF(MOV_CC_NACIONAL!B699="","",MOV_CC_NACIONAL!B699)</f>
        <v/>
      </c>
      <c r="D699" s="34" t="str">
        <f>IF(MOV_CC_NACIONAL!C699="","",MOV_CC_NACIONAL!C699)</f>
        <v/>
      </c>
      <c r="E699" s="22" t="str">
        <f t="shared" si="1"/>
        <v/>
      </c>
      <c r="F699" s="22" t="str">
        <f>IFERROR(__xludf.DUMMYFUNCTION("IF(C699="""","""", OR(REGEXMATCH(LOWER(C699),""cuota""), REGEXMATCH(C699,""\d+\s*/\s*\d+"")))"),"")</f>
        <v/>
      </c>
      <c r="G699" s="22" t="str">
        <f>IFERROR(__xludf.DUMMYFUNCTION("IFERROR(VALUE(REGEXEXTRACT(C699,""(\d+)\s*/\s*\d+"")),"""")"),"")</f>
        <v/>
      </c>
      <c r="H699" s="22" t="str">
        <f>IFERROR(__xludf.DUMMYFUNCTION("IFERROR(VALUE(REGEXEXTRACT(C699,""\d+\s*/\s*(\d+)"")),"""")"),"")</f>
        <v/>
      </c>
      <c r="I699" s="22" t="str">
        <f t="shared" si="2"/>
        <v/>
      </c>
      <c r="J699" s="34" t="str">
        <f t="shared" si="3"/>
        <v/>
      </c>
    </row>
    <row r="700" ht="15.75" customHeight="1">
      <c r="A700" s="32" t="s">
        <v>113</v>
      </c>
      <c r="B700" s="32" t="str">
        <f>IF(MOV_CC_NACIONAL!A700="","",MOV_CC_NACIONAL!A700)</f>
        <v/>
      </c>
      <c r="C700" s="32" t="str">
        <f>IF(MOV_CC_NACIONAL!B700="","",MOV_CC_NACIONAL!B700)</f>
        <v/>
      </c>
      <c r="D700" s="33" t="str">
        <f>IF(MOV_CC_NACIONAL!C700="","",MOV_CC_NACIONAL!C700)</f>
        <v/>
      </c>
      <c r="E700" s="32" t="str">
        <f t="shared" si="1"/>
        <v/>
      </c>
      <c r="F700" s="32" t="str">
        <f>IFERROR(__xludf.DUMMYFUNCTION("IF(C700="""","""", OR(REGEXMATCH(LOWER(C700),""cuota""), REGEXMATCH(C700,""\d+\s*/\s*\d+"")))"),"")</f>
        <v/>
      </c>
      <c r="G700" s="32" t="str">
        <f>IFERROR(__xludf.DUMMYFUNCTION("IFERROR(VALUE(REGEXEXTRACT(C700,""(\d+)\s*/\s*\d+"")),"""")"),"")</f>
        <v/>
      </c>
      <c r="H700" s="32" t="str">
        <f>IFERROR(__xludf.DUMMYFUNCTION("IFERROR(VALUE(REGEXEXTRACT(C700,""\d+\s*/\s*(\d+)"")),"""")"),"")</f>
        <v/>
      </c>
      <c r="I700" s="32" t="str">
        <f t="shared" si="2"/>
        <v/>
      </c>
      <c r="J700" s="33" t="str">
        <f t="shared" si="3"/>
        <v/>
      </c>
    </row>
    <row r="701" ht="15.75" customHeight="1">
      <c r="A701" s="22" t="s">
        <v>113</v>
      </c>
      <c r="B701" s="22" t="str">
        <f>IF(MOV_CC_NACIONAL!A701="","",MOV_CC_NACIONAL!A701)</f>
        <v/>
      </c>
      <c r="C701" s="22" t="str">
        <f>IF(MOV_CC_NACIONAL!B701="","",MOV_CC_NACIONAL!B701)</f>
        <v/>
      </c>
      <c r="D701" s="34" t="str">
        <f>IF(MOV_CC_NACIONAL!C701="","",MOV_CC_NACIONAL!C701)</f>
        <v/>
      </c>
      <c r="E701" s="22" t="str">
        <f t="shared" si="1"/>
        <v/>
      </c>
      <c r="F701" s="22" t="str">
        <f>IFERROR(__xludf.DUMMYFUNCTION("IF(C701="""","""", OR(REGEXMATCH(LOWER(C701),""cuota""), REGEXMATCH(C701,""\d+\s*/\s*\d+"")))"),"")</f>
        <v/>
      </c>
      <c r="G701" s="22" t="str">
        <f>IFERROR(__xludf.DUMMYFUNCTION("IFERROR(VALUE(REGEXEXTRACT(C701,""(\d+)\s*/\s*\d+"")),"""")"),"")</f>
        <v/>
      </c>
      <c r="H701" s="22" t="str">
        <f>IFERROR(__xludf.DUMMYFUNCTION("IFERROR(VALUE(REGEXEXTRACT(C701,""\d+\s*/\s*(\d+)"")),"""")"),"")</f>
        <v/>
      </c>
      <c r="I701" s="22" t="str">
        <f t="shared" si="2"/>
        <v/>
      </c>
      <c r="J701" s="34" t="str">
        <f t="shared" si="3"/>
        <v/>
      </c>
    </row>
    <row r="702" ht="15.75" customHeight="1">
      <c r="A702" s="32" t="s">
        <v>113</v>
      </c>
      <c r="B702" s="32" t="str">
        <f>IF(MOV_CC_NACIONAL!A702="","",MOV_CC_NACIONAL!A702)</f>
        <v/>
      </c>
      <c r="C702" s="32" t="str">
        <f>IF(MOV_CC_NACIONAL!B702="","",MOV_CC_NACIONAL!B702)</f>
        <v/>
      </c>
      <c r="D702" s="33" t="str">
        <f>IF(MOV_CC_NACIONAL!C702="","",MOV_CC_NACIONAL!C702)</f>
        <v/>
      </c>
      <c r="E702" s="32" t="str">
        <f t="shared" si="1"/>
        <v/>
      </c>
      <c r="F702" s="32" t="str">
        <f>IFERROR(__xludf.DUMMYFUNCTION("IF(C702="""","""", OR(REGEXMATCH(LOWER(C702),""cuota""), REGEXMATCH(C702,""\d+\s*/\s*\d+"")))"),"")</f>
        <v/>
      </c>
      <c r="G702" s="32" t="str">
        <f>IFERROR(__xludf.DUMMYFUNCTION("IFERROR(VALUE(REGEXEXTRACT(C702,""(\d+)\s*/\s*\d+"")),"""")"),"")</f>
        <v/>
      </c>
      <c r="H702" s="32" t="str">
        <f>IFERROR(__xludf.DUMMYFUNCTION("IFERROR(VALUE(REGEXEXTRACT(C702,""\d+\s*/\s*(\d+)"")),"""")"),"")</f>
        <v/>
      </c>
      <c r="I702" s="32" t="str">
        <f t="shared" si="2"/>
        <v/>
      </c>
      <c r="J702" s="33" t="str">
        <f t="shared" si="3"/>
        <v/>
      </c>
    </row>
    <row r="703" ht="15.75" customHeight="1">
      <c r="A703" s="22" t="s">
        <v>113</v>
      </c>
      <c r="B703" s="22" t="str">
        <f>IF(MOV_CC_NACIONAL!A703="","",MOV_CC_NACIONAL!A703)</f>
        <v/>
      </c>
      <c r="C703" s="22" t="str">
        <f>IF(MOV_CC_NACIONAL!B703="","",MOV_CC_NACIONAL!B703)</f>
        <v/>
      </c>
      <c r="D703" s="34" t="str">
        <f>IF(MOV_CC_NACIONAL!C703="","",MOV_CC_NACIONAL!C703)</f>
        <v/>
      </c>
      <c r="E703" s="22" t="str">
        <f t="shared" si="1"/>
        <v/>
      </c>
      <c r="F703" s="22" t="str">
        <f>IFERROR(__xludf.DUMMYFUNCTION("IF(C703="""","""", OR(REGEXMATCH(LOWER(C703),""cuota""), REGEXMATCH(C703,""\d+\s*/\s*\d+"")))"),"")</f>
        <v/>
      </c>
      <c r="G703" s="22" t="str">
        <f>IFERROR(__xludf.DUMMYFUNCTION("IFERROR(VALUE(REGEXEXTRACT(C703,""(\d+)\s*/\s*\d+"")),"""")"),"")</f>
        <v/>
      </c>
      <c r="H703" s="22" t="str">
        <f>IFERROR(__xludf.DUMMYFUNCTION("IFERROR(VALUE(REGEXEXTRACT(C703,""\d+\s*/\s*(\d+)"")),"""")"),"")</f>
        <v/>
      </c>
      <c r="I703" s="22" t="str">
        <f t="shared" si="2"/>
        <v/>
      </c>
      <c r="J703" s="34" t="str">
        <f t="shared" si="3"/>
        <v/>
      </c>
    </row>
    <row r="704" ht="15.75" customHeight="1">
      <c r="A704" s="32" t="s">
        <v>113</v>
      </c>
      <c r="B704" s="32" t="str">
        <f>IF(MOV_CC_NACIONAL!A704="","",MOV_CC_NACIONAL!A704)</f>
        <v/>
      </c>
      <c r="C704" s="32" t="str">
        <f>IF(MOV_CC_NACIONAL!B704="","",MOV_CC_NACIONAL!B704)</f>
        <v/>
      </c>
      <c r="D704" s="33" t="str">
        <f>IF(MOV_CC_NACIONAL!C704="","",MOV_CC_NACIONAL!C704)</f>
        <v/>
      </c>
      <c r="E704" s="32" t="str">
        <f t="shared" si="1"/>
        <v/>
      </c>
      <c r="F704" s="32" t="str">
        <f>IFERROR(__xludf.DUMMYFUNCTION("IF(C704="""","""", OR(REGEXMATCH(LOWER(C704),""cuota""), REGEXMATCH(C704,""\d+\s*/\s*\d+"")))"),"")</f>
        <v/>
      </c>
      <c r="G704" s="32" t="str">
        <f>IFERROR(__xludf.DUMMYFUNCTION("IFERROR(VALUE(REGEXEXTRACT(C704,""(\d+)\s*/\s*\d+"")),"""")"),"")</f>
        <v/>
      </c>
      <c r="H704" s="32" t="str">
        <f>IFERROR(__xludf.DUMMYFUNCTION("IFERROR(VALUE(REGEXEXTRACT(C704,""\d+\s*/\s*(\d+)"")),"""")"),"")</f>
        <v/>
      </c>
      <c r="I704" s="32" t="str">
        <f t="shared" si="2"/>
        <v/>
      </c>
      <c r="J704" s="33" t="str">
        <f t="shared" si="3"/>
        <v/>
      </c>
    </row>
    <row r="705" ht="15.75" customHeight="1">
      <c r="A705" s="22" t="s">
        <v>113</v>
      </c>
      <c r="B705" s="22" t="str">
        <f>IF(MOV_CC_NACIONAL!A705="","",MOV_CC_NACIONAL!A705)</f>
        <v/>
      </c>
      <c r="C705" s="22" t="str">
        <f>IF(MOV_CC_NACIONAL!B705="","",MOV_CC_NACIONAL!B705)</f>
        <v/>
      </c>
      <c r="D705" s="34" t="str">
        <f>IF(MOV_CC_NACIONAL!C705="","",MOV_CC_NACIONAL!C705)</f>
        <v/>
      </c>
      <c r="E705" s="22" t="str">
        <f t="shared" si="1"/>
        <v/>
      </c>
      <c r="F705" s="22" t="str">
        <f>IFERROR(__xludf.DUMMYFUNCTION("IF(C705="""","""", OR(REGEXMATCH(LOWER(C705),""cuota""), REGEXMATCH(C705,""\d+\s*/\s*\d+"")))"),"")</f>
        <v/>
      </c>
      <c r="G705" s="22" t="str">
        <f>IFERROR(__xludf.DUMMYFUNCTION("IFERROR(VALUE(REGEXEXTRACT(C705,""(\d+)\s*/\s*\d+"")),"""")"),"")</f>
        <v/>
      </c>
      <c r="H705" s="22" t="str">
        <f>IFERROR(__xludf.DUMMYFUNCTION("IFERROR(VALUE(REGEXEXTRACT(C705,""\d+\s*/\s*(\d+)"")),"""")"),"")</f>
        <v/>
      </c>
      <c r="I705" s="22" t="str">
        <f t="shared" si="2"/>
        <v/>
      </c>
      <c r="J705" s="34" t="str">
        <f t="shared" si="3"/>
        <v/>
      </c>
    </row>
    <row r="706" ht="15.75" customHeight="1">
      <c r="A706" s="32" t="s">
        <v>113</v>
      </c>
      <c r="B706" s="32" t="str">
        <f>IF(MOV_CC_NACIONAL!A706="","",MOV_CC_NACIONAL!A706)</f>
        <v/>
      </c>
      <c r="C706" s="32" t="str">
        <f>IF(MOV_CC_NACIONAL!B706="","",MOV_CC_NACIONAL!B706)</f>
        <v/>
      </c>
      <c r="D706" s="33" t="str">
        <f>IF(MOV_CC_NACIONAL!C706="","",MOV_CC_NACIONAL!C706)</f>
        <v/>
      </c>
      <c r="E706" s="32" t="str">
        <f t="shared" si="1"/>
        <v/>
      </c>
      <c r="F706" s="32" t="str">
        <f>IFERROR(__xludf.DUMMYFUNCTION("IF(C706="""","""", OR(REGEXMATCH(LOWER(C706),""cuota""), REGEXMATCH(C706,""\d+\s*/\s*\d+"")))"),"")</f>
        <v/>
      </c>
      <c r="G706" s="32" t="str">
        <f>IFERROR(__xludf.DUMMYFUNCTION("IFERROR(VALUE(REGEXEXTRACT(C706,""(\d+)\s*/\s*\d+"")),"""")"),"")</f>
        <v/>
      </c>
      <c r="H706" s="32" t="str">
        <f>IFERROR(__xludf.DUMMYFUNCTION("IFERROR(VALUE(REGEXEXTRACT(C706,""\d+\s*/\s*(\d+)"")),"""")"),"")</f>
        <v/>
      </c>
      <c r="I706" s="32" t="str">
        <f t="shared" si="2"/>
        <v/>
      </c>
      <c r="J706" s="33" t="str">
        <f t="shared" si="3"/>
        <v/>
      </c>
    </row>
    <row r="707" ht="15.75" customHeight="1">
      <c r="A707" s="22" t="s">
        <v>113</v>
      </c>
      <c r="B707" s="22" t="str">
        <f>IF(MOV_CC_NACIONAL!A707="","",MOV_CC_NACIONAL!A707)</f>
        <v/>
      </c>
      <c r="C707" s="22" t="str">
        <f>IF(MOV_CC_NACIONAL!B707="","",MOV_CC_NACIONAL!B707)</f>
        <v/>
      </c>
      <c r="D707" s="34" t="str">
        <f>IF(MOV_CC_NACIONAL!C707="","",MOV_CC_NACIONAL!C707)</f>
        <v/>
      </c>
      <c r="E707" s="22" t="str">
        <f t="shared" si="1"/>
        <v/>
      </c>
      <c r="F707" s="22" t="str">
        <f>IFERROR(__xludf.DUMMYFUNCTION("IF(C707="""","""", OR(REGEXMATCH(LOWER(C707),""cuota""), REGEXMATCH(C707,""\d+\s*/\s*\d+"")))"),"")</f>
        <v/>
      </c>
      <c r="G707" s="22" t="str">
        <f>IFERROR(__xludf.DUMMYFUNCTION("IFERROR(VALUE(REGEXEXTRACT(C707,""(\d+)\s*/\s*\d+"")),"""")"),"")</f>
        <v/>
      </c>
      <c r="H707" s="22" t="str">
        <f>IFERROR(__xludf.DUMMYFUNCTION("IFERROR(VALUE(REGEXEXTRACT(C707,""\d+\s*/\s*(\d+)"")),"""")"),"")</f>
        <v/>
      </c>
      <c r="I707" s="22" t="str">
        <f t="shared" si="2"/>
        <v/>
      </c>
      <c r="J707" s="34" t="str">
        <f t="shared" si="3"/>
        <v/>
      </c>
    </row>
    <row r="708" ht="15.75" customHeight="1">
      <c r="A708" s="32" t="s">
        <v>113</v>
      </c>
      <c r="B708" s="32" t="str">
        <f>IF(MOV_CC_NACIONAL!A708="","",MOV_CC_NACIONAL!A708)</f>
        <v/>
      </c>
      <c r="C708" s="32" t="str">
        <f>IF(MOV_CC_NACIONAL!B708="","",MOV_CC_NACIONAL!B708)</f>
        <v/>
      </c>
      <c r="D708" s="33" t="str">
        <f>IF(MOV_CC_NACIONAL!C708="","",MOV_CC_NACIONAL!C708)</f>
        <v/>
      </c>
      <c r="E708" s="32" t="str">
        <f t="shared" si="1"/>
        <v/>
      </c>
      <c r="F708" s="32" t="str">
        <f>IFERROR(__xludf.DUMMYFUNCTION("IF(C708="""","""", OR(REGEXMATCH(LOWER(C708),""cuota""), REGEXMATCH(C708,""\d+\s*/\s*\d+"")))"),"")</f>
        <v/>
      </c>
      <c r="G708" s="32" t="str">
        <f>IFERROR(__xludf.DUMMYFUNCTION("IFERROR(VALUE(REGEXEXTRACT(C708,""(\d+)\s*/\s*\d+"")),"""")"),"")</f>
        <v/>
      </c>
      <c r="H708" s="32" t="str">
        <f>IFERROR(__xludf.DUMMYFUNCTION("IFERROR(VALUE(REGEXEXTRACT(C708,""\d+\s*/\s*(\d+)"")),"""")"),"")</f>
        <v/>
      </c>
      <c r="I708" s="32" t="str">
        <f t="shared" si="2"/>
        <v/>
      </c>
      <c r="J708" s="33" t="str">
        <f t="shared" si="3"/>
        <v/>
      </c>
    </row>
    <row r="709" ht="15.75" customHeight="1">
      <c r="A709" s="22" t="s">
        <v>113</v>
      </c>
      <c r="B709" s="22" t="str">
        <f>IF(MOV_CC_NACIONAL!A709="","",MOV_CC_NACIONAL!A709)</f>
        <v/>
      </c>
      <c r="C709" s="22" t="str">
        <f>IF(MOV_CC_NACIONAL!B709="","",MOV_CC_NACIONAL!B709)</f>
        <v/>
      </c>
      <c r="D709" s="34" t="str">
        <f>IF(MOV_CC_NACIONAL!C709="","",MOV_CC_NACIONAL!C709)</f>
        <v/>
      </c>
      <c r="E709" s="22" t="str">
        <f t="shared" si="1"/>
        <v/>
      </c>
      <c r="F709" s="22" t="str">
        <f>IFERROR(__xludf.DUMMYFUNCTION("IF(C709="""","""", OR(REGEXMATCH(LOWER(C709),""cuota""), REGEXMATCH(C709,""\d+\s*/\s*\d+"")))"),"")</f>
        <v/>
      </c>
      <c r="G709" s="22" t="str">
        <f>IFERROR(__xludf.DUMMYFUNCTION("IFERROR(VALUE(REGEXEXTRACT(C709,""(\d+)\s*/\s*\d+"")),"""")"),"")</f>
        <v/>
      </c>
      <c r="H709" s="22" t="str">
        <f>IFERROR(__xludf.DUMMYFUNCTION("IFERROR(VALUE(REGEXEXTRACT(C709,""\d+\s*/\s*(\d+)"")),"""")"),"")</f>
        <v/>
      </c>
      <c r="I709" s="22" t="str">
        <f t="shared" si="2"/>
        <v/>
      </c>
      <c r="J709" s="34" t="str">
        <f t="shared" si="3"/>
        <v/>
      </c>
    </row>
    <row r="710" ht="15.75" customHeight="1">
      <c r="A710" s="32" t="s">
        <v>113</v>
      </c>
      <c r="B710" s="32" t="str">
        <f>IF(MOV_CC_NACIONAL!A710="","",MOV_CC_NACIONAL!A710)</f>
        <v/>
      </c>
      <c r="C710" s="32" t="str">
        <f>IF(MOV_CC_NACIONAL!B710="","",MOV_CC_NACIONAL!B710)</f>
        <v/>
      </c>
      <c r="D710" s="33" t="str">
        <f>IF(MOV_CC_NACIONAL!C710="","",MOV_CC_NACIONAL!C710)</f>
        <v/>
      </c>
      <c r="E710" s="32" t="str">
        <f t="shared" si="1"/>
        <v/>
      </c>
      <c r="F710" s="32" t="str">
        <f>IFERROR(__xludf.DUMMYFUNCTION("IF(C710="""","""", OR(REGEXMATCH(LOWER(C710),""cuota""), REGEXMATCH(C710,""\d+\s*/\s*\d+"")))"),"")</f>
        <v/>
      </c>
      <c r="G710" s="32" t="str">
        <f>IFERROR(__xludf.DUMMYFUNCTION("IFERROR(VALUE(REGEXEXTRACT(C710,""(\d+)\s*/\s*\d+"")),"""")"),"")</f>
        <v/>
      </c>
      <c r="H710" s="32" t="str">
        <f>IFERROR(__xludf.DUMMYFUNCTION("IFERROR(VALUE(REGEXEXTRACT(C710,""\d+\s*/\s*(\d+)"")),"""")"),"")</f>
        <v/>
      </c>
      <c r="I710" s="32" t="str">
        <f t="shared" si="2"/>
        <v/>
      </c>
      <c r="J710" s="33" t="str">
        <f t="shared" si="3"/>
        <v/>
      </c>
    </row>
    <row r="711" ht="15.75" customHeight="1">
      <c r="A711" s="22" t="s">
        <v>113</v>
      </c>
      <c r="B711" s="22" t="str">
        <f>IF(MOV_CC_NACIONAL!A711="","",MOV_CC_NACIONAL!A711)</f>
        <v/>
      </c>
      <c r="C711" s="22" t="str">
        <f>IF(MOV_CC_NACIONAL!B711="","",MOV_CC_NACIONAL!B711)</f>
        <v/>
      </c>
      <c r="D711" s="34" t="str">
        <f>IF(MOV_CC_NACIONAL!C711="","",MOV_CC_NACIONAL!C711)</f>
        <v/>
      </c>
      <c r="E711" s="22" t="str">
        <f t="shared" si="1"/>
        <v/>
      </c>
      <c r="F711" s="22" t="str">
        <f>IFERROR(__xludf.DUMMYFUNCTION("IF(C711="""","""", OR(REGEXMATCH(LOWER(C711),""cuota""), REGEXMATCH(C711,""\d+\s*/\s*\d+"")))"),"")</f>
        <v/>
      </c>
      <c r="G711" s="22" t="str">
        <f>IFERROR(__xludf.DUMMYFUNCTION("IFERROR(VALUE(REGEXEXTRACT(C711,""(\d+)\s*/\s*\d+"")),"""")"),"")</f>
        <v/>
      </c>
      <c r="H711" s="22" t="str">
        <f>IFERROR(__xludf.DUMMYFUNCTION("IFERROR(VALUE(REGEXEXTRACT(C711,""\d+\s*/\s*(\d+)"")),"""")"),"")</f>
        <v/>
      </c>
      <c r="I711" s="22" t="str">
        <f t="shared" si="2"/>
        <v/>
      </c>
      <c r="J711" s="34" t="str">
        <f t="shared" si="3"/>
        <v/>
      </c>
    </row>
    <row r="712" ht="15.75" customHeight="1">
      <c r="A712" s="32" t="s">
        <v>113</v>
      </c>
      <c r="B712" s="32" t="str">
        <f>IF(MOV_CC_NACIONAL!A712="","",MOV_CC_NACIONAL!A712)</f>
        <v/>
      </c>
      <c r="C712" s="32" t="str">
        <f>IF(MOV_CC_NACIONAL!B712="","",MOV_CC_NACIONAL!B712)</f>
        <v/>
      </c>
      <c r="D712" s="33" t="str">
        <f>IF(MOV_CC_NACIONAL!C712="","",MOV_CC_NACIONAL!C712)</f>
        <v/>
      </c>
      <c r="E712" s="32" t="str">
        <f t="shared" si="1"/>
        <v/>
      </c>
      <c r="F712" s="32" t="str">
        <f>IFERROR(__xludf.DUMMYFUNCTION("IF(C712="""","""", OR(REGEXMATCH(LOWER(C712),""cuota""), REGEXMATCH(C712,""\d+\s*/\s*\d+"")))"),"")</f>
        <v/>
      </c>
      <c r="G712" s="32" t="str">
        <f>IFERROR(__xludf.DUMMYFUNCTION("IFERROR(VALUE(REGEXEXTRACT(C712,""(\d+)\s*/\s*\d+"")),"""")"),"")</f>
        <v/>
      </c>
      <c r="H712" s="32" t="str">
        <f>IFERROR(__xludf.DUMMYFUNCTION("IFERROR(VALUE(REGEXEXTRACT(C712,""\d+\s*/\s*(\d+)"")),"""")"),"")</f>
        <v/>
      </c>
      <c r="I712" s="32" t="str">
        <f t="shared" si="2"/>
        <v/>
      </c>
      <c r="J712" s="33" t="str">
        <f t="shared" si="3"/>
        <v/>
      </c>
    </row>
    <row r="713" ht="15.75" customHeight="1">
      <c r="A713" s="22" t="s">
        <v>113</v>
      </c>
      <c r="B713" s="22" t="str">
        <f>IF(MOV_CC_NACIONAL!A713="","",MOV_CC_NACIONAL!A713)</f>
        <v/>
      </c>
      <c r="C713" s="22" t="str">
        <f>IF(MOV_CC_NACIONAL!B713="","",MOV_CC_NACIONAL!B713)</f>
        <v/>
      </c>
      <c r="D713" s="34" t="str">
        <f>IF(MOV_CC_NACIONAL!C713="","",MOV_CC_NACIONAL!C713)</f>
        <v/>
      </c>
      <c r="E713" s="22" t="str">
        <f t="shared" si="1"/>
        <v/>
      </c>
      <c r="F713" s="22" t="str">
        <f>IFERROR(__xludf.DUMMYFUNCTION("IF(C713="""","""", OR(REGEXMATCH(LOWER(C713),""cuota""), REGEXMATCH(C713,""\d+\s*/\s*\d+"")))"),"")</f>
        <v/>
      </c>
      <c r="G713" s="22" t="str">
        <f>IFERROR(__xludf.DUMMYFUNCTION("IFERROR(VALUE(REGEXEXTRACT(C713,""(\d+)\s*/\s*\d+"")),"""")"),"")</f>
        <v/>
      </c>
      <c r="H713" s="22" t="str">
        <f>IFERROR(__xludf.DUMMYFUNCTION("IFERROR(VALUE(REGEXEXTRACT(C713,""\d+\s*/\s*(\d+)"")),"""")"),"")</f>
        <v/>
      </c>
      <c r="I713" s="22" t="str">
        <f t="shared" si="2"/>
        <v/>
      </c>
      <c r="J713" s="34" t="str">
        <f t="shared" si="3"/>
        <v/>
      </c>
    </row>
    <row r="714" ht="15.75" customHeight="1">
      <c r="A714" s="32" t="s">
        <v>113</v>
      </c>
      <c r="B714" s="32" t="str">
        <f>IF(MOV_CC_NACIONAL!A714="","",MOV_CC_NACIONAL!A714)</f>
        <v/>
      </c>
      <c r="C714" s="32" t="str">
        <f>IF(MOV_CC_NACIONAL!B714="","",MOV_CC_NACIONAL!B714)</f>
        <v/>
      </c>
      <c r="D714" s="33" t="str">
        <f>IF(MOV_CC_NACIONAL!C714="","",MOV_CC_NACIONAL!C714)</f>
        <v/>
      </c>
      <c r="E714" s="32" t="str">
        <f t="shared" si="1"/>
        <v/>
      </c>
      <c r="F714" s="32" t="str">
        <f>IFERROR(__xludf.DUMMYFUNCTION("IF(C714="""","""", OR(REGEXMATCH(LOWER(C714),""cuota""), REGEXMATCH(C714,""\d+\s*/\s*\d+"")))"),"")</f>
        <v/>
      </c>
      <c r="G714" s="32" t="str">
        <f>IFERROR(__xludf.DUMMYFUNCTION("IFERROR(VALUE(REGEXEXTRACT(C714,""(\d+)\s*/\s*\d+"")),"""")"),"")</f>
        <v/>
      </c>
      <c r="H714" s="32" t="str">
        <f>IFERROR(__xludf.DUMMYFUNCTION("IFERROR(VALUE(REGEXEXTRACT(C714,""\d+\s*/\s*(\d+)"")),"""")"),"")</f>
        <v/>
      </c>
      <c r="I714" s="32" t="str">
        <f t="shared" si="2"/>
        <v/>
      </c>
      <c r="J714" s="33" t="str">
        <f t="shared" si="3"/>
        <v/>
      </c>
    </row>
    <row r="715" ht="15.75" customHeight="1">
      <c r="A715" s="22" t="s">
        <v>113</v>
      </c>
      <c r="B715" s="22" t="str">
        <f>IF(MOV_CC_NACIONAL!A715="","",MOV_CC_NACIONAL!A715)</f>
        <v/>
      </c>
      <c r="C715" s="22" t="str">
        <f>IF(MOV_CC_NACIONAL!B715="","",MOV_CC_NACIONAL!B715)</f>
        <v/>
      </c>
      <c r="D715" s="34" t="str">
        <f>IF(MOV_CC_NACIONAL!C715="","",MOV_CC_NACIONAL!C715)</f>
        <v/>
      </c>
      <c r="E715" s="22" t="str">
        <f t="shared" si="1"/>
        <v/>
      </c>
      <c r="F715" s="22" t="str">
        <f>IFERROR(__xludf.DUMMYFUNCTION("IF(C715="""","""", OR(REGEXMATCH(LOWER(C715),""cuota""), REGEXMATCH(C715,""\d+\s*/\s*\d+"")))"),"")</f>
        <v/>
      </c>
      <c r="G715" s="22" t="str">
        <f>IFERROR(__xludf.DUMMYFUNCTION("IFERROR(VALUE(REGEXEXTRACT(C715,""(\d+)\s*/\s*\d+"")),"""")"),"")</f>
        <v/>
      </c>
      <c r="H715" s="22" t="str">
        <f>IFERROR(__xludf.DUMMYFUNCTION("IFERROR(VALUE(REGEXEXTRACT(C715,""\d+\s*/\s*(\d+)"")),"""")"),"")</f>
        <v/>
      </c>
      <c r="I715" s="22" t="str">
        <f t="shared" si="2"/>
        <v/>
      </c>
      <c r="J715" s="34" t="str">
        <f t="shared" si="3"/>
        <v/>
      </c>
    </row>
    <row r="716" ht="15.75" customHeight="1">
      <c r="A716" s="32" t="s">
        <v>113</v>
      </c>
      <c r="B716" s="32" t="str">
        <f>IF(MOV_CC_NACIONAL!A716="","",MOV_CC_NACIONAL!A716)</f>
        <v/>
      </c>
      <c r="C716" s="32" t="str">
        <f>IF(MOV_CC_NACIONAL!B716="","",MOV_CC_NACIONAL!B716)</f>
        <v/>
      </c>
      <c r="D716" s="33" t="str">
        <f>IF(MOV_CC_NACIONAL!C716="","",MOV_CC_NACIONAL!C716)</f>
        <v/>
      </c>
      <c r="E716" s="32" t="str">
        <f t="shared" si="1"/>
        <v/>
      </c>
      <c r="F716" s="32" t="str">
        <f>IFERROR(__xludf.DUMMYFUNCTION("IF(C716="""","""", OR(REGEXMATCH(LOWER(C716),""cuota""), REGEXMATCH(C716,""\d+\s*/\s*\d+"")))"),"")</f>
        <v/>
      </c>
      <c r="G716" s="32" t="str">
        <f>IFERROR(__xludf.DUMMYFUNCTION("IFERROR(VALUE(REGEXEXTRACT(C716,""(\d+)\s*/\s*\d+"")),"""")"),"")</f>
        <v/>
      </c>
      <c r="H716" s="32" t="str">
        <f>IFERROR(__xludf.DUMMYFUNCTION("IFERROR(VALUE(REGEXEXTRACT(C716,""\d+\s*/\s*(\d+)"")),"""")"),"")</f>
        <v/>
      </c>
      <c r="I716" s="32" t="str">
        <f t="shared" si="2"/>
        <v/>
      </c>
      <c r="J716" s="33" t="str">
        <f t="shared" si="3"/>
        <v/>
      </c>
    </row>
    <row r="717" ht="15.75" customHeight="1">
      <c r="A717" s="22" t="s">
        <v>113</v>
      </c>
      <c r="B717" s="22" t="str">
        <f>IF(MOV_CC_NACIONAL!A717="","",MOV_CC_NACIONAL!A717)</f>
        <v/>
      </c>
      <c r="C717" s="22" t="str">
        <f>IF(MOV_CC_NACIONAL!B717="","",MOV_CC_NACIONAL!B717)</f>
        <v/>
      </c>
      <c r="D717" s="34" t="str">
        <f>IF(MOV_CC_NACIONAL!C717="","",MOV_CC_NACIONAL!C717)</f>
        <v/>
      </c>
      <c r="E717" s="22" t="str">
        <f t="shared" si="1"/>
        <v/>
      </c>
      <c r="F717" s="22" t="str">
        <f>IFERROR(__xludf.DUMMYFUNCTION("IF(C717="""","""", OR(REGEXMATCH(LOWER(C717),""cuota""), REGEXMATCH(C717,""\d+\s*/\s*\d+"")))"),"")</f>
        <v/>
      </c>
      <c r="G717" s="22" t="str">
        <f>IFERROR(__xludf.DUMMYFUNCTION("IFERROR(VALUE(REGEXEXTRACT(C717,""(\d+)\s*/\s*\d+"")),"""")"),"")</f>
        <v/>
      </c>
      <c r="H717" s="22" t="str">
        <f>IFERROR(__xludf.DUMMYFUNCTION("IFERROR(VALUE(REGEXEXTRACT(C717,""\d+\s*/\s*(\d+)"")),"""")"),"")</f>
        <v/>
      </c>
      <c r="I717" s="22" t="str">
        <f t="shared" si="2"/>
        <v/>
      </c>
      <c r="J717" s="34" t="str">
        <f t="shared" si="3"/>
        <v/>
      </c>
    </row>
    <row r="718" ht="15.75" customHeight="1">
      <c r="A718" s="32" t="s">
        <v>113</v>
      </c>
      <c r="B718" s="32" t="str">
        <f>IF(MOV_CC_NACIONAL!A718="","",MOV_CC_NACIONAL!A718)</f>
        <v/>
      </c>
      <c r="C718" s="32" t="str">
        <f>IF(MOV_CC_NACIONAL!B718="","",MOV_CC_NACIONAL!B718)</f>
        <v/>
      </c>
      <c r="D718" s="33" t="str">
        <f>IF(MOV_CC_NACIONAL!C718="","",MOV_CC_NACIONAL!C718)</f>
        <v/>
      </c>
      <c r="E718" s="32" t="str">
        <f t="shared" si="1"/>
        <v/>
      </c>
      <c r="F718" s="32" t="str">
        <f>IFERROR(__xludf.DUMMYFUNCTION("IF(C718="""","""", OR(REGEXMATCH(LOWER(C718),""cuota""), REGEXMATCH(C718,""\d+\s*/\s*\d+"")))"),"")</f>
        <v/>
      </c>
      <c r="G718" s="32" t="str">
        <f>IFERROR(__xludf.DUMMYFUNCTION("IFERROR(VALUE(REGEXEXTRACT(C718,""(\d+)\s*/\s*\d+"")),"""")"),"")</f>
        <v/>
      </c>
      <c r="H718" s="32" t="str">
        <f>IFERROR(__xludf.DUMMYFUNCTION("IFERROR(VALUE(REGEXEXTRACT(C718,""\d+\s*/\s*(\d+)"")),"""")"),"")</f>
        <v/>
      </c>
      <c r="I718" s="32" t="str">
        <f t="shared" si="2"/>
        <v/>
      </c>
      <c r="J718" s="33" t="str">
        <f t="shared" si="3"/>
        <v/>
      </c>
    </row>
    <row r="719" ht="15.75" customHeight="1">
      <c r="A719" s="22" t="s">
        <v>113</v>
      </c>
      <c r="B719" s="22" t="str">
        <f>IF(MOV_CC_NACIONAL!A719="","",MOV_CC_NACIONAL!A719)</f>
        <v/>
      </c>
      <c r="C719" s="22" t="str">
        <f>IF(MOV_CC_NACIONAL!B719="","",MOV_CC_NACIONAL!B719)</f>
        <v/>
      </c>
      <c r="D719" s="34" t="str">
        <f>IF(MOV_CC_NACIONAL!C719="","",MOV_CC_NACIONAL!C719)</f>
        <v/>
      </c>
      <c r="E719" s="22" t="str">
        <f t="shared" si="1"/>
        <v/>
      </c>
      <c r="F719" s="22" t="str">
        <f>IFERROR(__xludf.DUMMYFUNCTION("IF(C719="""","""", OR(REGEXMATCH(LOWER(C719),""cuota""), REGEXMATCH(C719,""\d+\s*/\s*\d+"")))"),"")</f>
        <v/>
      </c>
      <c r="G719" s="22" t="str">
        <f>IFERROR(__xludf.DUMMYFUNCTION("IFERROR(VALUE(REGEXEXTRACT(C719,""(\d+)\s*/\s*\d+"")),"""")"),"")</f>
        <v/>
      </c>
      <c r="H719" s="22" t="str">
        <f>IFERROR(__xludf.DUMMYFUNCTION("IFERROR(VALUE(REGEXEXTRACT(C719,""\d+\s*/\s*(\d+)"")),"""")"),"")</f>
        <v/>
      </c>
      <c r="I719" s="22" t="str">
        <f t="shared" si="2"/>
        <v/>
      </c>
      <c r="J719" s="34" t="str">
        <f t="shared" si="3"/>
        <v/>
      </c>
    </row>
    <row r="720" ht="15.75" customHeight="1">
      <c r="A720" s="32" t="s">
        <v>113</v>
      </c>
      <c r="B720" s="32" t="str">
        <f>IF(MOV_CC_NACIONAL!A720="","",MOV_CC_NACIONAL!A720)</f>
        <v/>
      </c>
      <c r="C720" s="32" t="str">
        <f>IF(MOV_CC_NACIONAL!B720="","",MOV_CC_NACIONAL!B720)</f>
        <v/>
      </c>
      <c r="D720" s="33" t="str">
        <f>IF(MOV_CC_NACIONAL!C720="","",MOV_CC_NACIONAL!C720)</f>
        <v/>
      </c>
      <c r="E720" s="32" t="str">
        <f t="shared" si="1"/>
        <v/>
      </c>
      <c r="F720" s="32" t="str">
        <f>IFERROR(__xludf.DUMMYFUNCTION("IF(C720="""","""", OR(REGEXMATCH(LOWER(C720),""cuota""), REGEXMATCH(C720,""\d+\s*/\s*\d+"")))"),"")</f>
        <v/>
      </c>
      <c r="G720" s="32" t="str">
        <f>IFERROR(__xludf.DUMMYFUNCTION("IFERROR(VALUE(REGEXEXTRACT(C720,""(\d+)\s*/\s*\d+"")),"""")"),"")</f>
        <v/>
      </c>
      <c r="H720" s="32" t="str">
        <f>IFERROR(__xludf.DUMMYFUNCTION("IFERROR(VALUE(REGEXEXTRACT(C720,""\d+\s*/\s*(\d+)"")),"""")"),"")</f>
        <v/>
      </c>
      <c r="I720" s="32" t="str">
        <f t="shared" si="2"/>
        <v/>
      </c>
      <c r="J720" s="33" t="str">
        <f t="shared" si="3"/>
        <v/>
      </c>
    </row>
    <row r="721" ht="15.75" customHeight="1">
      <c r="A721" s="22" t="s">
        <v>113</v>
      </c>
      <c r="B721" s="22" t="str">
        <f>IF(MOV_CC_NACIONAL!A721="","",MOV_CC_NACIONAL!A721)</f>
        <v/>
      </c>
      <c r="C721" s="22" t="str">
        <f>IF(MOV_CC_NACIONAL!B721="","",MOV_CC_NACIONAL!B721)</f>
        <v/>
      </c>
      <c r="D721" s="34" t="str">
        <f>IF(MOV_CC_NACIONAL!C721="","",MOV_CC_NACIONAL!C721)</f>
        <v/>
      </c>
      <c r="E721" s="22" t="str">
        <f t="shared" si="1"/>
        <v/>
      </c>
      <c r="F721" s="22" t="str">
        <f>IFERROR(__xludf.DUMMYFUNCTION("IF(C721="""","""", OR(REGEXMATCH(LOWER(C721),""cuota""), REGEXMATCH(C721,""\d+\s*/\s*\d+"")))"),"")</f>
        <v/>
      </c>
      <c r="G721" s="22" t="str">
        <f>IFERROR(__xludf.DUMMYFUNCTION("IFERROR(VALUE(REGEXEXTRACT(C721,""(\d+)\s*/\s*\d+"")),"""")"),"")</f>
        <v/>
      </c>
      <c r="H721" s="22" t="str">
        <f>IFERROR(__xludf.DUMMYFUNCTION("IFERROR(VALUE(REGEXEXTRACT(C721,""\d+\s*/\s*(\d+)"")),"""")"),"")</f>
        <v/>
      </c>
      <c r="I721" s="22" t="str">
        <f t="shared" si="2"/>
        <v/>
      </c>
      <c r="J721" s="34" t="str">
        <f t="shared" si="3"/>
        <v/>
      </c>
    </row>
    <row r="722" ht="15.75" customHeight="1">
      <c r="A722" s="32" t="s">
        <v>113</v>
      </c>
      <c r="B722" s="32" t="str">
        <f>IF(MOV_CC_NACIONAL!A722="","",MOV_CC_NACIONAL!A722)</f>
        <v/>
      </c>
      <c r="C722" s="32" t="str">
        <f>IF(MOV_CC_NACIONAL!B722="","",MOV_CC_NACIONAL!B722)</f>
        <v/>
      </c>
      <c r="D722" s="33" t="str">
        <f>IF(MOV_CC_NACIONAL!C722="","",MOV_CC_NACIONAL!C722)</f>
        <v/>
      </c>
      <c r="E722" s="32" t="str">
        <f t="shared" si="1"/>
        <v/>
      </c>
      <c r="F722" s="32" t="str">
        <f>IFERROR(__xludf.DUMMYFUNCTION("IF(C722="""","""", OR(REGEXMATCH(LOWER(C722),""cuota""), REGEXMATCH(C722,""\d+\s*/\s*\d+"")))"),"")</f>
        <v/>
      </c>
      <c r="G722" s="32" t="str">
        <f>IFERROR(__xludf.DUMMYFUNCTION("IFERROR(VALUE(REGEXEXTRACT(C722,""(\d+)\s*/\s*\d+"")),"""")"),"")</f>
        <v/>
      </c>
      <c r="H722" s="32" t="str">
        <f>IFERROR(__xludf.DUMMYFUNCTION("IFERROR(VALUE(REGEXEXTRACT(C722,""\d+\s*/\s*(\d+)"")),"""")"),"")</f>
        <v/>
      </c>
      <c r="I722" s="32" t="str">
        <f t="shared" si="2"/>
        <v/>
      </c>
      <c r="J722" s="33" t="str">
        <f t="shared" si="3"/>
        <v/>
      </c>
    </row>
    <row r="723" ht="15.75" customHeight="1">
      <c r="A723" s="22" t="s">
        <v>113</v>
      </c>
      <c r="B723" s="22" t="str">
        <f>IF(MOV_CC_NACIONAL!A723="","",MOV_CC_NACIONAL!A723)</f>
        <v/>
      </c>
      <c r="C723" s="22" t="str">
        <f>IF(MOV_CC_NACIONAL!B723="","",MOV_CC_NACIONAL!B723)</f>
        <v/>
      </c>
      <c r="D723" s="34" t="str">
        <f>IF(MOV_CC_NACIONAL!C723="","",MOV_CC_NACIONAL!C723)</f>
        <v/>
      </c>
      <c r="E723" s="22" t="str">
        <f t="shared" si="1"/>
        <v/>
      </c>
      <c r="F723" s="22" t="str">
        <f>IFERROR(__xludf.DUMMYFUNCTION("IF(C723="""","""", OR(REGEXMATCH(LOWER(C723),""cuota""), REGEXMATCH(C723,""\d+\s*/\s*\d+"")))"),"")</f>
        <v/>
      </c>
      <c r="G723" s="22" t="str">
        <f>IFERROR(__xludf.DUMMYFUNCTION("IFERROR(VALUE(REGEXEXTRACT(C723,""(\d+)\s*/\s*\d+"")),"""")"),"")</f>
        <v/>
      </c>
      <c r="H723" s="22" t="str">
        <f>IFERROR(__xludf.DUMMYFUNCTION("IFERROR(VALUE(REGEXEXTRACT(C723,""\d+\s*/\s*(\d+)"")),"""")"),"")</f>
        <v/>
      </c>
      <c r="I723" s="22" t="str">
        <f t="shared" si="2"/>
        <v/>
      </c>
      <c r="J723" s="34" t="str">
        <f t="shared" si="3"/>
        <v/>
      </c>
    </row>
    <row r="724" ht="15.75" customHeight="1">
      <c r="A724" s="32" t="s">
        <v>113</v>
      </c>
      <c r="B724" s="32" t="str">
        <f>IF(MOV_CC_NACIONAL!A724="","",MOV_CC_NACIONAL!A724)</f>
        <v/>
      </c>
      <c r="C724" s="32" t="str">
        <f>IF(MOV_CC_NACIONAL!B724="","",MOV_CC_NACIONAL!B724)</f>
        <v/>
      </c>
      <c r="D724" s="33" t="str">
        <f>IF(MOV_CC_NACIONAL!C724="","",MOV_CC_NACIONAL!C724)</f>
        <v/>
      </c>
      <c r="E724" s="32" t="str">
        <f t="shared" si="1"/>
        <v/>
      </c>
      <c r="F724" s="32" t="str">
        <f>IFERROR(__xludf.DUMMYFUNCTION("IF(C724="""","""", OR(REGEXMATCH(LOWER(C724),""cuota""), REGEXMATCH(C724,""\d+\s*/\s*\d+"")))"),"")</f>
        <v/>
      </c>
      <c r="G724" s="32" t="str">
        <f>IFERROR(__xludf.DUMMYFUNCTION("IFERROR(VALUE(REGEXEXTRACT(C724,""(\d+)\s*/\s*\d+"")),"""")"),"")</f>
        <v/>
      </c>
      <c r="H724" s="32" t="str">
        <f>IFERROR(__xludf.DUMMYFUNCTION("IFERROR(VALUE(REGEXEXTRACT(C724,""\d+\s*/\s*(\d+)"")),"""")"),"")</f>
        <v/>
      </c>
      <c r="I724" s="32" t="str">
        <f t="shared" si="2"/>
        <v/>
      </c>
      <c r="J724" s="33" t="str">
        <f t="shared" si="3"/>
        <v/>
      </c>
    </row>
    <row r="725" ht="15.75" customHeight="1">
      <c r="A725" s="22" t="s">
        <v>113</v>
      </c>
      <c r="B725" s="22" t="str">
        <f>IF(MOV_CC_NACIONAL!A725="","",MOV_CC_NACIONAL!A725)</f>
        <v/>
      </c>
      <c r="C725" s="22" t="str">
        <f>IF(MOV_CC_NACIONAL!B725="","",MOV_CC_NACIONAL!B725)</f>
        <v/>
      </c>
      <c r="D725" s="34" t="str">
        <f>IF(MOV_CC_NACIONAL!C725="","",MOV_CC_NACIONAL!C725)</f>
        <v/>
      </c>
      <c r="E725" s="22" t="str">
        <f t="shared" si="1"/>
        <v/>
      </c>
      <c r="F725" s="22" t="str">
        <f>IFERROR(__xludf.DUMMYFUNCTION("IF(C725="""","""", OR(REGEXMATCH(LOWER(C725),""cuota""), REGEXMATCH(C725,""\d+\s*/\s*\d+"")))"),"")</f>
        <v/>
      </c>
      <c r="G725" s="22" t="str">
        <f>IFERROR(__xludf.DUMMYFUNCTION("IFERROR(VALUE(REGEXEXTRACT(C725,""(\d+)\s*/\s*\d+"")),"""")"),"")</f>
        <v/>
      </c>
      <c r="H725" s="22" t="str">
        <f>IFERROR(__xludf.DUMMYFUNCTION("IFERROR(VALUE(REGEXEXTRACT(C725,""\d+\s*/\s*(\d+)"")),"""")"),"")</f>
        <v/>
      </c>
      <c r="I725" s="22" t="str">
        <f t="shared" si="2"/>
        <v/>
      </c>
      <c r="J725" s="34" t="str">
        <f t="shared" si="3"/>
        <v/>
      </c>
    </row>
    <row r="726" ht="15.75" customHeight="1">
      <c r="A726" s="32" t="s">
        <v>113</v>
      </c>
      <c r="B726" s="32" t="str">
        <f>IF(MOV_CC_NACIONAL!A726="","",MOV_CC_NACIONAL!A726)</f>
        <v/>
      </c>
      <c r="C726" s="32" t="str">
        <f>IF(MOV_CC_NACIONAL!B726="","",MOV_CC_NACIONAL!B726)</f>
        <v/>
      </c>
      <c r="D726" s="33" t="str">
        <f>IF(MOV_CC_NACIONAL!C726="","",MOV_CC_NACIONAL!C726)</f>
        <v/>
      </c>
      <c r="E726" s="32" t="str">
        <f t="shared" si="1"/>
        <v/>
      </c>
      <c r="F726" s="32" t="str">
        <f>IFERROR(__xludf.DUMMYFUNCTION("IF(C726="""","""", OR(REGEXMATCH(LOWER(C726),""cuota""), REGEXMATCH(C726,""\d+\s*/\s*\d+"")))"),"")</f>
        <v/>
      </c>
      <c r="G726" s="32" t="str">
        <f>IFERROR(__xludf.DUMMYFUNCTION("IFERROR(VALUE(REGEXEXTRACT(C726,""(\d+)\s*/\s*\d+"")),"""")"),"")</f>
        <v/>
      </c>
      <c r="H726" s="32" t="str">
        <f>IFERROR(__xludf.DUMMYFUNCTION("IFERROR(VALUE(REGEXEXTRACT(C726,""\d+\s*/\s*(\d+)"")),"""")"),"")</f>
        <v/>
      </c>
      <c r="I726" s="32" t="str">
        <f t="shared" si="2"/>
        <v/>
      </c>
      <c r="J726" s="33" t="str">
        <f t="shared" si="3"/>
        <v/>
      </c>
    </row>
    <row r="727" ht="15.75" customHeight="1">
      <c r="A727" s="22" t="s">
        <v>113</v>
      </c>
      <c r="B727" s="22" t="str">
        <f>IF(MOV_CC_NACIONAL!A727="","",MOV_CC_NACIONAL!A727)</f>
        <v/>
      </c>
      <c r="C727" s="22" t="str">
        <f>IF(MOV_CC_NACIONAL!B727="","",MOV_CC_NACIONAL!B727)</f>
        <v/>
      </c>
      <c r="D727" s="34" t="str">
        <f>IF(MOV_CC_NACIONAL!C727="","",MOV_CC_NACIONAL!C727)</f>
        <v/>
      </c>
      <c r="E727" s="22" t="str">
        <f t="shared" si="1"/>
        <v/>
      </c>
      <c r="F727" s="22" t="str">
        <f>IFERROR(__xludf.DUMMYFUNCTION("IF(C727="""","""", OR(REGEXMATCH(LOWER(C727),""cuota""), REGEXMATCH(C727,""\d+\s*/\s*\d+"")))"),"")</f>
        <v/>
      </c>
      <c r="G727" s="22" t="str">
        <f>IFERROR(__xludf.DUMMYFUNCTION("IFERROR(VALUE(REGEXEXTRACT(C727,""(\d+)\s*/\s*\d+"")),"""")"),"")</f>
        <v/>
      </c>
      <c r="H727" s="22" t="str">
        <f>IFERROR(__xludf.DUMMYFUNCTION("IFERROR(VALUE(REGEXEXTRACT(C727,""\d+\s*/\s*(\d+)"")),"""")"),"")</f>
        <v/>
      </c>
      <c r="I727" s="22" t="str">
        <f t="shared" si="2"/>
        <v/>
      </c>
      <c r="J727" s="34" t="str">
        <f t="shared" si="3"/>
        <v/>
      </c>
    </row>
    <row r="728" ht="15.75" customHeight="1">
      <c r="A728" s="32" t="s">
        <v>113</v>
      </c>
      <c r="B728" s="32" t="str">
        <f>IF(MOV_CC_NACIONAL!A728="","",MOV_CC_NACIONAL!A728)</f>
        <v/>
      </c>
      <c r="C728" s="32" t="str">
        <f>IF(MOV_CC_NACIONAL!B728="","",MOV_CC_NACIONAL!B728)</f>
        <v/>
      </c>
      <c r="D728" s="33" t="str">
        <f>IF(MOV_CC_NACIONAL!C728="","",MOV_CC_NACIONAL!C728)</f>
        <v/>
      </c>
      <c r="E728" s="32" t="str">
        <f t="shared" si="1"/>
        <v/>
      </c>
      <c r="F728" s="32" t="str">
        <f>IFERROR(__xludf.DUMMYFUNCTION("IF(C728="""","""", OR(REGEXMATCH(LOWER(C728),""cuota""), REGEXMATCH(C728,""\d+\s*/\s*\d+"")))"),"")</f>
        <v/>
      </c>
      <c r="G728" s="32" t="str">
        <f>IFERROR(__xludf.DUMMYFUNCTION("IFERROR(VALUE(REGEXEXTRACT(C728,""(\d+)\s*/\s*\d+"")),"""")"),"")</f>
        <v/>
      </c>
      <c r="H728" s="32" t="str">
        <f>IFERROR(__xludf.DUMMYFUNCTION("IFERROR(VALUE(REGEXEXTRACT(C728,""\d+\s*/\s*(\d+)"")),"""")"),"")</f>
        <v/>
      </c>
      <c r="I728" s="32" t="str">
        <f t="shared" si="2"/>
        <v/>
      </c>
      <c r="J728" s="33" t="str">
        <f t="shared" si="3"/>
        <v/>
      </c>
    </row>
    <row r="729" ht="15.75" customHeight="1">
      <c r="A729" s="22" t="s">
        <v>113</v>
      </c>
      <c r="B729" s="22" t="str">
        <f>IF(MOV_CC_NACIONAL!A729="","",MOV_CC_NACIONAL!A729)</f>
        <v/>
      </c>
      <c r="C729" s="22" t="str">
        <f>IF(MOV_CC_NACIONAL!B729="","",MOV_CC_NACIONAL!B729)</f>
        <v/>
      </c>
      <c r="D729" s="34" t="str">
        <f>IF(MOV_CC_NACIONAL!C729="","",MOV_CC_NACIONAL!C729)</f>
        <v/>
      </c>
      <c r="E729" s="22" t="str">
        <f t="shared" si="1"/>
        <v/>
      </c>
      <c r="F729" s="22" t="str">
        <f>IFERROR(__xludf.DUMMYFUNCTION("IF(C729="""","""", OR(REGEXMATCH(LOWER(C729),""cuota""), REGEXMATCH(C729,""\d+\s*/\s*\d+"")))"),"")</f>
        <v/>
      </c>
      <c r="G729" s="22" t="str">
        <f>IFERROR(__xludf.DUMMYFUNCTION("IFERROR(VALUE(REGEXEXTRACT(C729,""(\d+)\s*/\s*\d+"")),"""")"),"")</f>
        <v/>
      </c>
      <c r="H729" s="22" t="str">
        <f>IFERROR(__xludf.DUMMYFUNCTION("IFERROR(VALUE(REGEXEXTRACT(C729,""\d+\s*/\s*(\d+)"")),"""")"),"")</f>
        <v/>
      </c>
      <c r="I729" s="22" t="str">
        <f t="shared" si="2"/>
        <v/>
      </c>
      <c r="J729" s="34" t="str">
        <f t="shared" si="3"/>
        <v/>
      </c>
    </row>
    <row r="730" ht="15.75" customHeight="1">
      <c r="A730" s="32" t="s">
        <v>113</v>
      </c>
      <c r="B730" s="32" t="str">
        <f>IF(MOV_CC_NACIONAL!A730="","",MOV_CC_NACIONAL!A730)</f>
        <v/>
      </c>
      <c r="C730" s="32" t="str">
        <f>IF(MOV_CC_NACIONAL!B730="","",MOV_CC_NACIONAL!B730)</f>
        <v/>
      </c>
      <c r="D730" s="33" t="str">
        <f>IF(MOV_CC_NACIONAL!C730="","",MOV_CC_NACIONAL!C730)</f>
        <v/>
      </c>
      <c r="E730" s="32" t="str">
        <f t="shared" si="1"/>
        <v/>
      </c>
      <c r="F730" s="32" t="str">
        <f>IFERROR(__xludf.DUMMYFUNCTION("IF(C730="""","""", OR(REGEXMATCH(LOWER(C730),""cuota""), REGEXMATCH(C730,""\d+\s*/\s*\d+"")))"),"")</f>
        <v/>
      </c>
      <c r="G730" s="32" t="str">
        <f>IFERROR(__xludf.DUMMYFUNCTION("IFERROR(VALUE(REGEXEXTRACT(C730,""(\d+)\s*/\s*\d+"")),"""")"),"")</f>
        <v/>
      </c>
      <c r="H730" s="32" t="str">
        <f>IFERROR(__xludf.DUMMYFUNCTION("IFERROR(VALUE(REGEXEXTRACT(C730,""\d+\s*/\s*(\d+)"")),"""")"),"")</f>
        <v/>
      </c>
      <c r="I730" s="32" t="str">
        <f t="shared" si="2"/>
        <v/>
      </c>
      <c r="J730" s="33" t="str">
        <f t="shared" si="3"/>
        <v/>
      </c>
    </row>
    <row r="731" ht="15.75" customHeight="1">
      <c r="A731" s="22" t="s">
        <v>113</v>
      </c>
      <c r="B731" s="22" t="str">
        <f>IF(MOV_CC_NACIONAL!A731="","",MOV_CC_NACIONAL!A731)</f>
        <v/>
      </c>
      <c r="C731" s="22" t="str">
        <f>IF(MOV_CC_NACIONAL!B731="","",MOV_CC_NACIONAL!B731)</f>
        <v/>
      </c>
      <c r="D731" s="34" t="str">
        <f>IF(MOV_CC_NACIONAL!C731="","",MOV_CC_NACIONAL!C731)</f>
        <v/>
      </c>
      <c r="E731" s="22" t="str">
        <f t="shared" si="1"/>
        <v/>
      </c>
      <c r="F731" s="22" t="str">
        <f>IFERROR(__xludf.DUMMYFUNCTION("IF(C731="""","""", OR(REGEXMATCH(LOWER(C731),""cuota""), REGEXMATCH(C731,""\d+\s*/\s*\d+"")))"),"")</f>
        <v/>
      </c>
      <c r="G731" s="22" t="str">
        <f>IFERROR(__xludf.DUMMYFUNCTION("IFERROR(VALUE(REGEXEXTRACT(C731,""(\d+)\s*/\s*\d+"")),"""")"),"")</f>
        <v/>
      </c>
      <c r="H731" s="22" t="str">
        <f>IFERROR(__xludf.DUMMYFUNCTION("IFERROR(VALUE(REGEXEXTRACT(C731,""\d+\s*/\s*(\d+)"")),"""")"),"")</f>
        <v/>
      </c>
      <c r="I731" s="22" t="str">
        <f t="shared" si="2"/>
        <v/>
      </c>
      <c r="J731" s="34" t="str">
        <f t="shared" si="3"/>
        <v/>
      </c>
    </row>
    <row r="732" ht="15.75" customHeight="1">
      <c r="A732" s="32" t="s">
        <v>113</v>
      </c>
      <c r="B732" s="32" t="str">
        <f>IF(MOV_CC_NACIONAL!A732="","",MOV_CC_NACIONAL!A732)</f>
        <v/>
      </c>
      <c r="C732" s="32" t="str">
        <f>IF(MOV_CC_NACIONAL!B732="","",MOV_CC_NACIONAL!B732)</f>
        <v/>
      </c>
      <c r="D732" s="33" t="str">
        <f>IF(MOV_CC_NACIONAL!C732="","",MOV_CC_NACIONAL!C732)</f>
        <v/>
      </c>
      <c r="E732" s="32" t="str">
        <f t="shared" si="1"/>
        <v/>
      </c>
      <c r="F732" s="32" t="str">
        <f>IFERROR(__xludf.DUMMYFUNCTION("IF(C732="""","""", OR(REGEXMATCH(LOWER(C732),""cuota""), REGEXMATCH(C732,""\d+\s*/\s*\d+"")))"),"")</f>
        <v/>
      </c>
      <c r="G732" s="32" t="str">
        <f>IFERROR(__xludf.DUMMYFUNCTION("IFERROR(VALUE(REGEXEXTRACT(C732,""(\d+)\s*/\s*\d+"")),"""")"),"")</f>
        <v/>
      </c>
      <c r="H732" s="32" t="str">
        <f>IFERROR(__xludf.DUMMYFUNCTION("IFERROR(VALUE(REGEXEXTRACT(C732,""\d+\s*/\s*(\d+)"")),"""")"),"")</f>
        <v/>
      </c>
      <c r="I732" s="32" t="str">
        <f t="shared" si="2"/>
        <v/>
      </c>
      <c r="J732" s="33" t="str">
        <f t="shared" si="3"/>
        <v/>
      </c>
    </row>
    <row r="733" ht="15.75" customHeight="1">
      <c r="A733" s="22" t="s">
        <v>113</v>
      </c>
      <c r="B733" s="22" t="str">
        <f>IF(MOV_CC_NACIONAL!A733="","",MOV_CC_NACIONAL!A733)</f>
        <v/>
      </c>
      <c r="C733" s="22" t="str">
        <f>IF(MOV_CC_NACIONAL!B733="","",MOV_CC_NACIONAL!B733)</f>
        <v/>
      </c>
      <c r="D733" s="34" t="str">
        <f>IF(MOV_CC_NACIONAL!C733="","",MOV_CC_NACIONAL!C733)</f>
        <v/>
      </c>
      <c r="E733" s="22" t="str">
        <f t="shared" si="1"/>
        <v/>
      </c>
      <c r="F733" s="22" t="str">
        <f>IFERROR(__xludf.DUMMYFUNCTION("IF(C733="""","""", OR(REGEXMATCH(LOWER(C733),""cuota""), REGEXMATCH(C733,""\d+\s*/\s*\d+"")))"),"")</f>
        <v/>
      </c>
      <c r="G733" s="22" t="str">
        <f>IFERROR(__xludf.DUMMYFUNCTION("IFERROR(VALUE(REGEXEXTRACT(C733,""(\d+)\s*/\s*\d+"")),"""")"),"")</f>
        <v/>
      </c>
      <c r="H733" s="22" t="str">
        <f>IFERROR(__xludf.DUMMYFUNCTION("IFERROR(VALUE(REGEXEXTRACT(C733,""\d+\s*/\s*(\d+)"")),"""")"),"")</f>
        <v/>
      </c>
      <c r="I733" s="22" t="str">
        <f t="shared" si="2"/>
        <v/>
      </c>
      <c r="J733" s="34" t="str">
        <f t="shared" si="3"/>
        <v/>
      </c>
    </row>
    <row r="734" ht="15.75" customHeight="1">
      <c r="A734" s="32" t="s">
        <v>113</v>
      </c>
      <c r="B734" s="32" t="str">
        <f>IF(MOV_CC_NACIONAL!A734="","",MOV_CC_NACIONAL!A734)</f>
        <v/>
      </c>
      <c r="C734" s="32" t="str">
        <f>IF(MOV_CC_NACIONAL!B734="","",MOV_CC_NACIONAL!B734)</f>
        <v/>
      </c>
      <c r="D734" s="33" t="str">
        <f>IF(MOV_CC_NACIONAL!C734="","",MOV_CC_NACIONAL!C734)</f>
        <v/>
      </c>
      <c r="E734" s="32" t="str">
        <f t="shared" si="1"/>
        <v/>
      </c>
      <c r="F734" s="32" t="str">
        <f>IFERROR(__xludf.DUMMYFUNCTION("IF(C734="""","""", OR(REGEXMATCH(LOWER(C734),""cuota""), REGEXMATCH(C734,""\d+\s*/\s*\d+"")))"),"")</f>
        <v/>
      </c>
      <c r="G734" s="32" t="str">
        <f>IFERROR(__xludf.DUMMYFUNCTION("IFERROR(VALUE(REGEXEXTRACT(C734,""(\d+)\s*/\s*\d+"")),"""")"),"")</f>
        <v/>
      </c>
      <c r="H734" s="32" t="str">
        <f>IFERROR(__xludf.DUMMYFUNCTION("IFERROR(VALUE(REGEXEXTRACT(C734,""\d+\s*/\s*(\d+)"")),"""")"),"")</f>
        <v/>
      </c>
      <c r="I734" s="32" t="str">
        <f t="shared" si="2"/>
        <v/>
      </c>
      <c r="J734" s="33" t="str">
        <f t="shared" si="3"/>
        <v/>
      </c>
    </row>
    <row r="735" ht="15.75" customHeight="1">
      <c r="A735" s="22" t="s">
        <v>113</v>
      </c>
      <c r="B735" s="22" t="str">
        <f>IF(MOV_CC_NACIONAL!A735="","",MOV_CC_NACIONAL!A735)</f>
        <v/>
      </c>
      <c r="C735" s="22" t="str">
        <f>IF(MOV_CC_NACIONAL!B735="","",MOV_CC_NACIONAL!B735)</f>
        <v/>
      </c>
      <c r="D735" s="34" t="str">
        <f>IF(MOV_CC_NACIONAL!C735="","",MOV_CC_NACIONAL!C735)</f>
        <v/>
      </c>
      <c r="E735" s="22" t="str">
        <f t="shared" si="1"/>
        <v/>
      </c>
      <c r="F735" s="22" t="str">
        <f>IFERROR(__xludf.DUMMYFUNCTION("IF(C735="""","""", OR(REGEXMATCH(LOWER(C735),""cuota""), REGEXMATCH(C735,""\d+\s*/\s*\d+"")))"),"")</f>
        <v/>
      </c>
      <c r="G735" s="22" t="str">
        <f>IFERROR(__xludf.DUMMYFUNCTION("IFERROR(VALUE(REGEXEXTRACT(C735,""(\d+)\s*/\s*\d+"")),"""")"),"")</f>
        <v/>
      </c>
      <c r="H735" s="22" t="str">
        <f>IFERROR(__xludf.DUMMYFUNCTION("IFERROR(VALUE(REGEXEXTRACT(C735,""\d+\s*/\s*(\d+)"")),"""")"),"")</f>
        <v/>
      </c>
      <c r="I735" s="22" t="str">
        <f t="shared" si="2"/>
        <v/>
      </c>
      <c r="J735" s="34" t="str">
        <f t="shared" si="3"/>
        <v/>
      </c>
    </row>
    <row r="736" ht="15.75" customHeight="1">
      <c r="A736" s="32" t="s">
        <v>113</v>
      </c>
      <c r="B736" s="32" t="str">
        <f>IF(MOV_CC_NACIONAL!A736="","",MOV_CC_NACIONAL!A736)</f>
        <v/>
      </c>
      <c r="C736" s="32" t="str">
        <f>IF(MOV_CC_NACIONAL!B736="","",MOV_CC_NACIONAL!B736)</f>
        <v/>
      </c>
      <c r="D736" s="33" t="str">
        <f>IF(MOV_CC_NACIONAL!C736="","",MOV_CC_NACIONAL!C736)</f>
        <v/>
      </c>
      <c r="E736" s="32" t="str">
        <f t="shared" si="1"/>
        <v/>
      </c>
      <c r="F736" s="32" t="str">
        <f>IFERROR(__xludf.DUMMYFUNCTION("IF(C736="""","""", OR(REGEXMATCH(LOWER(C736),""cuota""), REGEXMATCH(C736,""\d+\s*/\s*\d+"")))"),"")</f>
        <v/>
      </c>
      <c r="G736" s="32" t="str">
        <f>IFERROR(__xludf.DUMMYFUNCTION("IFERROR(VALUE(REGEXEXTRACT(C736,""(\d+)\s*/\s*\d+"")),"""")"),"")</f>
        <v/>
      </c>
      <c r="H736" s="32" t="str">
        <f>IFERROR(__xludf.DUMMYFUNCTION("IFERROR(VALUE(REGEXEXTRACT(C736,""\d+\s*/\s*(\d+)"")),"""")"),"")</f>
        <v/>
      </c>
      <c r="I736" s="32" t="str">
        <f t="shared" si="2"/>
        <v/>
      </c>
      <c r="J736" s="33" t="str">
        <f t="shared" si="3"/>
        <v/>
      </c>
    </row>
    <row r="737" ht="15.75" customHeight="1">
      <c r="A737" s="22" t="s">
        <v>113</v>
      </c>
      <c r="B737" s="22" t="str">
        <f>IF(MOV_CC_NACIONAL!A737="","",MOV_CC_NACIONAL!A737)</f>
        <v/>
      </c>
      <c r="C737" s="22" t="str">
        <f>IF(MOV_CC_NACIONAL!B737="","",MOV_CC_NACIONAL!B737)</f>
        <v/>
      </c>
      <c r="D737" s="34" t="str">
        <f>IF(MOV_CC_NACIONAL!C737="","",MOV_CC_NACIONAL!C737)</f>
        <v/>
      </c>
      <c r="E737" s="22" t="str">
        <f t="shared" si="1"/>
        <v/>
      </c>
      <c r="F737" s="22" t="str">
        <f>IFERROR(__xludf.DUMMYFUNCTION("IF(C737="""","""", OR(REGEXMATCH(LOWER(C737),""cuota""), REGEXMATCH(C737,""\d+\s*/\s*\d+"")))"),"")</f>
        <v/>
      </c>
      <c r="G737" s="22" t="str">
        <f>IFERROR(__xludf.DUMMYFUNCTION("IFERROR(VALUE(REGEXEXTRACT(C737,""(\d+)\s*/\s*\d+"")),"""")"),"")</f>
        <v/>
      </c>
      <c r="H737" s="22" t="str">
        <f>IFERROR(__xludf.DUMMYFUNCTION("IFERROR(VALUE(REGEXEXTRACT(C737,""\d+\s*/\s*(\d+)"")),"""")"),"")</f>
        <v/>
      </c>
      <c r="I737" s="22" t="str">
        <f t="shared" si="2"/>
        <v/>
      </c>
      <c r="J737" s="34" t="str">
        <f t="shared" si="3"/>
        <v/>
      </c>
    </row>
    <row r="738" ht="15.75" customHeight="1">
      <c r="A738" s="32" t="s">
        <v>113</v>
      </c>
      <c r="B738" s="32" t="str">
        <f>IF(MOV_CC_NACIONAL!A738="","",MOV_CC_NACIONAL!A738)</f>
        <v/>
      </c>
      <c r="C738" s="32" t="str">
        <f>IF(MOV_CC_NACIONAL!B738="","",MOV_CC_NACIONAL!B738)</f>
        <v/>
      </c>
      <c r="D738" s="33" t="str">
        <f>IF(MOV_CC_NACIONAL!C738="","",MOV_CC_NACIONAL!C738)</f>
        <v/>
      </c>
      <c r="E738" s="32" t="str">
        <f t="shared" si="1"/>
        <v/>
      </c>
      <c r="F738" s="32" t="str">
        <f>IFERROR(__xludf.DUMMYFUNCTION("IF(C738="""","""", OR(REGEXMATCH(LOWER(C738),""cuota""), REGEXMATCH(C738,""\d+\s*/\s*\d+"")))"),"")</f>
        <v/>
      </c>
      <c r="G738" s="32" t="str">
        <f>IFERROR(__xludf.DUMMYFUNCTION("IFERROR(VALUE(REGEXEXTRACT(C738,""(\d+)\s*/\s*\d+"")),"""")"),"")</f>
        <v/>
      </c>
      <c r="H738" s="32" t="str">
        <f>IFERROR(__xludf.DUMMYFUNCTION("IFERROR(VALUE(REGEXEXTRACT(C738,""\d+\s*/\s*(\d+)"")),"""")"),"")</f>
        <v/>
      </c>
      <c r="I738" s="32" t="str">
        <f t="shared" si="2"/>
        <v/>
      </c>
      <c r="J738" s="33" t="str">
        <f t="shared" si="3"/>
        <v/>
      </c>
    </row>
    <row r="739" ht="15.75" customHeight="1">
      <c r="A739" s="22" t="s">
        <v>113</v>
      </c>
      <c r="B739" s="22" t="str">
        <f>IF(MOV_CC_NACIONAL!A739="","",MOV_CC_NACIONAL!A739)</f>
        <v/>
      </c>
      <c r="C739" s="22" t="str">
        <f>IF(MOV_CC_NACIONAL!B739="","",MOV_CC_NACIONAL!B739)</f>
        <v/>
      </c>
      <c r="D739" s="34" t="str">
        <f>IF(MOV_CC_NACIONAL!C739="","",MOV_CC_NACIONAL!C739)</f>
        <v/>
      </c>
      <c r="E739" s="22" t="str">
        <f t="shared" si="1"/>
        <v/>
      </c>
      <c r="F739" s="22" t="str">
        <f>IFERROR(__xludf.DUMMYFUNCTION("IF(C739="""","""", OR(REGEXMATCH(LOWER(C739),""cuota""), REGEXMATCH(C739,""\d+\s*/\s*\d+"")))"),"")</f>
        <v/>
      </c>
      <c r="G739" s="22" t="str">
        <f>IFERROR(__xludf.DUMMYFUNCTION("IFERROR(VALUE(REGEXEXTRACT(C739,""(\d+)\s*/\s*\d+"")),"""")"),"")</f>
        <v/>
      </c>
      <c r="H739" s="22" t="str">
        <f>IFERROR(__xludf.DUMMYFUNCTION("IFERROR(VALUE(REGEXEXTRACT(C739,""\d+\s*/\s*(\d+)"")),"""")"),"")</f>
        <v/>
      </c>
      <c r="I739" s="22" t="str">
        <f t="shared" si="2"/>
        <v/>
      </c>
      <c r="J739" s="34" t="str">
        <f t="shared" si="3"/>
        <v/>
      </c>
    </row>
    <row r="740" ht="15.75" customHeight="1">
      <c r="A740" s="32" t="s">
        <v>113</v>
      </c>
      <c r="B740" s="32" t="str">
        <f>IF(MOV_CC_NACIONAL!A740="","",MOV_CC_NACIONAL!A740)</f>
        <v/>
      </c>
      <c r="C740" s="32" t="str">
        <f>IF(MOV_CC_NACIONAL!B740="","",MOV_CC_NACIONAL!B740)</f>
        <v/>
      </c>
      <c r="D740" s="33" t="str">
        <f>IF(MOV_CC_NACIONAL!C740="","",MOV_CC_NACIONAL!C740)</f>
        <v/>
      </c>
      <c r="E740" s="32" t="str">
        <f t="shared" si="1"/>
        <v/>
      </c>
      <c r="F740" s="32" t="str">
        <f>IFERROR(__xludf.DUMMYFUNCTION("IF(C740="""","""", OR(REGEXMATCH(LOWER(C740),""cuota""), REGEXMATCH(C740,""\d+\s*/\s*\d+"")))"),"")</f>
        <v/>
      </c>
      <c r="G740" s="32" t="str">
        <f>IFERROR(__xludf.DUMMYFUNCTION("IFERROR(VALUE(REGEXEXTRACT(C740,""(\d+)\s*/\s*\d+"")),"""")"),"")</f>
        <v/>
      </c>
      <c r="H740" s="32" t="str">
        <f>IFERROR(__xludf.DUMMYFUNCTION("IFERROR(VALUE(REGEXEXTRACT(C740,""\d+\s*/\s*(\d+)"")),"""")"),"")</f>
        <v/>
      </c>
      <c r="I740" s="32" t="str">
        <f t="shared" si="2"/>
        <v/>
      </c>
      <c r="J740" s="33" t="str">
        <f t="shared" si="3"/>
        <v/>
      </c>
    </row>
    <row r="741" ht="15.75" customHeight="1">
      <c r="A741" s="22" t="s">
        <v>113</v>
      </c>
      <c r="B741" s="22" t="str">
        <f>IF(MOV_CC_NACIONAL!A741="","",MOV_CC_NACIONAL!A741)</f>
        <v/>
      </c>
      <c r="C741" s="22" t="str">
        <f>IF(MOV_CC_NACIONAL!B741="","",MOV_CC_NACIONAL!B741)</f>
        <v/>
      </c>
      <c r="D741" s="34" t="str">
        <f>IF(MOV_CC_NACIONAL!C741="","",MOV_CC_NACIONAL!C741)</f>
        <v/>
      </c>
      <c r="E741" s="22" t="str">
        <f t="shared" si="1"/>
        <v/>
      </c>
      <c r="F741" s="22" t="str">
        <f>IFERROR(__xludf.DUMMYFUNCTION("IF(C741="""","""", OR(REGEXMATCH(LOWER(C741),""cuota""), REGEXMATCH(C741,""\d+\s*/\s*\d+"")))"),"")</f>
        <v/>
      </c>
      <c r="G741" s="22" t="str">
        <f>IFERROR(__xludf.DUMMYFUNCTION("IFERROR(VALUE(REGEXEXTRACT(C741,""(\d+)\s*/\s*\d+"")),"""")"),"")</f>
        <v/>
      </c>
      <c r="H741" s="22" t="str">
        <f>IFERROR(__xludf.DUMMYFUNCTION("IFERROR(VALUE(REGEXEXTRACT(C741,""\d+\s*/\s*(\d+)"")),"""")"),"")</f>
        <v/>
      </c>
      <c r="I741" s="22" t="str">
        <f t="shared" si="2"/>
        <v/>
      </c>
      <c r="J741" s="34" t="str">
        <f t="shared" si="3"/>
        <v/>
      </c>
    </row>
    <row r="742" ht="15.75" customHeight="1">
      <c r="A742" s="32" t="s">
        <v>113</v>
      </c>
      <c r="B742" s="32" t="str">
        <f>IF(MOV_CC_NACIONAL!A742="","",MOV_CC_NACIONAL!A742)</f>
        <v/>
      </c>
      <c r="C742" s="32" t="str">
        <f>IF(MOV_CC_NACIONAL!B742="","",MOV_CC_NACIONAL!B742)</f>
        <v/>
      </c>
      <c r="D742" s="33" t="str">
        <f>IF(MOV_CC_NACIONAL!C742="","",MOV_CC_NACIONAL!C742)</f>
        <v/>
      </c>
      <c r="E742" s="32" t="str">
        <f t="shared" si="1"/>
        <v/>
      </c>
      <c r="F742" s="32" t="str">
        <f>IFERROR(__xludf.DUMMYFUNCTION("IF(C742="""","""", OR(REGEXMATCH(LOWER(C742),""cuota""), REGEXMATCH(C742,""\d+\s*/\s*\d+"")))"),"")</f>
        <v/>
      </c>
      <c r="G742" s="32" t="str">
        <f>IFERROR(__xludf.DUMMYFUNCTION("IFERROR(VALUE(REGEXEXTRACT(C742,""(\d+)\s*/\s*\d+"")),"""")"),"")</f>
        <v/>
      </c>
      <c r="H742" s="32" t="str">
        <f>IFERROR(__xludf.DUMMYFUNCTION("IFERROR(VALUE(REGEXEXTRACT(C742,""\d+\s*/\s*(\d+)"")),"""")"),"")</f>
        <v/>
      </c>
      <c r="I742" s="32" t="str">
        <f t="shared" si="2"/>
        <v/>
      </c>
      <c r="J742" s="33" t="str">
        <f t="shared" si="3"/>
        <v/>
      </c>
    </row>
    <row r="743" ht="15.75" customHeight="1">
      <c r="A743" s="22" t="s">
        <v>113</v>
      </c>
      <c r="B743" s="22" t="str">
        <f>IF(MOV_CC_NACIONAL!A743="","",MOV_CC_NACIONAL!A743)</f>
        <v/>
      </c>
      <c r="C743" s="22" t="str">
        <f>IF(MOV_CC_NACIONAL!B743="","",MOV_CC_NACIONAL!B743)</f>
        <v/>
      </c>
      <c r="D743" s="34" t="str">
        <f>IF(MOV_CC_NACIONAL!C743="","",MOV_CC_NACIONAL!C743)</f>
        <v/>
      </c>
      <c r="E743" s="22" t="str">
        <f t="shared" si="1"/>
        <v/>
      </c>
      <c r="F743" s="22" t="str">
        <f>IFERROR(__xludf.DUMMYFUNCTION("IF(C743="""","""", OR(REGEXMATCH(LOWER(C743),""cuota""), REGEXMATCH(C743,""\d+\s*/\s*\d+"")))"),"")</f>
        <v/>
      </c>
      <c r="G743" s="22" t="str">
        <f>IFERROR(__xludf.DUMMYFUNCTION("IFERROR(VALUE(REGEXEXTRACT(C743,""(\d+)\s*/\s*\d+"")),"""")"),"")</f>
        <v/>
      </c>
      <c r="H743" s="22" t="str">
        <f>IFERROR(__xludf.DUMMYFUNCTION("IFERROR(VALUE(REGEXEXTRACT(C743,""\d+\s*/\s*(\d+)"")),"""")"),"")</f>
        <v/>
      </c>
      <c r="I743" s="22" t="str">
        <f t="shared" si="2"/>
        <v/>
      </c>
      <c r="J743" s="34" t="str">
        <f t="shared" si="3"/>
        <v/>
      </c>
    </row>
    <row r="744" ht="15.75" customHeight="1">
      <c r="A744" s="32" t="s">
        <v>113</v>
      </c>
      <c r="B744" s="32" t="str">
        <f>IF(MOV_CC_NACIONAL!A744="","",MOV_CC_NACIONAL!A744)</f>
        <v/>
      </c>
      <c r="C744" s="32" t="str">
        <f>IF(MOV_CC_NACIONAL!B744="","",MOV_CC_NACIONAL!B744)</f>
        <v/>
      </c>
      <c r="D744" s="33" t="str">
        <f>IF(MOV_CC_NACIONAL!C744="","",MOV_CC_NACIONAL!C744)</f>
        <v/>
      </c>
      <c r="E744" s="32" t="str">
        <f t="shared" si="1"/>
        <v/>
      </c>
      <c r="F744" s="32" t="str">
        <f>IFERROR(__xludf.DUMMYFUNCTION("IF(C744="""","""", OR(REGEXMATCH(LOWER(C744),""cuota""), REGEXMATCH(C744,""\d+\s*/\s*\d+"")))"),"")</f>
        <v/>
      </c>
      <c r="G744" s="32" t="str">
        <f>IFERROR(__xludf.DUMMYFUNCTION("IFERROR(VALUE(REGEXEXTRACT(C744,""(\d+)\s*/\s*\d+"")),"""")"),"")</f>
        <v/>
      </c>
      <c r="H744" s="32" t="str">
        <f>IFERROR(__xludf.DUMMYFUNCTION("IFERROR(VALUE(REGEXEXTRACT(C744,""\d+\s*/\s*(\d+)"")),"""")"),"")</f>
        <v/>
      </c>
      <c r="I744" s="32" t="str">
        <f t="shared" si="2"/>
        <v/>
      </c>
      <c r="J744" s="33" t="str">
        <f t="shared" si="3"/>
        <v/>
      </c>
    </row>
    <row r="745" ht="15.75" customHeight="1">
      <c r="A745" s="22" t="s">
        <v>113</v>
      </c>
      <c r="B745" s="22" t="str">
        <f>IF(MOV_CC_NACIONAL!A745="","",MOV_CC_NACIONAL!A745)</f>
        <v/>
      </c>
      <c r="C745" s="22" t="str">
        <f>IF(MOV_CC_NACIONAL!B745="","",MOV_CC_NACIONAL!B745)</f>
        <v/>
      </c>
      <c r="D745" s="34" t="str">
        <f>IF(MOV_CC_NACIONAL!C745="","",MOV_CC_NACIONAL!C745)</f>
        <v/>
      </c>
      <c r="E745" s="22" t="str">
        <f t="shared" si="1"/>
        <v/>
      </c>
      <c r="F745" s="22" t="str">
        <f>IFERROR(__xludf.DUMMYFUNCTION("IF(C745="""","""", OR(REGEXMATCH(LOWER(C745),""cuota""), REGEXMATCH(C745,""\d+\s*/\s*\d+"")))"),"")</f>
        <v/>
      </c>
      <c r="G745" s="22" t="str">
        <f>IFERROR(__xludf.DUMMYFUNCTION("IFERROR(VALUE(REGEXEXTRACT(C745,""(\d+)\s*/\s*\d+"")),"""")"),"")</f>
        <v/>
      </c>
      <c r="H745" s="22" t="str">
        <f>IFERROR(__xludf.DUMMYFUNCTION("IFERROR(VALUE(REGEXEXTRACT(C745,""\d+\s*/\s*(\d+)"")),"""")"),"")</f>
        <v/>
      </c>
      <c r="I745" s="22" t="str">
        <f t="shared" si="2"/>
        <v/>
      </c>
      <c r="J745" s="34" t="str">
        <f t="shared" si="3"/>
        <v/>
      </c>
    </row>
    <row r="746" ht="15.75" customHeight="1">
      <c r="A746" s="32" t="s">
        <v>113</v>
      </c>
      <c r="B746" s="32" t="str">
        <f>IF(MOV_CC_NACIONAL!A746="","",MOV_CC_NACIONAL!A746)</f>
        <v/>
      </c>
      <c r="C746" s="32" t="str">
        <f>IF(MOV_CC_NACIONAL!B746="","",MOV_CC_NACIONAL!B746)</f>
        <v/>
      </c>
      <c r="D746" s="33" t="str">
        <f>IF(MOV_CC_NACIONAL!C746="","",MOV_CC_NACIONAL!C746)</f>
        <v/>
      </c>
      <c r="E746" s="32" t="str">
        <f t="shared" si="1"/>
        <v/>
      </c>
      <c r="F746" s="32" t="str">
        <f>IFERROR(__xludf.DUMMYFUNCTION("IF(C746="""","""", OR(REGEXMATCH(LOWER(C746),""cuota""), REGEXMATCH(C746,""\d+\s*/\s*\d+"")))"),"")</f>
        <v/>
      </c>
      <c r="G746" s="32" t="str">
        <f>IFERROR(__xludf.DUMMYFUNCTION("IFERROR(VALUE(REGEXEXTRACT(C746,""(\d+)\s*/\s*\d+"")),"""")"),"")</f>
        <v/>
      </c>
      <c r="H746" s="32" t="str">
        <f>IFERROR(__xludf.DUMMYFUNCTION("IFERROR(VALUE(REGEXEXTRACT(C746,""\d+\s*/\s*(\d+)"")),"""")"),"")</f>
        <v/>
      </c>
      <c r="I746" s="32" t="str">
        <f t="shared" si="2"/>
        <v/>
      </c>
      <c r="J746" s="33" t="str">
        <f t="shared" si="3"/>
        <v/>
      </c>
    </row>
    <row r="747" ht="15.75" customHeight="1">
      <c r="A747" s="22" t="s">
        <v>113</v>
      </c>
      <c r="B747" s="22" t="str">
        <f>IF(MOV_CC_NACIONAL!A747="","",MOV_CC_NACIONAL!A747)</f>
        <v/>
      </c>
      <c r="C747" s="22" t="str">
        <f>IF(MOV_CC_NACIONAL!B747="","",MOV_CC_NACIONAL!B747)</f>
        <v/>
      </c>
      <c r="D747" s="34" t="str">
        <f>IF(MOV_CC_NACIONAL!C747="","",MOV_CC_NACIONAL!C747)</f>
        <v/>
      </c>
      <c r="E747" s="22" t="str">
        <f t="shared" si="1"/>
        <v/>
      </c>
      <c r="F747" s="22" t="str">
        <f>IFERROR(__xludf.DUMMYFUNCTION("IF(C747="""","""", OR(REGEXMATCH(LOWER(C747),""cuota""), REGEXMATCH(C747,""\d+\s*/\s*\d+"")))"),"")</f>
        <v/>
      </c>
      <c r="G747" s="22" t="str">
        <f>IFERROR(__xludf.DUMMYFUNCTION("IFERROR(VALUE(REGEXEXTRACT(C747,""(\d+)\s*/\s*\d+"")),"""")"),"")</f>
        <v/>
      </c>
      <c r="H747" s="22" t="str">
        <f>IFERROR(__xludf.DUMMYFUNCTION("IFERROR(VALUE(REGEXEXTRACT(C747,""\d+\s*/\s*(\d+)"")),"""")"),"")</f>
        <v/>
      </c>
      <c r="I747" s="22" t="str">
        <f t="shared" si="2"/>
        <v/>
      </c>
      <c r="J747" s="34" t="str">
        <f t="shared" si="3"/>
        <v/>
      </c>
    </row>
    <row r="748" ht="15.75" customHeight="1">
      <c r="A748" s="32" t="s">
        <v>113</v>
      </c>
      <c r="B748" s="32" t="str">
        <f>IF(MOV_CC_NACIONAL!A748="","",MOV_CC_NACIONAL!A748)</f>
        <v/>
      </c>
      <c r="C748" s="32" t="str">
        <f>IF(MOV_CC_NACIONAL!B748="","",MOV_CC_NACIONAL!B748)</f>
        <v/>
      </c>
      <c r="D748" s="33" t="str">
        <f>IF(MOV_CC_NACIONAL!C748="","",MOV_CC_NACIONAL!C748)</f>
        <v/>
      </c>
      <c r="E748" s="32" t="str">
        <f t="shared" si="1"/>
        <v/>
      </c>
      <c r="F748" s="32" t="str">
        <f>IFERROR(__xludf.DUMMYFUNCTION("IF(C748="""","""", OR(REGEXMATCH(LOWER(C748),""cuota""), REGEXMATCH(C748,""\d+\s*/\s*\d+"")))"),"")</f>
        <v/>
      </c>
      <c r="G748" s="32" t="str">
        <f>IFERROR(__xludf.DUMMYFUNCTION("IFERROR(VALUE(REGEXEXTRACT(C748,""(\d+)\s*/\s*\d+"")),"""")"),"")</f>
        <v/>
      </c>
      <c r="H748" s="32" t="str">
        <f>IFERROR(__xludf.DUMMYFUNCTION("IFERROR(VALUE(REGEXEXTRACT(C748,""\d+\s*/\s*(\d+)"")),"""")"),"")</f>
        <v/>
      </c>
      <c r="I748" s="32" t="str">
        <f t="shared" si="2"/>
        <v/>
      </c>
      <c r="J748" s="33" t="str">
        <f t="shared" si="3"/>
        <v/>
      </c>
    </row>
    <row r="749" ht="15.75" customHeight="1">
      <c r="A749" s="22" t="s">
        <v>113</v>
      </c>
      <c r="B749" s="22" t="str">
        <f>IF(MOV_CC_NACIONAL!A749="","",MOV_CC_NACIONAL!A749)</f>
        <v/>
      </c>
      <c r="C749" s="22" t="str">
        <f>IF(MOV_CC_NACIONAL!B749="","",MOV_CC_NACIONAL!B749)</f>
        <v/>
      </c>
      <c r="D749" s="34" t="str">
        <f>IF(MOV_CC_NACIONAL!C749="","",MOV_CC_NACIONAL!C749)</f>
        <v/>
      </c>
      <c r="E749" s="22" t="str">
        <f t="shared" si="1"/>
        <v/>
      </c>
      <c r="F749" s="22" t="str">
        <f>IFERROR(__xludf.DUMMYFUNCTION("IF(C749="""","""", OR(REGEXMATCH(LOWER(C749),""cuota""), REGEXMATCH(C749,""\d+\s*/\s*\d+"")))"),"")</f>
        <v/>
      </c>
      <c r="G749" s="22" t="str">
        <f>IFERROR(__xludf.DUMMYFUNCTION("IFERROR(VALUE(REGEXEXTRACT(C749,""(\d+)\s*/\s*\d+"")),"""")"),"")</f>
        <v/>
      </c>
      <c r="H749" s="22" t="str">
        <f>IFERROR(__xludf.DUMMYFUNCTION("IFERROR(VALUE(REGEXEXTRACT(C749,""\d+\s*/\s*(\d+)"")),"""")"),"")</f>
        <v/>
      </c>
      <c r="I749" s="22" t="str">
        <f t="shared" si="2"/>
        <v/>
      </c>
      <c r="J749" s="34" t="str">
        <f t="shared" si="3"/>
        <v/>
      </c>
    </row>
    <row r="750" ht="15.75" customHeight="1">
      <c r="A750" s="32" t="s">
        <v>113</v>
      </c>
      <c r="B750" s="32" t="str">
        <f>IF(MOV_CC_NACIONAL!A750="","",MOV_CC_NACIONAL!A750)</f>
        <v/>
      </c>
      <c r="C750" s="32" t="str">
        <f>IF(MOV_CC_NACIONAL!B750="","",MOV_CC_NACIONAL!B750)</f>
        <v/>
      </c>
      <c r="D750" s="33" t="str">
        <f>IF(MOV_CC_NACIONAL!C750="","",MOV_CC_NACIONAL!C750)</f>
        <v/>
      </c>
      <c r="E750" s="32" t="str">
        <f t="shared" si="1"/>
        <v/>
      </c>
      <c r="F750" s="32" t="str">
        <f>IFERROR(__xludf.DUMMYFUNCTION("IF(C750="""","""", OR(REGEXMATCH(LOWER(C750),""cuota""), REGEXMATCH(C750,""\d+\s*/\s*\d+"")))"),"")</f>
        <v/>
      </c>
      <c r="G750" s="32" t="str">
        <f>IFERROR(__xludf.DUMMYFUNCTION("IFERROR(VALUE(REGEXEXTRACT(C750,""(\d+)\s*/\s*\d+"")),"""")"),"")</f>
        <v/>
      </c>
      <c r="H750" s="32" t="str">
        <f>IFERROR(__xludf.DUMMYFUNCTION("IFERROR(VALUE(REGEXEXTRACT(C750,""\d+\s*/\s*(\d+)"")),"""")"),"")</f>
        <v/>
      </c>
      <c r="I750" s="32" t="str">
        <f t="shared" si="2"/>
        <v/>
      </c>
      <c r="J750" s="33" t="str">
        <f t="shared" si="3"/>
        <v/>
      </c>
    </row>
    <row r="751" ht="15.75" customHeight="1">
      <c r="A751" s="22" t="s">
        <v>113</v>
      </c>
      <c r="B751" s="22" t="str">
        <f>IF(MOV_CC_NACIONAL!A751="","",MOV_CC_NACIONAL!A751)</f>
        <v/>
      </c>
      <c r="C751" s="22" t="str">
        <f>IF(MOV_CC_NACIONAL!B751="","",MOV_CC_NACIONAL!B751)</f>
        <v/>
      </c>
      <c r="D751" s="34" t="str">
        <f>IF(MOV_CC_NACIONAL!C751="","",MOV_CC_NACIONAL!C751)</f>
        <v/>
      </c>
      <c r="E751" s="22" t="str">
        <f t="shared" si="1"/>
        <v/>
      </c>
      <c r="F751" s="22" t="str">
        <f>IFERROR(__xludf.DUMMYFUNCTION("IF(C751="""","""", OR(REGEXMATCH(LOWER(C751),""cuota""), REGEXMATCH(C751,""\d+\s*/\s*\d+"")))"),"")</f>
        <v/>
      </c>
      <c r="G751" s="22" t="str">
        <f>IFERROR(__xludf.DUMMYFUNCTION("IFERROR(VALUE(REGEXEXTRACT(C751,""(\d+)\s*/\s*\d+"")),"""")"),"")</f>
        <v/>
      </c>
      <c r="H751" s="22" t="str">
        <f>IFERROR(__xludf.DUMMYFUNCTION("IFERROR(VALUE(REGEXEXTRACT(C751,""\d+\s*/\s*(\d+)"")),"""")"),"")</f>
        <v/>
      </c>
      <c r="I751" s="22" t="str">
        <f t="shared" si="2"/>
        <v/>
      </c>
      <c r="J751" s="34" t="str">
        <f t="shared" si="3"/>
        <v/>
      </c>
    </row>
    <row r="752" ht="15.75" customHeight="1">
      <c r="A752" s="32" t="s">
        <v>113</v>
      </c>
      <c r="B752" s="32" t="str">
        <f>IF(MOV_CC_NACIONAL!A752="","",MOV_CC_NACIONAL!A752)</f>
        <v/>
      </c>
      <c r="C752" s="32" t="str">
        <f>IF(MOV_CC_NACIONAL!B752="","",MOV_CC_NACIONAL!B752)</f>
        <v/>
      </c>
      <c r="D752" s="33" t="str">
        <f>IF(MOV_CC_NACIONAL!C752="","",MOV_CC_NACIONAL!C752)</f>
        <v/>
      </c>
      <c r="E752" s="32" t="str">
        <f t="shared" si="1"/>
        <v/>
      </c>
      <c r="F752" s="32" t="str">
        <f>IFERROR(__xludf.DUMMYFUNCTION("IF(C752="""","""", OR(REGEXMATCH(LOWER(C752),""cuota""), REGEXMATCH(C752,""\d+\s*/\s*\d+"")))"),"")</f>
        <v/>
      </c>
      <c r="G752" s="32" t="str">
        <f>IFERROR(__xludf.DUMMYFUNCTION("IFERROR(VALUE(REGEXEXTRACT(C752,""(\d+)\s*/\s*\d+"")),"""")"),"")</f>
        <v/>
      </c>
      <c r="H752" s="32" t="str">
        <f>IFERROR(__xludf.DUMMYFUNCTION("IFERROR(VALUE(REGEXEXTRACT(C752,""\d+\s*/\s*(\d+)"")),"""")"),"")</f>
        <v/>
      </c>
      <c r="I752" s="32" t="str">
        <f t="shared" si="2"/>
        <v/>
      </c>
      <c r="J752" s="33" t="str">
        <f t="shared" si="3"/>
        <v/>
      </c>
    </row>
    <row r="753" ht="15.75" customHeight="1">
      <c r="A753" s="22" t="s">
        <v>113</v>
      </c>
      <c r="B753" s="22" t="str">
        <f>IF(MOV_CC_NACIONAL!A753="","",MOV_CC_NACIONAL!A753)</f>
        <v/>
      </c>
      <c r="C753" s="22" t="str">
        <f>IF(MOV_CC_NACIONAL!B753="","",MOV_CC_NACIONAL!B753)</f>
        <v/>
      </c>
      <c r="D753" s="34" t="str">
        <f>IF(MOV_CC_NACIONAL!C753="","",MOV_CC_NACIONAL!C753)</f>
        <v/>
      </c>
      <c r="E753" s="22" t="str">
        <f t="shared" si="1"/>
        <v/>
      </c>
      <c r="F753" s="22" t="str">
        <f>IFERROR(__xludf.DUMMYFUNCTION("IF(C753="""","""", OR(REGEXMATCH(LOWER(C753),""cuota""), REGEXMATCH(C753,""\d+\s*/\s*\d+"")))"),"")</f>
        <v/>
      </c>
      <c r="G753" s="22" t="str">
        <f>IFERROR(__xludf.DUMMYFUNCTION("IFERROR(VALUE(REGEXEXTRACT(C753,""(\d+)\s*/\s*\d+"")),"""")"),"")</f>
        <v/>
      </c>
      <c r="H753" s="22" t="str">
        <f>IFERROR(__xludf.DUMMYFUNCTION("IFERROR(VALUE(REGEXEXTRACT(C753,""\d+\s*/\s*(\d+)"")),"""")"),"")</f>
        <v/>
      </c>
      <c r="I753" s="22" t="str">
        <f t="shared" si="2"/>
        <v/>
      </c>
      <c r="J753" s="34" t="str">
        <f t="shared" si="3"/>
        <v/>
      </c>
    </row>
    <row r="754" ht="15.75" customHeight="1">
      <c r="A754" s="32" t="s">
        <v>113</v>
      </c>
      <c r="B754" s="32" t="str">
        <f>IF(MOV_CC_NACIONAL!A754="","",MOV_CC_NACIONAL!A754)</f>
        <v/>
      </c>
      <c r="C754" s="32" t="str">
        <f>IF(MOV_CC_NACIONAL!B754="","",MOV_CC_NACIONAL!B754)</f>
        <v/>
      </c>
      <c r="D754" s="33" t="str">
        <f>IF(MOV_CC_NACIONAL!C754="","",MOV_CC_NACIONAL!C754)</f>
        <v/>
      </c>
      <c r="E754" s="32" t="str">
        <f t="shared" si="1"/>
        <v/>
      </c>
      <c r="F754" s="32" t="str">
        <f>IFERROR(__xludf.DUMMYFUNCTION("IF(C754="""","""", OR(REGEXMATCH(LOWER(C754),""cuota""), REGEXMATCH(C754,""\d+\s*/\s*\d+"")))"),"")</f>
        <v/>
      </c>
      <c r="G754" s="32" t="str">
        <f>IFERROR(__xludf.DUMMYFUNCTION("IFERROR(VALUE(REGEXEXTRACT(C754,""(\d+)\s*/\s*\d+"")),"""")"),"")</f>
        <v/>
      </c>
      <c r="H754" s="32" t="str">
        <f>IFERROR(__xludf.DUMMYFUNCTION("IFERROR(VALUE(REGEXEXTRACT(C754,""\d+\s*/\s*(\d+)"")),"""")"),"")</f>
        <v/>
      </c>
      <c r="I754" s="32" t="str">
        <f t="shared" si="2"/>
        <v/>
      </c>
      <c r="J754" s="33" t="str">
        <f t="shared" si="3"/>
        <v/>
      </c>
    </row>
    <row r="755" ht="15.75" customHeight="1">
      <c r="A755" s="22" t="s">
        <v>113</v>
      </c>
      <c r="B755" s="22" t="str">
        <f>IF(MOV_CC_NACIONAL!A755="","",MOV_CC_NACIONAL!A755)</f>
        <v/>
      </c>
      <c r="C755" s="22" t="str">
        <f>IF(MOV_CC_NACIONAL!B755="","",MOV_CC_NACIONAL!B755)</f>
        <v/>
      </c>
      <c r="D755" s="34" t="str">
        <f>IF(MOV_CC_NACIONAL!C755="","",MOV_CC_NACIONAL!C755)</f>
        <v/>
      </c>
      <c r="E755" s="22" t="str">
        <f t="shared" si="1"/>
        <v/>
      </c>
      <c r="F755" s="22" t="str">
        <f>IFERROR(__xludf.DUMMYFUNCTION("IF(C755="""","""", OR(REGEXMATCH(LOWER(C755),""cuota""), REGEXMATCH(C755,""\d+\s*/\s*\d+"")))"),"")</f>
        <v/>
      </c>
      <c r="G755" s="22" t="str">
        <f>IFERROR(__xludf.DUMMYFUNCTION("IFERROR(VALUE(REGEXEXTRACT(C755,""(\d+)\s*/\s*\d+"")),"""")"),"")</f>
        <v/>
      </c>
      <c r="H755" s="22" t="str">
        <f>IFERROR(__xludf.DUMMYFUNCTION("IFERROR(VALUE(REGEXEXTRACT(C755,""\d+\s*/\s*(\d+)"")),"""")"),"")</f>
        <v/>
      </c>
      <c r="I755" s="22" t="str">
        <f t="shared" si="2"/>
        <v/>
      </c>
      <c r="J755" s="34" t="str">
        <f t="shared" si="3"/>
        <v/>
      </c>
    </row>
    <row r="756" ht="15.75" customHeight="1">
      <c r="A756" s="32" t="s">
        <v>113</v>
      </c>
      <c r="B756" s="32" t="str">
        <f>IF(MOV_CC_NACIONAL!A756="","",MOV_CC_NACIONAL!A756)</f>
        <v/>
      </c>
      <c r="C756" s="32" t="str">
        <f>IF(MOV_CC_NACIONAL!B756="","",MOV_CC_NACIONAL!B756)</f>
        <v/>
      </c>
      <c r="D756" s="33" t="str">
        <f>IF(MOV_CC_NACIONAL!C756="","",MOV_CC_NACIONAL!C756)</f>
        <v/>
      </c>
      <c r="E756" s="32" t="str">
        <f t="shared" si="1"/>
        <v/>
      </c>
      <c r="F756" s="32" t="str">
        <f>IFERROR(__xludf.DUMMYFUNCTION("IF(C756="""","""", OR(REGEXMATCH(LOWER(C756),""cuota""), REGEXMATCH(C756,""\d+\s*/\s*\d+"")))"),"")</f>
        <v/>
      </c>
      <c r="G756" s="32" t="str">
        <f>IFERROR(__xludf.DUMMYFUNCTION("IFERROR(VALUE(REGEXEXTRACT(C756,""(\d+)\s*/\s*\d+"")),"""")"),"")</f>
        <v/>
      </c>
      <c r="H756" s="32" t="str">
        <f>IFERROR(__xludf.DUMMYFUNCTION("IFERROR(VALUE(REGEXEXTRACT(C756,""\d+\s*/\s*(\d+)"")),"""")"),"")</f>
        <v/>
      </c>
      <c r="I756" s="32" t="str">
        <f t="shared" si="2"/>
        <v/>
      </c>
      <c r="J756" s="33" t="str">
        <f t="shared" si="3"/>
        <v/>
      </c>
    </row>
    <row r="757" ht="15.75" customHeight="1">
      <c r="A757" s="22" t="s">
        <v>113</v>
      </c>
      <c r="B757" s="22" t="str">
        <f>IF(MOV_CC_NACIONAL!A757="","",MOV_CC_NACIONAL!A757)</f>
        <v/>
      </c>
      <c r="C757" s="22" t="str">
        <f>IF(MOV_CC_NACIONAL!B757="","",MOV_CC_NACIONAL!B757)</f>
        <v/>
      </c>
      <c r="D757" s="34" t="str">
        <f>IF(MOV_CC_NACIONAL!C757="","",MOV_CC_NACIONAL!C757)</f>
        <v/>
      </c>
      <c r="E757" s="22" t="str">
        <f t="shared" si="1"/>
        <v/>
      </c>
      <c r="F757" s="22" t="str">
        <f>IFERROR(__xludf.DUMMYFUNCTION("IF(C757="""","""", OR(REGEXMATCH(LOWER(C757),""cuota""), REGEXMATCH(C757,""\d+\s*/\s*\d+"")))"),"")</f>
        <v/>
      </c>
      <c r="G757" s="22" t="str">
        <f>IFERROR(__xludf.DUMMYFUNCTION("IFERROR(VALUE(REGEXEXTRACT(C757,""(\d+)\s*/\s*\d+"")),"""")"),"")</f>
        <v/>
      </c>
      <c r="H757" s="22" t="str">
        <f>IFERROR(__xludf.DUMMYFUNCTION("IFERROR(VALUE(REGEXEXTRACT(C757,""\d+\s*/\s*(\d+)"")),"""")"),"")</f>
        <v/>
      </c>
      <c r="I757" s="22" t="str">
        <f t="shared" si="2"/>
        <v/>
      </c>
      <c r="J757" s="34" t="str">
        <f t="shared" si="3"/>
        <v/>
      </c>
    </row>
    <row r="758" ht="15.75" customHeight="1">
      <c r="A758" s="32" t="s">
        <v>113</v>
      </c>
      <c r="B758" s="32" t="str">
        <f>IF(MOV_CC_NACIONAL!A758="","",MOV_CC_NACIONAL!A758)</f>
        <v/>
      </c>
      <c r="C758" s="32" t="str">
        <f>IF(MOV_CC_NACIONAL!B758="","",MOV_CC_NACIONAL!B758)</f>
        <v/>
      </c>
      <c r="D758" s="33" t="str">
        <f>IF(MOV_CC_NACIONAL!C758="","",MOV_CC_NACIONAL!C758)</f>
        <v/>
      </c>
      <c r="E758" s="32" t="str">
        <f t="shared" si="1"/>
        <v/>
      </c>
      <c r="F758" s="32" t="str">
        <f>IFERROR(__xludf.DUMMYFUNCTION("IF(C758="""","""", OR(REGEXMATCH(LOWER(C758),""cuota""), REGEXMATCH(C758,""\d+\s*/\s*\d+"")))"),"")</f>
        <v/>
      </c>
      <c r="G758" s="32" t="str">
        <f>IFERROR(__xludf.DUMMYFUNCTION("IFERROR(VALUE(REGEXEXTRACT(C758,""(\d+)\s*/\s*\d+"")),"""")"),"")</f>
        <v/>
      </c>
      <c r="H758" s="32" t="str">
        <f>IFERROR(__xludf.DUMMYFUNCTION("IFERROR(VALUE(REGEXEXTRACT(C758,""\d+\s*/\s*(\d+)"")),"""")"),"")</f>
        <v/>
      </c>
      <c r="I758" s="32" t="str">
        <f t="shared" si="2"/>
        <v/>
      </c>
      <c r="J758" s="33" t="str">
        <f t="shared" si="3"/>
        <v/>
      </c>
    </row>
    <row r="759" ht="15.75" customHeight="1">
      <c r="A759" s="22" t="s">
        <v>113</v>
      </c>
      <c r="B759" s="22" t="str">
        <f>IF(MOV_CC_NACIONAL!A759="","",MOV_CC_NACIONAL!A759)</f>
        <v/>
      </c>
      <c r="C759" s="22" t="str">
        <f>IF(MOV_CC_NACIONAL!B759="","",MOV_CC_NACIONAL!B759)</f>
        <v/>
      </c>
      <c r="D759" s="34" t="str">
        <f>IF(MOV_CC_NACIONAL!C759="","",MOV_CC_NACIONAL!C759)</f>
        <v/>
      </c>
      <c r="E759" s="22" t="str">
        <f t="shared" si="1"/>
        <v/>
      </c>
      <c r="F759" s="22" t="str">
        <f>IFERROR(__xludf.DUMMYFUNCTION("IF(C759="""","""", OR(REGEXMATCH(LOWER(C759),""cuota""), REGEXMATCH(C759,""\d+\s*/\s*\d+"")))"),"")</f>
        <v/>
      </c>
      <c r="G759" s="22" t="str">
        <f>IFERROR(__xludf.DUMMYFUNCTION("IFERROR(VALUE(REGEXEXTRACT(C759,""(\d+)\s*/\s*\d+"")),"""")"),"")</f>
        <v/>
      </c>
      <c r="H759" s="22" t="str">
        <f>IFERROR(__xludf.DUMMYFUNCTION("IFERROR(VALUE(REGEXEXTRACT(C759,""\d+\s*/\s*(\d+)"")),"""")"),"")</f>
        <v/>
      </c>
      <c r="I759" s="22" t="str">
        <f t="shared" si="2"/>
        <v/>
      </c>
      <c r="J759" s="34" t="str">
        <f t="shared" si="3"/>
        <v/>
      </c>
    </row>
    <row r="760" ht="15.75" customHeight="1">
      <c r="A760" s="32" t="s">
        <v>113</v>
      </c>
      <c r="B760" s="32" t="str">
        <f>IF(MOV_CC_NACIONAL!A760="","",MOV_CC_NACIONAL!A760)</f>
        <v/>
      </c>
      <c r="C760" s="32" t="str">
        <f>IF(MOV_CC_NACIONAL!B760="","",MOV_CC_NACIONAL!B760)</f>
        <v/>
      </c>
      <c r="D760" s="33" t="str">
        <f>IF(MOV_CC_NACIONAL!C760="","",MOV_CC_NACIONAL!C760)</f>
        <v/>
      </c>
      <c r="E760" s="32" t="str">
        <f t="shared" si="1"/>
        <v/>
      </c>
      <c r="F760" s="32" t="str">
        <f>IFERROR(__xludf.DUMMYFUNCTION("IF(C760="""","""", OR(REGEXMATCH(LOWER(C760),""cuota""), REGEXMATCH(C760,""\d+\s*/\s*\d+"")))"),"")</f>
        <v/>
      </c>
      <c r="G760" s="32" t="str">
        <f>IFERROR(__xludf.DUMMYFUNCTION("IFERROR(VALUE(REGEXEXTRACT(C760,""(\d+)\s*/\s*\d+"")),"""")"),"")</f>
        <v/>
      </c>
      <c r="H760" s="32" t="str">
        <f>IFERROR(__xludf.DUMMYFUNCTION("IFERROR(VALUE(REGEXEXTRACT(C760,""\d+\s*/\s*(\d+)"")),"""")"),"")</f>
        <v/>
      </c>
      <c r="I760" s="32" t="str">
        <f t="shared" si="2"/>
        <v/>
      </c>
      <c r="J760" s="33" t="str">
        <f t="shared" si="3"/>
        <v/>
      </c>
    </row>
    <row r="761" ht="15.75" customHeight="1">
      <c r="A761" s="22" t="s">
        <v>113</v>
      </c>
      <c r="B761" s="22" t="str">
        <f>IF(MOV_CC_NACIONAL!A761="","",MOV_CC_NACIONAL!A761)</f>
        <v/>
      </c>
      <c r="C761" s="22" t="str">
        <f>IF(MOV_CC_NACIONAL!B761="","",MOV_CC_NACIONAL!B761)</f>
        <v/>
      </c>
      <c r="D761" s="34" t="str">
        <f>IF(MOV_CC_NACIONAL!C761="","",MOV_CC_NACIONAL!C761)</f>
        <v/>
      </c>
      <c r="E761" s="22" t="str">
        <f t="shared" si="1"/>
        <v/>
      </c>
      <c r="F761" s="22" t="str">
        <f>IFERROR(__xludf.DUMMYFUNCTION("IF(C761="""","""", OR(REGEXMATCH(LOWER(C761),""cuota""), REGEXMATCH(C761,""\d+\s*/\s*\d+"")))"),"")</f>
        <v/>
      </c>
      <c r="G761" s="22" t="str">
        <f>IFERROR(__xludf.DUMMYFUNCTION("IFERROR(VALUE(REGEXEXTRACT(C761,""(\d+)\s*/\s*\d+"")),"""")"),"")</f>
        <v/>
      </c>
      <c r="H761" s="22" t="str">
        <f>IFERROR(__xludf.DUMMYFUNCTION("IFERROR(VALUE(REGEXEXTRACT(C761,""\d+\s*/\s*(\d+)"")),"""")"),"")</f>
        <v/>
      </c>
      <c r="I761" s="22" t="str">
        <f t="shared" si="2"/>
        <v/>
      </c>
      <c r="J761" s="34" t="str">
        <f t="shared" si="3"/>
        <v/>
      </c>
    </row>
    <row r="762" ht="15.75" customHeight="1">
      <c r="A762" s="32" t="s">
        <v>113</v>
      </c>
      <c r="B762" s="32" t="str">
        <f>IF(MOV_CC_NACIONAL!A762="","",MOV_CC_NACIONAL!A762)</f>
        <v/>
      </c>
      <c r="C762" s="32" t="str">
        <f>IF(MOV_CC_NACIONAL!B762="","",MOV_CC_NACIONAL!B762)</f>
        <v/>
      </c>
      <c r="D762" s="33" t="str">
        <f>IF(MOV_CC_NACIONAL!C762="","",MOV_CC_NACIONAL!C762)</f>
        <v/>
      </c>
      <c r="E762" s="32" t="str">
        <f t="shared" si="1"/>
        <v/>
      </c>
      <c r="F762" s="32" t="str">
        <f>IFERROR(__xludf.DUMMYFUNCTION("IF(C762="""","""", OR(REGEXMATCH(LOWER(C762),""cuota""), REGEXMATCH(C762,""\d+\s*/\s*\d+"")))"),"")</f>
        <v/>
      </c>
      <c r="G762" s="32" t="str">
        <f>IFERROR(__xludf.DUMMYFUNCTION("IFERROR(VALUE(REGEXEXTRACT(C762,""(\d+)\s*/\s*\d+"")),"""")"),"")</f>
        <v/>
      </c>
      <c r="H762" s="32" t="str">
        <f>IFERROR(__xludf.DUMMYFUNCTION("IFERROR(VALUE(REGEXEXTRACT(C762,""\d+\s*/\s*(\d+)"")),"""")"),"")</f>
        <v/>
      </c>
      <c r="I762" s="32" t="str">
        <f t="shared" si="2"/>
        <v/>
      </c>
      <c r="J762" s="33" t="str">
        <f t="shared" si="3"/>
        <v/>
      </c>
    </row>
    <row r="763" ht="15.75" customHeight="1">
      <c r="A763" s="22" t="s">
        <v>113</v>
      </c>
      <c r="B763" s="22" t="str">
        <f>IF(MOV_CC_NACIONAL!A763="","",MOV_CC_NACIONAL!A763)</f>
        <v/>
      </c>
      <c r="C763" s="22" t="str">
        <f>IF(MOV_CC_NACIONAL!B763="","",MOV_CC_NACIONAL!B763)</f>
        <v/>
      </c>
      <c r="D763" s="34" t="str">
        <f>IF(MOV_CC_NACIONAL!C763="","",MOV_CC_NACIONAL!C763)</f>
        <v/>
      </c>
      <c r="E763" s="22" t="str">
        <f t="shared" si="1"/>
        <v/>
      </c>
      <c r="F763" s="22" t="str">
        <f>IFERROR(__xludf.DUMMYFUNCTION("IF(C763="""","""", OR(REGEXMATCH(LOWER(C763),""cuota""), REGEXMATCH(C763,""\d+\s*/\s*\d+"")))"),"")</f>
        <v/>
      </c>
      <c r="G763" s="22" t="str">
        <f>IFERROR(__xludf.DUMMYFUNCTION("IFERROR(VALUE(REGEXEXTRACT(C763,""(\d+)\s*/\s*\d+"")),"""")"),"")</f>
        <v/>
      </c>
      <c r="H763" s="22" t="str">
        <f>IFERROR(__xludf.DUMMYFUNCTION("IFERROR(VALUE(REGEXEXTRACT(C763,""\d+\s*/\s*(\d+)"")),"""")"),"")</f>
        <v/>
      </c>
      <c r="I763" s="22" t="str">
        <f t="shared" si="2"/>
        <v/>
      </c>
      <c r="J763" s="34" t="str">
        <f t="shared" si="3"/>
        <v/>
      </c>
    </row>
    <row r="764" ht="15.75" customHeight="1">
      <c r="A764" s="32" t="s">
        <v>113</v>
      </c>
      <c r="B764" s="32" t="str">
        <f>IF(MOV_CC_NACIONAL!A764="","",MOV_CC_NACIONAL!A764)</f>
        <v/>
      </c>
      <c r="C764" s="32" t="str">
        <f>IF(MOV_CC_NACIONAL!B764="","",MOV_CC_NACIONAL!B764)</f>
        <v/>
      </c>
      <c r="D764" s="33" t="str">
        <f>IF(MOV_CC_NACIONAL!C764="","",MOV_CC_NACIONAL!C764)</f>
        <v/>
      </c>
      <c r="E764" s="32" t="str">
        <f t="shared" si="1"/>
        <v/>
      </c>
      <c r="F764" s="32" t="str">
        <f>IFERROR(__xludf.DUMMYFUNCTION("IF(C764="""","""", OR(REGEXMATCH(LOWER(C764),""cuota""), REGEXMATCH(C764,""\d+\s*/\s*\d+"")))"),"")</f>
        <v/>
      </c>
      <c r="G764" s="32" t="str">
        <f>IFERROR(__xludf.DUMMYFUNCTION("IFERROR(VALUE(REGEXEXTRACT(C764,""(\d+)\s*/\s*\d+"")),"""")"),"")</f>
        <v/>
      </c>
      <c r="H764" s="32" t="str">
        <f>IFERROR(__xludf.DUMMYFUNCTION("IFERROR(VALUE(REGEXEXTRACT(C764,""\d+\s*/\s*(\d+)"")),"""")"),"")</f>
        <v/>
      </c>
      <c r="I764" s="32" t="str">
        <f t="shared" si="2"/>
        <v/>
      </c>
      <c r="J764" s="33" t="str">
        <f t="shared" si="3"/>
        <v/>
      </c>
    </row>
    <row r="765" ht="15.75" customHeight="1">
      <c r="A765" s="22" t="s">
        <v>113</v>
      </c>
      <c r="B765" s="22" t="str">
        <f>IF(MOV_CC_NACIONAL!A765="","",MOV_CC_NACIONAL!A765)</f>
        <v/>
      </c>
      <c r="C765" s="22" t="str">
        <f>IF(MOV_CC_NACIONAL!B765="","",MOV_CC_NACIONAL!B765)</f>
        <v/>
      </c>
      <c r="D765" s="34" t="str">
        <f>IF(MOV_CC_NACIONAL!C765="","",MOV_CC_NACIONAL!C765)</f>
        <v/>
      </c>
      <c r="E765" s="22" t="str">
        <f t="shared" si="1"/>
        <v/>
      </c>
      <c r="F765" s="22" t="str">
        <f>IFERROR(__xludf.DUMMYFUNCTION("IF(C765="""","""", OR(REGEXMATCH(LOWER(C765),""cuota""), REGEXMATCH(C765,""\d+\s*/\s*\d+"")))"),"")</f>
        <v/>
      </c>
      <c r="G765" s="22" t="str">
        <f>IFERROR(__xludf.DUMMYFUNCTION("IFERROR(VALUE(REGEXEXTRACT(C765,""(\d+)\s*/\s*\d+"")),"""")"),"")</f>
        <v/>
      </c>
      <c r="H765" s="22" t="str">
        <f>IFERROR(__xludf.DUMMYFUNCTION("IFERROR(VALUE(REGEXEXTRACT(C765,""\d+\s*/\s*(\d+)"")),"""")"),"")</f>
        <v/>
      </c>
      <c r="I765" s="22" t="str">
        <f t="shared" si="2"/>
        <v/>
      </c>
      <c r="J765" s="34" t="str">
        <f t="shared" si="3"/>
        <v/>
      </c>
    </row>
    <row r="766" ht="15.75" customHeight="1">
      <c r="A766" s="32" t="s">
        <v>113</v>
      </c>
      <c r="B766" s="32" t="str">
        <f>IF(MOV_CC_NACIONAL!A766="","",MOV_CC_NACIONAL!A766)</f>
        <v/>
      </c>
      <c r="C766" s="32" t="str">
        <f>IF(MOV_CC_NACIONAL!B766="","",MOV_CC_NACIONAL!B766)</f>
        <v/>
      </c>
      <c r="D766" s="33" t="str">
        <f>IF(MOV_CC_NACIONAL!C766="","",MOV_CC_NACIONAL!C766)</f>
        <v/>
      </c>
      <c r="E766" s="32" t="str">
        <f t="shared" si="1"/>
        <v/>
      </c>
      <c r="F766" s="32" t="str">
        <f>IFERROR(__xludf.DUMMYFUNCTION("IF(C766="""","""", OR(REGEXMATCH(LOWER(C766),""cuota""), REGEXMATCH(C766,""\d+\s*/\s*\d+"")))"),"")</f>
        <v/>
      </c>
      <c r="G766" s="32" t="str">
        <f>IFERROR(__xludf.DUMMYFUNCTION("IFERROR(VALUE(REGEXEXTRACT(C766,""(\d+)\s*/\s*\d+"")),"""")"),"")</f>
        <v/>
      </c>
      <c r="H766" s="32" t="str">
        <f>IFERROR(__xludf.DUMMYFUNCTION("IFERROR(VALUE(REGEXEXTRACT(C766,""\d+\s*/\s*(\d+)"")),"""")"),"")</f>
        <v/>
      </c>
      <c r="I766" s="32" t="str">
        <f t="shared" si="2"/>
        <v/>
      </c>
      <c r="J766" s="33" t="str">
        <f t="shared" si="3"/>
        <v/>
      </c>
    </row>
    <row r="767" ht="15.75" customHeight="1">
      <c r="A767" s="22" t="s">
        <v>113</v>
      </c>
      <c r="B767" s="22" t="str">
        <f>IF(MOV_CC_NACIONAL!A767="","",MOV_CC_NACIONAL!A767)</f>
        <v/>
      </c>
      <c r="C767" s="22" t="str">
        <f>IF(MOV_CC_NACIONAL!B767="","",MOV_CC_NACIONAL!B767)</f>
        <v/>
      </c>
      <c r="D767" s="34" t="str">
        <f>IF(MOV_CC_NACIONAL!C767="","",MOV_CC_NACIONAL!C767)</f>
        <v/>
      </c>
      <c r="E767" s="22" t="str">
        <f t="shared" si="1"/>
        <v/>
      </c>
      <c r="F767" s="22" t="str">
        <f>IFERROR(__xludf.DUMMYFUNCTION("IF(C767="""","""", OR(REGEXMATCH(LOWER(C767),""cuota""), REGEXMATCH(C767,""\d+\s*/\s*\d+"")))"),"")</f>
        <v/>
      </c>
      <c r="G767" s="22" t="str">
        <f>IFERROR(__xludf.DUMMYFUNCTION("IFERROR(VALUE(REGEXEXTRACT(C767,""(\d+)\s*/\s*\d+"")),"""")"),"")</f>
        <v/>
      </c>
      <c r="H767" s="22" t="str">
        <f>IFERROR(__xludf.DUMMYFUNCTION("IFERROR(VALUE(REGEXEXTRACT(C767,""\d+\s*/\s*(\d+)"")),"""")"),"")</f>
        <v/>
      </c>
      <c r="I767" s="22" t="str">
        <f t="shared" si="2"/>
        <v/>
      </c>
      <c r="J767" s="34" t="str">
        <f t="shared" si="3"/>
        <v/>
      </c>
    </row>
    <row r="768" ht="15.75" customHeight="1">
      <c r="A768" s="32" t="s">
        <v>113</v>
      </c>
      <c r="B768" s="32" t="str">
        <f>IF(MOV_CC_NACIONAL!A768="","",MOV_CC_NACIONAL!A768)</f>
        <v/>
      </c>
      <c r="C768" s="32" t="str">
        <f>IF(MOV_CC_NACIONAL!B768="","",MOV_CC_NACIONAL!B768)</f>
        <v/>
      </c>
      <c r="D768" s="33" t="str">
        <f>IF(MOV_CC_NACIONAL!C768="","",MOV_CC_NACIONAL!C768)</f>
        <v/>
      </c>
      <c r="E768" s="32" t="str">
        <f t="shared" si="1"/>
        <v/>
      </c>
      <c r="F768" s="32" t="str">
        <f>IFERROR(__xludf.DUMMYFUNCTION("IF(C768="""","""", OR(REGEXMATCH(LOWER(C768),""cuota""), REGEXMATCH(C768,""\d+\s*/\s*\d+"")))"),"")</f>
        <v/>
      </c>
      <c r="G768" s="32" t="str">
        <f>IFERROR(__xludf.DUMMYFUNCTION("IFERROR(VALUE(REGEXEXTRACT(C768,""(\d+)\s*/\s*\d+"")),"""")"),"")</f>
        <v/>
      </c>
      <c r="H768" s="32" t="str">
        <f>IFERROR(__xludf.DUMMYFUNCTION("IFERROR(VALUE(REGEXEXTRACT(C768,""\d+\s*/\s*(\d+)"")),"""")"),"")</f>
        <v/>
      </c>
      <c r="I768" s="32" t="str">
        <f t="shared" si="2"/>
        <v/>
      </c>
      <c r="J768" s="33" t="str">
        <f t="shared" si="3"/>
        <v/>
      </c>
    </row>
    <row r="769" ht="15.75" customHeight="1">
      <c r="A769" s="22" t="s">
        <v>113</v>
      </c>
      <c r="B769" s="22" t="str">
        <f>IF(MOV_CC_NACIONAL!A769="","",MOV_CC_NACIONAL!A769)</f>
        <v/>
      </c>
      <c r="C769" s="22" t="str">
        <f>IF(MOV_CC_NACIONAL!B769="","",MOV_CC_NACIONAL!B769)</f>
        <v/>
      </c>
      <c r="D769" s="34" t="str">
        <f>IF(MOV_CC_NACIONAL!C769="","",MOV_CC_NACIONAL!C769)</f>
        <v/>
      </c>
      <c r="E769" s="22" t="str">
        <f t="shared" si="1"/>
        <v/>
      </c>
      <c r="F769" s="22" t="str">
        <f>IFERROR(__xludf.DUMMYFUNCTION("IF(C769="""","""", OR(REGEXMATCH(LOWER(C769),""cuota""), REGEXMATCH(C769,""\d+\s*/\s*\d+"")))"),"")</f>
        <v/>
      </c>
      <c r="G769" s="22" t="str">
        <f>IFERROR(__xludf.DUMMYFUNCTION("IFERROR(VALUE(REGEXEXTRACT(C769,""(\d+)\s*/\s*\d+"")),"""")"),"")</f>
        <v/>
      </c>
      <c r="H769" s="22" t="str">
        <f>IFERROR(__xludf.DUMMYFUNCTION("IFERROR(VALUE(REGEXEXTRACT(C769,""\d+\s*/\s*(\d+)"")),"""")"),"")</f>
        <v/>
      </c>
      <c r="I769" s="22" t="str">
        <f t="shared" si="2"/>
        <v/>
      </c>
      <c r="J769" s="34" t="str">
        <f t="shared" si="3"/>
        <v/>
      </c>
    </row>
    <row r="770" ht="15.75" customHeight="1">
      <c r="A770" s="32" t="s">
        <v>113</v>
      </c>
      <c r="B770" s="32" t="str">
        <f>IF(MOV_CC_NACIONAL!A770="","",MOV_CC_NACIONAL!A770)</f>
        <v/>
      </c>
      <c r="C770" s="32" t="str">
        <f>IF(MOV_CC_NACIONAL!B770="","",MOV_CC_NACIONAL!B770)</f>
        <v/>
      </c>
      <c r="D770" s="33" t="str">
        <f>IF(MOV_CC_NACIONAL!C770="","",MOV_CC_NACIONAL!C770)</f>
        <v/>
      </c>
      <c r="E770" s="32" t="str">
        <f t="shared" si="1"/>
        <v/>
      </c>
      <c r="F770" s="32" t="str">
        <f>IFERROR(__xludf.DUMMYFUNCTION("IF(C770="""","""", OR(REGEXMATCH(LOWER(C770),""cuota""), REGEXMATCH(C770,""\d+\s*/\s*\d+"")))"),"")</f>
        <v/>
      </c>
      <c r="G770" s="32" t="str">
        <f>IFERROR(__xludf.DUMMYFUNCTION("IFERROR(VALUE(REGEXEXTRACT(C770,""(\d+)\s*/\s*\d+"")),"""")"),"")</f>
        <v/>
      </c>
      <c r="H770" s="32" t="str">
        <f>IFERROR(__xludf.DUMMYFUNCTION("IFERROR(VALUE(REGEXEXTRACT(C770,""\d+\s*/\s*(\d+)"")),"""")"),"")</f>
        <v/>
      </c>
      <c r="I770" s="32" t="str">
        <f t="shared" si="2"/>
        <v/>
      </c>
      <c r="J770" s="33" t="str">
        <f t="shared" si="3"/>
        <v/>
      </c>
    </row>
    <row r="771" ht="15.75" customHeight="1">
      <c r="A771" s="22" t="s">
        <v>113</v>
      </c>
      <c r="B771" s="22" t="str">
        <f>IF(MOV_CC_NACIONAL!A771="","",MOV_CC_NACIONAL!A771)</f>
        <v/>
      </c>
      <c r="C771" s="22" t="str">
        <f>IF(MOV_CC_NACIONAL!B771="","",MOV_CC_NACIONAL!B771)</f>
        <v/>
      </c>
      <c r="D771" s="34" t="str">
        <f>IF(MOV_CC_NACIONAL!C771="","",MOV_CC_NACIONAL!C771)</f>
        <v/>
      </c>
      <c r="E771" s="22" t="str">
        <f t="shared" si="1"/>
        <v/>
      </c>
      <c r="F771" s="22" t="str">
        <f>IFERROR(__xludf.DUMMYFUNCTION("IF(C771="""","""", OR(REGEXMATCH(LOWER(C771),""cuota""), REGEXMATCH(C771,""\d+\s*/\s*\d+"")))"),"")</f>
        <v/>
      </c>
      <c r="G771" s="22" t="str">
        <f>IFERROR(__xludf.DUMMYFUNCTION("IFERROR(VALUE(REGEXEXTRACT(C771,""(\d+)\s*/\s*\d+"")),"""")"),"")</f>
        <v/>
      </c>
      <c r="H771" s="22" t="str">
        <f>IFERROR(__xludf.DUMMYFUNCTION("IFERROR(VALUE(REGEXEXTRACT(C771,""\d+\s*/\s*(\d+)"")),"""")"),"")</f>
        <v/>
      </c>
      <c r="I771" s="22" t="str">
        <f t="shared" si="2"/>
        <v/>
      </c>
      <c r="J771" s="34" t="str">
        <f t="shared" si="3"/>
        <v/>
      </c>
    </row>
    <row r="772" ht="15.75" customHeight="1">
      <c r="A772" s="32" t="s">
        <v>113</v>
      </c>
      <c r="B772" s="32" t="str">
        <f>IF(MOV_CC_NACIONAL!A772="","",MOV_CC_NACIONAL!A772)</f>
        <v/>
      </c>
      <c r="C772" s="32" t="str">
        <f>IF(MOV_CC_NACIONAL!B772="","",MOV_CC_NACIONAL!B772)</f>
        <v/>
      </c>
      <c r="D772" s="33" t="str">
        <f>IF(MOV_CC_NACIONAL!C772="","",MOV_CC_NACIONAL!C772)</f>
        <v/>
      </c>
      <c r="E772" s="32" t="str">
        <f t="shared" si="1"/>
        <v/>
      </c>
      <c r="F772" s="32" t="str">
        <f>IFERROR(__xludf.DUMMYFUNCTION("IF(C772="""","""", OR(REGEXMATCH(LOWER(C772),""cuota""), REGEXMATCH(C772,""\d+\s*/\s*\d+"")))"),"")</f>
        <v/>
      </c>
      <c r="G772" s="32" t="str">
        <f>IFERROR(__xludf.DUMMYFUNCTION("IFERROR(VALUE(REGEXEXTRACT(C772,""(\d+)\s*/\s*\d+"")),"""")"),"")</f>
        <v/>
      </c>
      <c r="H772" s="32" t="str">
        <f>IFERROR(__xludf.DUMMYFUNCTION("IFERROR(VALUE(REGEXEXTRACT(C772,""\d+\s*/\s*(\d+)"")),"""")"),"")</f>
        <v/>
      </c>
      <c r="I772" s="32" t="str">
        <f t="shared" si="2"/>
        <v/>
      </c>
      <c r="J772" s="33" t="str">
        <f t="shared" si="3"/>
        <v/>
      </c>
    </row>
    <row r="773" ht="15.75" customHeight="1">
      <c r="A773" s="22" t="s">
        <v>113</v>
      </c>
      <c r="B773" s="22" t="str">
        <f>IF(MOV_CC_NACIONAL!A773="","",MOV_CC_NACIONAL!A773)</f>
        <v/>
      </c>
      <c r="C773" s="22" t="str">
        <f>IF(MOV_CC_NACIONAL!B773="","",MOV_CC_NACIONAL!B773)</f>
        <v/>
      </c>
      <c r="D773" s="34" t="str">
        <f>IF(MOV_CC_NACIONAL!C773="","",MOV_CC_NACIONAL!C773)</f>
        <v/>
      </c>
      <c r="E773" s="22" t="str">
        <f t="shared" si="1"/>
        <v/>
      </c>
      <c r="F773" s="22" t="str">
        <f>IFERROR(__xludf.DUMMYFUNCTION("IF(C773="""","""", OR(REGEXMATCH(LOWER(C773),""cuota""), REGEXMATCH(C773,""\d+\s*/\s*\d+"")))"),"")</f>
        <v/>
      </c>
      <c r="G773" s="22" t="str">
        <f>IFERROR(__xludf.DUMMYFUNCTION("IFERROR(VALUE(REGEXEXTRACT(C773,""(\d+)\s*/\s*\d+"")),"""")"),"")</f>
        <v/>
      </c>
      <c r="H773" s="22" t="str">
        <f>IFERROR(__xludf.DUMMYFUNCTION("IFERROR(VALUE(REGEXEXTRACT(C773,""\d+\s*/\s*(\d+)"")),"""")"),"")</f>
        <v/>
      </c>
      <c r="I773" s="22" t="str">
        <f t="shared" si="2"/>
        <v/>
      </c>
      <c r="J773" s="34" t="str">
        <f t="shared" si="3"/>
        <v/>
      </c>
    </row>
    <row r="774" ht="15.75" customHeight="1">
      <c r="A774" s="32" t="s">
        <v>113</v>
      </c>
      <c r="B774" s="32" t="str">
        <f>IF(MOV_CC_NACIONAL!A774="","",MOV_CC_NACIONAL!A774)</f>
        <v/>
      </c>
      <c r="C774" s="32" t="str">
        <f>IF(MOV_CC_NACIONAL!B774="","",MOV_CC_NACIONAL!B774)</f>
        <v/>
      </c>
      <c r="D774" s="33" t="str">
        <f>IF(MOV_CC_NACIONAL!C774="","",MOV_CC_NACIONAL!C774)</f>
        <v/>
      </c>
      <c r="E774" s="32" t="str">
        <f t="shared" si="1"/>
        <v/>
      </c>
      <c r="F774" s="32" t="str">
        <f>IFERROR(__xludf.DUMMYFUNCTION("IF(C774="""","""", OR(REGEXMATCH(LOWER(C774),""cuota""), REGEXMATCH(C774,""\d+\s*/\s*\d+"")))"),"")</f>
        <v/>
      </c>
      <c r="G774" s="32" t="str">
        <f>IFERROR(__xludf.DUMMYFUNCTION("IFERROR(VALUE(REGEXEXTRACT(C774,""(\d+)\s*/\s*\d+"")),"""")"),"")</f>
        <v/>
      </c>
      <c r="H774" s="32" t="str">
        <f>IFERROR(__xludf.DUMMYFUNCTION("IFERROR(VALUE(REGEXEXTRACT(C774,""\d+\s*/\s*(\d+)"")),"""")"),"")</f>
        <v/>
      </c>
      <c r="I774" s="32" t="str">
        <f t="shared" si="2"/>
        <v/>
      </c>
      <c r="J774" s="33" t="str">
        <f t="shared" si="3"/>
        <v/>
      </c>
    </row>
    <row r="775" ht="15.75" customHeight="1">
      <c r="A775" s="22" t="s">
        <v>113</v>
      </c>
      <c r="B775" s="22" t="str">
        <f>IF(MOV_CC_NACIONAL!A775="","",MOV_CC_NACIONAL!A775)</f>
        <v/>
      </c>
      <c r="C775" s="22" t="str">
        <f>IF(MOV_CC_NACIONAL!B775="","",MOV_CC_NACIONAL!B775)</f>
        <v/>
      </c>
      <c r="D775" s="34" t="str">
        <f>IF(MOV_CC_NACIONAL!C775="","",MOV_CC_NACIONAL!C775)</f>
        <v/>
      </c>
      <c r="E775" s="22" t="str">
        <f t="shared" si="1"/>
        <v/>
      </c>
      <c r="F775" s="22" t="str">
        <f>IFERROR(__xludf.DUMMYFUNCTION("IF(C775="""","""", OR(REGEXMATCH(LOWER(C775),""cuota""), REGEXMATCH(C775,""\d+\s*/\s*\d+"")))"),"")</f>
        <v/>
      </c>
      <c r="G775" s="22" t="str">
        <f>IFERROR(__xludf.DUMMYFUNCTION("IFERROR(VALUE(REGEXEXTRACT(C775,""(\d+)\s*/\s*\d+"")),"""")"),"")</f>
        <v/>
      </c>
      <c r="H775" s="22" t="str">
        <f>IFERROR(__xludf.DUMMYFUNCTION("IFERROR(VALUE(REGEXEXTRACT(C775,""\d+\s*/\s*(\d+)"")),"""")"),"")</f>
        <v/>
      </c>
      <c r="I775" s="22" t="str">
        <f t="shared" si="2"/>
        <v/>
      </c>
      <c r="J775" s="34" t="str">
        <f t="shared" si="3"/>
        <v/>
      </c>
    </row>
    <row r="776" ht="15.75" customHeight="1">
      <c r="A776" s="32" t="s">
        <v>113</v>
      </c>
      <c r="B776" s="32" t="str">
        <f>IF(MOV_CC_NACIONAL!A776="","",MOV_CC_NACIONAL!A776)</f>
        <v/>
      </c>
      <c r="C776" s="32" t="str">
        <f>IF(MOV_CC_NACIONAL!B776="","",MOV_CC_NACIONAL!B776)</f>
        <v/>
      </c>
      <c r="D776" s="33" t="str">
        <f>IF(MOV_CC_NACIONAL!C776="","",MOV_CC_NACIONAL!C776)</f>
        <v/>
      </c>
      <c r="E776" s="32" t="str">
        <f t="shared" si="1"/>
        <v/>
      </c>
      <c r="F776" s="32" t="str">
        <f>IFERROR(__xludf.DUMMYFUNCTION("IF(C776="""","""", OR(REGEXMATCH(LOWER(C776),""cuota""), REGEXMATCH(C776,""\d+\s*/\s*\d+"")))"),"")</f>
        <v/>
      </c>
      <c r="G776" s="32" t="str">
        <f>IFERROR(__xludf.DUMMYFUNCTION("IFERROR(VALUE(REGEXEXTRACT(C776,""(\d+)\s*/\s*\d+"")),"""")"),"")</f>
        <v/>
      </c>
      <c r="H776" s="32" t="str">
        <f>IFERROR(__xludf.DUMMYFUNCTION("IFERROR(VALUE(REGEXEXTRACT(C776,""\d+\s*/\s*(\d+)"")),"""")"),"")</f>
        <v/>
      </c>
      <c r="I776" s="32" t="str">
        <f t="shared" si="2"/>
        <v/>
      </c>
      <c r="J776" s="33" t="str">
        <f t="shared" si="3"/>
        <v/>
      </c>
    </row>
    <row r="777" ht="15.75" customHeight="1">
      <c r="A777" s="22" t="s">
        <v>113</v>
      </c>
      <c r="B777" s="22" t="str">
        <f>IF(MOV_CC_NACIONAL!A777="","",MOV_CC_NACIONAL!A777)</f>
        <v/>
      </c>
      <c r="C777" s="22" t="str">
        <f>IF(MOV_CC_NACIONAL!B777="","",MOV_CC_NACIONAL!B777)</f>
        <v/>
      </c>
      <c r="D777" s="34" t="str">
        <f>IF(MOV_CC_NACIONAL!C777="","",MOV_CC_NACIONAL!C777)</f>
        <v/>
      </c>
      <c r="E777" s="22" t="str">
        <f t="shared" si="1"/>
        <v/>
      </c>
      <c r="F777" s="22" t="str">
        <f>IFERROR(__xludf.DUMMYFUNCTION("IF(C777="""","""", OR(REGEXMATCH(LOWER(C777),""cuota""), REGEXMATCH(C777,""\d+\s*/\s*\d+"")))"),"")</f>
        <v/>
      </c>
      <c r="G777" s="22" t="str">
        <f>IFERROR(__xludf.DUMMYFUNCTION("IFERROR(VALUE(REGEXEXTRACT(C777,""(\d+)\s*/\s*\d+"")),"""")"),"")</f>
        <v/>
      </c>
      <c r="H777" s="22" t="str">
        <f>IFERROR(__xludf.DUMMYFUNCTION("IFERROR(VALUE(REGEXEXTRACT(C777,""\d+\s*/\s*(\d+)"")),"""")"),"")</f>
        <v/>
      </c>
      <c r="I777" s="22" t="str">
        <f t="shared" si="2"/>
        <v/>
      </c>
      <c r="J777" s="34" t="str">
        <f t="shared" si="3"/>
        <v/>
      </c>
    </row>
    <row r="778" ht="15.75" customHeight="1">
      <c r="A778" s="32" t="s">
        <v>113</v>
      </c>
      <c r="B778" s="32" t="str">
        <f>IF(MOV_CC_NACIONAL!A778="","",MOV_CC_NACIONAL!A778)</f>
        <v/>
      </c>
      <c r="C778" s="32" t="str">
        <f>IF(MOV_CC_NACIONAL!B778="","",MOV_CC_NACIONAL!B778)</f>
        <v/>
      </c>
      <c r="D778" s="33" t="str">
        <f>IF(MOV_CC_NACIONAL!C778="","",MOV_CC_NACIONAL!C778)</f>
        <v/>
      </c>
      <c r="E778" s="32" t="str">
        <f t="shared" si="1"/>
        <v/>
      </c>
      <c r="F778" s="32" t="str">
        <f>IFERROR(__xludf.DUMMYFUNCTION("IF(C778="""","""", OR(REGEXMATCH(LOWER(C778),""cuota""), REGEXMATCH(C778,""\d+\s*/\s*\d+"")))"),"")</f>
        <v/>
      </c>
      <c r="G778" s="32" t="str">
        <f>IFERROR(__xludf.DUMMYFUNCTION("IFERROR(VALUE(REGEXEXTRACT(C778,""(\d+)\s*/\s*\d+"")),"""")"),"")</f>
        <v/>
      </c>
      <c r="H778" s="32" t="str">
        <f>IFERROR(__xludf.DUMMYFUNCTION("IFERROR(VALUE(REGEXEXTRACT(C778,""\d+\s*/\s*(\d+)"")),"""")"),"")</f>
        <v/>
      </c>
      <c r="I778" s="32" t="str">
        <f t="shared" si="2"/>
        <v/>
      </c>
      <c r="J778" s="33" t="str">
        <f t="shared" si="3"/>
        <v/>
      </c>
    </row>
    <row r="779" ht="15.75" customHeight="1">
      <c r="A779" s="22" t="s">
        <v>113</v>
      </c>
      <c r="B779" s="22" t="str">
        <f>IF(MOV_CC_NACIONAL!A779="","",MOV_CC_NACIONAL!A779)</f>
        <v/>
      </c>
      <c r="C779" s="22" t="str">
        <f>IF(MOV_CC_NACIONAL!B779="","",MOV_CC_NACIONAL!B779)</f>
        <v/>
      </c>
      <c r="D779" s="34" t="str">
        <f>IF(MOV_CC_NACIONAL!C779="","",MOV_CC_NACIONAL!C779)</f>
        <v/>
      </c>
      <c r="E779" s="22" t="str">
        <f t="shared" si="1"/>
        <v/>
      </c>
      <c r="F779" s="22" t="str">
        <f>IFERROR(__xludf.DUMMYFUNCTION("IF(C779="""","""", OR(REGEXMATCH(LOWER(C779),""cuota""), REGEXMATCH(C779,""\d+\s*/\s*\d+"")))"),"")</f>
        <v/>
      </c>
      <c r="G779" s="22" t="str">
        <f>IFERROR(__xludf.DUMMYFUNCTION("IFERROR(VALUE(REGEXEXTRACT(C779,""(\d+)\s*/\s*\d+"")),"""")"),"")</f>
        <v/>
      </c>
      <c r="H779" s="22" t="str">
        <f>IFERROR(__xludf.DUMMYFUNCTION("IFERROR(VALUE(REGEXEXTRACT(C779,""\d+\s*/\s*(\d+)"")),"""")"),"")</f>
        <v/>
      </c>
      <c r="I779" s="22" t="str">
        <f t="shared" si="2"/>
        <v/>
      </c>
      <c r="J779" s="34" t="str">
        <f t="shared" si="3"/>
        <v/>
      </c>
    </row>
    <row r="780" ht="15.75" customHeight="1">
      <c r="A780" s="32" t="s">
        <v>113</v>
      </c>
      <c r="B780" s="32" t="str">
        <f>IF(MOV_CC_NACIONAL!A780="","",MOV_CC_NACIONAL!A780)</f>
        <v/>
      </c>
      <c r="C780" s="32" t="str">
        <f>IF(MOV_CC_NACIONAL!B780="","",MOV_CC_NACIONAL!B780)</f>
        <v/>
      </c>
      <c r="D780" s="33" t="str">
        <f>IF(MOV_CC_NACIONAL!C780="","",MOV_CC_NACIONAL!C780)</f>
        <v/>
      </c>
      <c r="E780" s="32" t="str">
        <f t="shared" si="1"/>
        <v/>
      </c>
      <c r="F780" s="32" t="str">
        <f>IFERROR(__xludf.DUMMYFUNCTION("IF(C780="""","""", OR(REGEXMATCH(LOWER(C780),""cuota""), REGEXMATCH(C780,""\d+\s*/\s*\d+"")))"),"")</f>
        <v/>
      </c>
      <c r="G780" s="32" t="str">
        <f>IFERROR(__xludf.DUMMYFUNCTION("IFERROR(VALUE(REGEXEXTRACT(C780,""(\d+)\s*/\s*\d+"")),"""")"),"")</f>
        <v/>
      </c>
      <c r="H780" s="32" t="str">
        <f>IFERROR(__xludf.DUMMYFUNCTION("IFERROR(VALUE(REGEXEXTRACT(C780,""\d+\s*/\s*(\d+)"")),"""")"),"")</f>
        <v/>
      </c>
      <c r="I780" s="32" t="str">
        <f t="shared" si="2"/>
        <v/>
      </c>
      <c r="J780" s="33" t="str">
        <f t="shared" si="3"/>
        <v/>
      </c>
    </row>
    <row r="781" ht="15.75" customHeight="1">
      <c r="A781" s="22" t="s">
        <v>113</v>
      </c>
      <c r="B781" s="22" t="str">
        <f>IF(MOV_CC_NACIONAL!A781="","",MOV_CC_NACIONAL!A781)</f>
        <v/>
      </c>
      <c r="C781" s="22" t="str">
        <f>IF(MOV_CC_NACIONAL!B781="","",MOV_CC_NACIONAL!B781)</f>
        <v/>
      </c>
      <c r="D781" s="34" t="str">
        <f>IF(MOV_CC_NACIONAL!C781="","",MOV_CC_NACIONAL!C781)</f>
        <v/>
      </c>
      <c r="E781" s="22" t="str">
        <f t="shared" si="1"/>
        <v/>
      </c>
      <c r="F781" s="22" t="str">
        <f>IFERROR(__xludf.DUMMYFUNCTION("IF(C781="""","""", OR(REGEXMATCH(LOWER(C781),""cuota""), REGEXMATCH(C781,""\d+\s*/\s*\d+"")))"),"")</f>
        <v/>
      </c>
      <c r="G781" s="22" t="str">
        <f>IFERROR(__xludf.DUMMYFUNCTION("IFERROR(VALUE(REGEXEXTRACT(C781,""(\d+)\s*/\s*\d+"")),"""")"),"")</f>
        <v/>
      </c>
      <c r="H781" s="22" t="str">
        <f>IFERROR(__xludf.DUMMYFUNCTION("IFERROR(VALUE(REGEXEXTRACT(C781,""\d+\s*/\s*(\d+)"")),"""")"),"")</f>
        <v/>
      </c>
      <c r="I781" s="22" t="str">
        <f t="shared" si="2"/>
        <v/>
      </c>
      <c r="J781" s="34" t="str">
        <f t="shared" si="3"/>
        <v/>
      </c>
    </row>
    <row r="782" ht="15.75" customHeight="1">
      <c r="A782" s="32" t="s">
        <v>113</v>
      </c>
      <c r="B782" s="32" t="str">
        <f>IF(MOV_CC_NACIONAL!A782="","",MOV_CC_NACIONAL!A782)</f>
        <v/>
      </c>
      <c r="C782" s="32" t="str">
        <f>IF(MOV_CC_NACIONAL!B782="","",MOV_CC_NACIONAL!B782)</f>
        <v/>
      </c>
      <c r="D782" s="33" t="str">
        <f>IF(MOV_CC_NACIONAL!C782="","",MOV_CC_NACIONAL!C782)</f>
        <v/>
      </c>
      <c r="E782" s="32" t="str">
        <f t="shared" si="1"/>
        <v/>
      </c>
      <c r="F782" s="32" t="str">
        <f>IFERROR(__xludf.DUMMYFUNCTION("IF(C782="""","""", OR(REGEXMATCH(LOWER(C782),""cuota""), REGEXMATCH(C782,""\d+\s*/\s*\d+"")))"),"")</f>
        <v/>
      </c>
      <c r="G782" s="32" t="str">
        <f>IFERROR(__xludf.DUMMYFUNCTION("IFERROR(VALUE(REGEXEXTRACT(C782,""(\d+)\s*/\s*\d+"")),"""")"),"")</f>
        <v/>
      </c>
      <c r="H782" s="32" t="str">
        <f>IFERROR(__xludf.DUMMYFUNCTION("IFERROR(VALUE(REGEXEXTRACT(C782,""\d+\s*/\s*(\d+)"")),"""")"),"")</f>
        <v/>
      </c>
      <c r="I782" s="32" t="str">
        <f t="shared" si="2"/>
        <v/>
      </c>
      <c r="J782" s="33" t="str">
        <f t="shared" si="3"/>
        <v/>
      </c>
    </row>
    <row r="783" ht="15.75" customHeight="1">
      <c r="A783" s="22" t="s">
        <v>113</v>
      </c>
      <c r="B783" s="22" t="str">
        <f>IF(MOV_CC_NACIONAL!A783="","",MOV_CC_NACIONAL!A783)</f>
        <v/>
      </c>
      <c r="C783" s="22" t="str">
        <f>IF(MOV_CC_NACIONAL!B783="","",MOV_CC_NACIONAL!B783)</f>
        <v/>
      </c>
      <c r="D783" s="34" t="str">
        <f>IF(MOV_CC_NACIONAL!C783="","",MOV_CC_NACIONAL!C783)</f>
        <v/>
      </c>
      <c r="E783" s="22" t="str">
        <f t="shared" si="1"/>
        <v/>
      </c>
      <c r="F783" s="22" t="str">
        <f>IFERROR(__xludf.DUMMYFUNCTION("IF(C783="""","""", OR(REGEXMATCH(LOWER(C783),""cuota""), REGEXMATCH(C783,""\d+\s*/\s*\d+"")))"),"")</f>
        <v/>
      </c>
      <c r="G783" s="22" t="str">
        <f>IFERROR(__xludf.DUMMYFUNCTION("IFERROR(VALUE(REGEXEXTRACT(C783,""(\d+)\s*/\s*\d+"")),"""")"),"")</f>
        <v/>
      </c>
      <c r="H783" s="22" t="str">
        <f>IFERROR(__xludf.DUMMYFUNCTION("IFERROR(VALUE(REGEXEXTRACT(C783,""\d+\s*/\s*(\d+)"")),"""")"),"")</f>
        <v/>
      </c>
      <c r="I783" s="22" t="str">
        <f t="shared" si="2"/>
        <v/>
      </c>
      <c r="J783" s="34" t="str">
        <f t="shared" si="3"/>
        <v/>
      </c>
    </row>
    <row r="784" ht="15.75" customHeight="1">
      <c r="A784" s="32" t="s">
        <v>113</v>
      </c>
      <c r="B784" s="32" t="str">
        <f>IF(MOV_CC_NACIONAL!A784="","",MOV_CC_NACIONAL!A784)</f>
        <v/>
      </c>
      <c r="C784" s="32" t="str">
        <f>IF(MOV_CC_NACIONAL!B784="","",MOV_CC_NACIONAL!B784)</f>
        <v/>
      </c>
      <c r="D784" s="33" t="str">
        <f>IF(MOV_CC_NACIONAL!C784="","",MOV_CC_NACIONAL!C784)</f>
        <v/>
      </c>
      <c r="E784" s="32" t="str">
        <f t="shared" si="1"/>
        <v/>
      </c>
      <c r="F784" s="32" t="str">
        <f>IFERROR(__xludf.DUMMYFUNCTION("IF(C784="""","""", OR(REGEXMATCH(LOWER(C784),""cuota""), REGEXMATCH(C784,""\d+\s*/\s*\d+"")))"),"")</f>
        <v/>
      </c>
      <c r="G784" s="32" t="str">
        <f>IFERROR(__xludf.DUMMYFUNCTION("IFERROR(VALUE(REGEXEXTRACT(C784,""(\d+)\s*/\s*\d+"")),"""")"),"")</f>
        <v/>
      </c>
      <c r="H784" s="32" t="str">
        <f>IFERROR(__xludf.DUMMYFUNCTION("IFERROR(VALUE(REGEXEXTRACT(C784,""\d+\s*/\s*(\d+)"")),"""")"),"")</f>
        <v/>
      </c>
      <c r="I784" s="32" t="str">
        <f t="shared" si="2"/>
        <v/>
      </c>
      <c r="J784" s="33" t="str">
        <f t="shared" si="3"/>
        <v/>
      </c>
    </row>
    <row r="785" ht="15.75" customHeight="1">
      <c r="A785" s="22" t="s">
        <v>113</v>
      </c>
      <c r="B785" s="22" t="str">
        <f>IF(MOV_CC_NACIONAL!A785="","",MOV_CC_NACIONAL!A785)</f>
        <v/>
      </c>
      <c r="C785" s="22" t="str">
        <f>IF(MOV_CC_NACIONAL!B785="","",MOV_CC_NACIONAL!B785)</f>
        <v/>
      </c>
      <c r="D785" s="34" t="str">
        <f>IF(MOV_CC_NACIONAL!C785="","",MOV_CC_NACIONAL!C785)</f>
        <v/>
      </c>
      <c r="E785" s="22" t="str">
        <f t="shared" si="1"/>
        <v/>
      </c>
      <c r="F785" s="22" t="str">
        <f>IFERROR(__xludf.DUMMYFUNCTION("IF(C785="""","""", OR(REGEXMATCH(LOWER(C785),""cuota""), REGEXMATCH(C785,""\d+\s*/\s*\d+"")))"),"")</f>
        <v/>
      </c>
      <c r="G785" s="22" t="str">
        <f>IFERROR(__xludf.DUMMYFUNCTION("IFERROR(VALUE(REGEXEXTRACT(C785,""(\d+)\s*/\s*\d+"")),"""")"),"")</f>
        <v/>
      </c>
      <c r="H785" s="22" t="str">
        <f>IFERROR(__xludf.DUMMYFUNCTION("IFERROR(VALUE(REGEXEXTRACT(C785,""\d+\s*/\s*(\d+)"")),"""")"),"")</f>
        <v/>
      </c>
      <c r="I785" s="22" t="str">
        <f t="shared" si="2"/>
        <v/>
      </c>
      <c r="J785" s="34" t="str">
        <f t="shared" si="3"/>
        <v/>
      </c>
    </row>
    <row r="786" ht="15.75" customHeight="1">
      <c r="A786" s="32" t="s">
        <v>113</v>
      </c>
      <c r="B786" s="32" t="str">
        <f>IF(MOV_CC_NACIONAL!A786="","",MOV_CC_NACIONAL!A786)</f>
        <v/>
      </c>
      <c r="C786" s="32" t="str">
        <f>IF(MOV_CC_NACIONAL!B786="","",MOV_CC_NACIONAL!B786)</f>
        <v/>
      </c>
      <c r="D786" s="33" t="str">
        <f>IF(MOV_CC_NACIONAL!C786="","",MOV_CC_NACIONAL!C786)</f>
        <v/>
      </c>
      <c r="E786" s="32" t="str">
        <f t="shared" si="1"/>
        <v/>
      </c>
      <c r="F786" s="32" t="str">
        <f>IFERROR(__xludf.DUMMYFUNCTION("IF(C786="""","""", OR(REGEXMATCH(LOWER(C786),""cuota""), REGEXMATCH(C786,""\d+\s*/\s*\d+"")))"),"")</f>
        <v/>
      </c>
      <c r="G786" s="32" t="str">
        <f>IFERROR(__xludf.DUMMYFUNCTION("IFERROR(VALUE(REGEXEXTRACT(C786,""(\d+)\s*/\s*\d+"")),"""")"),"")</f>
        <v/>
      </c>
      <c r="H786" s="32" t="str">
        <f>IFERROR(__xludf.DUMMYFUNCTION("IFERROR(VALUE(REGEXEXTRACT(C786,""\d+\s*/\s*(\d+)"")),"""")"),"")</f>
        <v/>
      </c>
      <c r="I786" s="32" t="str">
        <f t="shared" si="2"/>
        <v/>
      </c>
      <c r="J786" s="33" t="str">
        <f t="shared" si="3"/>
        <v/>
      </c>
    </row>
    <row r="787" ht="15.75" customHeight="1">
      <c r="A787" s="22" t="s">
        <v>113</v>
      </c>
      <c r="B787" s="22" t="str">
        <f>IF(MOV_CC_NACIONAL!A787="","",MOV_CC_NACIONAL!A787)</f>
        <v/>
      </c>
      <c r="C787" s="22" t="str">
        <f>IF(MOV_CC_NACIONAL!B787="","",MOV_CC_NACIONAL!B787)</f>
        <v/>
      </c>
      <c r="D787" s="34" t="str">
        <f>IF(MOV_CC_NACIONAL!C787="","",MOV_CC_NACIONAL!C787)</f>
        <v/>
      </c>
      <c r="E787" s="22" t="str">
        <f t="shared" si="1"/>
        <v/>
      </c>
      <c r="F787" s="22" t="str">
        <f>IFERROR(__xludf.DUMMYFUNCTION("IF(C787="""","""", OR(REGEXMATCH(LOWER(C787),""cuota""), REGEXMATCH(C787,""\d+\s*/\s*\d+"")))"),"")</f>
        <v/>
      </c>
      <c r="G787" s="22" t="str">
        <f>IFERROR(__xludf.DUMMYFUNCTION("IFERROR(VALUE(REGEXEXTRACT(C787,""(\d+)\s*/\s*\d+"")),"""")"),"")</f>
        <v/>
      </c>
      <c r="H787" s="22" t="str">
        <f>IFERROR(__xludf.DUMMYFUNCTION("IFERROR(VALUE(REGEXEXTRACT(C787,""\d+\s*/\s*(\d+)"")),"""")"),"")</f>
        <v/>
      </c>
      <c r="I787" s="22" t="str">
        <f t="shared" si="2"/>
        <v/>
      </c>
      <c r="J787" s="34" t="str">
        <f t="shared" si="3"/>
        <v/>
      </c>
    </row>
    <row r="788" ht="15.75" customHeight="1">
      <c r="A788" s="32" t="s">
        <v>113</v>
      </c>
      <c r="B788" s="32" t="str">
        <f>IF(MOV_CC_NACIONAL!A788="","",MOV_CC_NACIONAL!A788)</f>
        <v/>
      </c>
      <c r="C788" s="32" t="str">
        <f>IF(MOV_CC_NACIONAL!B788="","",MOV_CC_NACIONAL!B788)</f>
        <v/>
      </c>
      <c r="D788" s="33" t="str">
        <f>IF(MOV_CC_NACIONAL!C788="","",MOV_CC_NACIONAL!C788)</f>
        <v/>
      </c>
      <c r="E788" s="32" t="str">
        <f t="shared" si="1"/>
        <v/>
      </c>
      <c r="F788" s="32" t="str">
        <f>IFERROR(__xludf.DUMMYFUNCTION("IF(C788="""","""", OR(REGEXMATCH(LOWER(C788),""cuota""), REGEXMATCH(C788,""\d+\s*/\s*\d+"")))"),"")</f>
        <v/>
      </c>
      <c r="G788" s="32" t="str">
        <f>IFERROR(__xludf.DUMMYFUNCTION("IFERROR(VALUE(REGEXEXTRACT(C788,""(\d+)\s*/\s*\d+"")),"""")"),"")</f>
        <v/>
      </c>
      <c r="H788" s="32" t="str">
        <f>IFERROR(__xludf.DUMMYFUNCTION("IFERROR(VALUE(REGEXEXTRACT(C788,""\d+\s*/\s*(\d+)"")),"""")"),"")</f>
        <v/>
      </c>
      <c r="I788" s="32" t="str">
        <f t="shared" si="2"/>
        <v/>
      </c>
      <c r="J788" s="33" t="str">
        <f t="shared" si="3"/>
        <v/>
      </c>
    </row>
    <row r="789" ht="15.75" customHeight="1">
      <c r="A789" s="22" t="s">
        <v>113</v>
      </c>
      <c r="B789" s="22" t="str">
        <f>IF(MOV_CC_NACIONAL!A789="","",MOV_CC_NACIONAL!A789)</f>
        <v/>
      </c>
      <c r="C789" s="22" t="str">
        <f>IF(MOV_CC_NACIONAL!B789="","",MOV_CC_NACIONAL!B789)</f>
        <v/>
      </c>
      <c r="D789" s="34" t="str">
        <f>IF(MOV_CC_NACIONAL!C789="","",MOV_CC_NACIONAL!C789)</f>
        <v/>
      </c>
      <c r="E789" s="22" t="str">
        <f t="shared" si="1"/>
        <v/>
      </c>
      <c r="F789" s="22" t="str">
        <f>IFERROR(__xludf.DUMMYFUNCTION("IF(C789="""","""", OR(REGEXMATCH(LOWER(C789),""cuota""), REGEXMATCH(C789,""\d+\s*/\s*\d+"")))"),"")</f>
        <v/>
      </c>
      <c r="G789" s="22" t="str">
        <f>IFERROR(__xludf.DUMMYFUNCTION("IFERROR(VALUE(REGEXEXTRACT(C789,""(\d+)\s*/\s*\d+"")),"""")"),"")</f>
        <v/>
      </c>
      <c r="H789" s="22" t="str">
        <f>IFERROR(__xludf.DUMMYFUNCTION("IFERROR(VALUE(REGEXEXTRACT(C789,""\d+\s*/\s*(\d+)"")),"""")"),"")</f>
        <v/>
      </c>
      <c r="I789" s="22" t="str">
        <f t="shared" si="2"/>
        <v/>
      </c>
      <c r="J789" s="34" t="str">
        <f t="shared" si="3"/>
        <v/>
      </c>
    </row>
    <row r="790" ht="15.75" customHeight="1">
      <c r="A790" s="32" t="s">
        <v>113</v>
      </c>
      <c r="B790" s="32" t="str">
        <f>IF(MOV_CC_NACIONAL!A790="","",MOV_CC_NACIONAL!A790)</f>
        <v/>
      </c>
      <c r="C790" s="32" t="str">
        <f>IF(MOV_CC_NACIONAL!B790="","",MOV_CC_NACIONAL!B790)</f>
        <v/>
      </c>
      <c r="D790" s="33" t="str">
        <f>IF(MOV_CC_NACIONAL!C790="","",MOV_CC_NACIONAL!C790)</f>
        <v/>
      </c>
      <c r="E790" s="32" t="str">
        <f t="shared" si="1"/>
        <v/>
      </c>
      <c r="F790" s="32" t="str">
        <f>IFERROR(__xludf.DUMMYFUNCTION("IF(C790="""","""", OR(REGEXMATCH(LOWER(C790),""cuota""), REGEXMATCH(C790,""\d+\s*/\s*\d+"")))"),"")</f>
        <v/>
      </c>
      <c r="G790" s="32" t="str">
        <f>IFERROR(__xludf.DUMMYFUNCTION("IFERROR(VALUE(REGEXEXTRACT(C790,""(\d+)\s*/\s*\d+"")),"""")"),"")</f>
        <v/>
      </c>
      <c r="H790" s="32" t="str">
        <f>IFERROR(__xludf.DUMMYFUNCTION("IFERROR(VALUE(REGEXEXTRACT(C790,""\d+\s*/\s*(\d+)"")),"""")"),"")</f>
        <v/>
      </c>
      <c r="I790" s="32" t="str">
        <f t="shared" si="2"/>
        <v/>
      </c>
      <c r="J790" s="33" t="str">
        <f t="shared" si="3"/>
        <v/>
      </c>
    </row>
    <row r="791" ht="15.75" customHeight="1">
      <c r="A791" s="22" t="s">
        <v>113</v>
      </c>
      <c r="B791" s="22" t="str">
        <f>IF(MOV_CC_NACIONAL!A791="","",MOV_CC_NACIONAL!A791)</f>
        <v/>
      </c>
      <c r="C791" s="22" t="str">
        <f>IF(MOV_CC_NACIONAL!B791="","",MOV_CC_NACIONAL!B791)</f>
        <v/>
      </c>
      <c r="D791" s="34" t="str">
        <f>IF(MOV_CC_NACIONAL!C791="","",MOV_CC_NACIONAL!C791)</f>
        <v/>
      </c>
      <c r="E791" s="22" t="str">
        <f t="shared" si="1"/>
        <v/>
      </c>
      <c r="F791" s="22" t="str">
        <f>IFERROR(__xludf.DUMMYFUNCTION("IF(C791="""","""", OR(REGEXMATCH(LOWER(C791),""cuota""), REGEXMATCH(C791,""\d+\s*/\s*\d+"")))"),"")</f>
        <v/>
      </c>
      <c r="G791" s="22" t="str">
        <f>IFERROR(__xludf.DUMMYFUNCTION("IFERROR(VALUE(REGEXEXTRACT(C791,""(\d+)\s*/\s*\d+"")),"""")"),"")</f>
        <v/>
      </c>
      <c r="H791" s="22" t="str">
        <f>IFERROR(__xludf.DUMMYFUNCTION("IFERROR(VALUE(REGEXEXTRACT(C791,""\d+\s*/\s*(\d+)"")),"""")"),"")</f>
        <v/>
      </c>
      <c r="I791" s="22" t="str">
        <f t="shared" si="2"/>
        <v/>
      </c>
      <c r="J791" s="34" t="str">
        <f t="shared" si="3"/>
        <v/>
      </c>
    </row>
    <row r="792" ht="15.75" customHeight="1">
      <c r="A792" s="32" t="s">
        <v>113</v>
      </c>
      <c r="B792" s="32" t="str">
        <f>IF(MOV_CC_NACIONAL!A792="","",MOV_CC_NACIONAL!A792)</f>
        <v/>
      </c>
      <c r="C792" s="32" t="str">
        <f>IF(MOV_CC_NACIONAL!B792="","",MOV_CC_NACIONAL!B792)</f>
        <v/>
      </c>
      <c r="D792" s="33" t="str">
        <f>IF(MOV_CC_NACIONAL!C792="","",MOV_CC_NACIONAL!C792)</f>
        <v/>
      </c>
      <c r="E792" s="32" t="str">
        <f t="shared" si="1"/>
        <v/>
      </c>
      <c r="F792" s="32" t="str">
        <f>IFERROR(__xludf.DUMMYFUNCTION("IF(C792="""","""", OR(REGEXMATCH(LOWER(C792),""cuota""), REGEXMATCH(C792,""\d+\s*/\s*\d+"")))"),"")</f>
        <v/>
      </c>
      <c r="G792" s="32" t="str">
        <f>IFERROR(__xludf.DUMMYFUNCTION("IFERROR(VALUE(REGEXEXTRACT(C792,""(\d+)\s*/\s*\d+"")),"""")"),"")</f>
        <v/>
      </c>
      <c r="H792" s="32" t="str">
        <f>IFERROR(__xludf.DUMMYFUNCTION("IFERROR(VALUE(REGEXEXTRACT(C792,""\d+\s*/\s*(\d+)"")),"""")"),"")</f>
        <v/>
      </c>
      <c r="I792" s="32" t="str">
        <f t="shared" si="2"/>
        <v/>
      </c>
      <c r="J792" s="33" t="str">
        <f t="shared" si="3"/>
        <v/>
      </c>
    </row>
    <row r="793" ht="15.75" customHeight="1">
      <c r="A793" s="22" t="s">
        <v>113</v>
      </c>
      <c r="B793" s="22" t="str">
        <f>IF(MOV_CC_NACIONAL!A793="","",MOV_CC_NACIONAL!A793)</f>
        <v/>
      </c>
      <c r="C793" s="22" t="str">
        <f>IF(MOV_CC_NACIONAL!B793="","",MOV_CC_NACIONAL!B793)</f>
        <v/>
      </c>
      <c r="D793" s="34" t="str">
        <f>IF(MOV_CC_NACIONAL!C793="","",MOV_CC_NACIONAL!C793)</f>
        <v/>
      </c>
      <c r="E793" s="22" t="str">
        <f t="shared" si="1"/>
        <v/>
      </c>
      <c r="F793" s="22" t="str">
        <f>IFERROR(__xludf.DUMMYFUNCTION("IF(C793="""","""", OR(REGEXMATCH(LOWER(C793),""cuota""), REGEXMATCH(C793,""\d+\s*/\s*\d+"")))"),"")</f>
        <v/>
      </c>
      <c r="G793" s="22" t="str">
        <f>IFERROR(__xludf.DUMMYFUNCTION("IFERROR(VALUE(REGEXEXTRACT(C793,""(\d+)\s*/\s*\d+"")),"""")"),"")</f>
        <v/>
      </c>
      <c r="H793" s="22" t="str">
        <f>IFERROR(__xludf.DUMMYFUNCTION("IFERROR(VALUE(REGEXEXTRACT(C793,""\d+\s*/\s*(\d+)"")),"""")"),"")</f>
        <v/>
      </c>
      <c r="I793" s="22" t="str">
        <f t="shared" si="2"/>
        <v/>
      </c>
      <c r="J793" s="34" t="str">
        <f t="shared" si="3"/>
        <v/>
      </c>
    </row>
    <row r="794" ht="15.75" customHeight="1">
      <c r="A794" s="32" t="s">
        <v>113</v>
      </c>
      <c r="B794" s="32" t="str">
        <f>IF(MOV_CC_NACIONAL!A794="","",MOV_CC_NACIONAL!A794)</f>
        <v/>
      </c>
      <c r="C794" s="32" t="str">
        <f>IF(MOV_CC_NACIONAL!B794="","",MOV_CC_NACIONAL!B794)</f>
        <v/>
      </c>
      <c r="D794" s="33" t="str">
        <f>IF(MOV_CC_NACIONAL!C794="","",MOV_CC_NACIONAL!C794)</f>
        <v/>
      </c>
      <c r="E794" s="32" t="str">
        <f t="shared" si="1"/>
        <v/>
      </c>
      <c r="F794" s="32" t="str">
        <f>IFERROR(__xludf.DUMMYFUNCTION("IF(C794="""","""", OR(REGEXMATCH(LOWER(C794),""cuota""), REGEXMATCH(C794,""\d+\s*/\s*\d+"")))"),"")</f>
        <v/>
      </c>
      <c r="G794" s="32" t="str">
        <f>IFERROR(__xludf.DUMMYFUNCTION("IFERROR(VALUE(REGEXEXTRACT(C794,""(\d+)\s*/\s*\d+"")),"""")"),"")</f>
        <v/>
      </c>
      <c r="H794" s="32" t="str">
        <f>IFERROR(__xludf.DUMMYFUNCTION("IFERROR(VALUE(REGEXEXTRACT(C794,""\d+\s*/\s*(\d+)"")),"""")"),"")</f>
        <v/>
      </c>
      <c r="I794" s="32" t="str">
        <f t="shared" si="2"/>
        <v/>
      </c>
      <c r="J794" s="33" t="str">
        <f t="shared" si="3"/>
        <v/>
      </c>
    </row>
    <row r="795" ht="15.75" customHeight="1">
      <c r="A795" s="22" t="s">
        <v>113</v>
      </c>
      <c r="B795" s="22" t="str">
        <f>IF(MOV_CC_NACIONAL!A795="","",MOV_CC_NACIONAL!A795)</f>
        <v/>
      </c>
      <c r="C795" s="22" t="str">
        <f>IF(MOV_CC_NACIONAL!B795="","",MOV_CC_NACIONAL!B795)</f>
        <v/>
      </c>
      <c r="D795" s="34" t="str">
        <f>IF(MOV_CC_NACIONAL!C795="","",MOV_CC_NACIONAL!C795)</f>
        <v/>
      </c>
      <c r="E795" s="22" t="str">
        <f t="shared" si="1"/>
        <v/>
      </c>
      <c r="F795" s="22" t="str">
        <f>IFERROR(__xludf.DUMMYFUNCTION("IF(C795="""","""", OR(REGEXMATCH(LOWER(C795),""cuota""), REGEXMATCH(C795,""\d+\s*/\s*\d+"")))"),"")</f>
        <v/>
      </c>
      <c r="G795" s="22" t="str">
        <f>IFERROR(__xludf.DUMMYFUNCTION("IFERROR(VALUE(REGEXEXTRACT(C795,""(\d+)\s*/\s*\d+"")),"""")"),"")</f>
        <v/>
      </c>
      <c r="H795" s="22" t="str">
        <f>IFERROR(__xludf.DUMMYFUNCTION("IFERROR(VALUE(REGEXEXTRACT(C795,""\d+\s*/\s*(\d+)"")),"""")"),"")</f>
        <v/>
      </c>
      <c r="I795" s="22" t="str">
        <f t="shared" si="2"/>
        <v/>
      </c>
      <c r="J795" s="34" t="str">
        <f t="shared" si="3"/>
        <v/>
      </c>
    </row>
    <row r="796" ht="15.75" customHeight="1">
      <c r="A796" s="32" t="s">
        <v>113</v>
      </c>
      <c r="B796" s="32" t="str">
        <f>IF(MOV_CC_NACIONAL!A796="","",MOV_CC_NACIONAL!A796)</f>
        <v/>
      </c>
      <c r="C796" s="32" t="str">
        <f>IF(MOV_CC_NACIONAL!B796="","",MOV_CC_NACIONAL!B796)</f>
        <v/>
      </c>
      <c r="D796" s="33" t="str">
        <f>IF(MOV_CC_NACIONAL!C796="","",MOV_CC_NACIONAL!C796)</f>
        <v/>
      </c>
      <c r="E796" s="32" t="str">
        <f t="shared" si="1"/>
        <v/>
      </c>
      <c r="F796" s="32" t="str">
        <f>IFERROR(__xludf.DUMMYFUNCTION("IF(C796="""","""", OR(REGEXMATCH(LOWER(C796),""cuota""), REGEXMATCH(C796,""\d+\s*/\s*\d+"")))"),"")</f>
        <v/>
      </c>
      <c r="G796" s="32" t="str">
        <f>IFERROR(__xludf.DUMMYFUNCTION("IFERROR(VALUE(REGEXEXTRACT(C796,""(\d+)\s*/\s*\d+"")),"""")"),"")</f>
        <v/>
      </c>
      <c r="H796" s="32" t="str">
        <f>IFERROR(__xludf.DUMMYFUNCTION("IFERROR(VALUE(REGEXEXTRACT(C796,""\d+\s*/\s*(\d+)"")),"""")"),"")</f>
        <v/>
      </c>
      <c r="I796" s="32" t="str">
        <f t="shared" si="2"/>
        <v/>
      </c>
      <c r="J796" s="33" t="str">
        <f t="shared" si="3"/>
        <v/>
      </c>
    </row>
    <row r="797" ht="15.75" customHeight="1">
      <c r="A797" s="22" t="s">
        <v>113</v>
      </c>
      <c r="B797" s="22" t="str">
        <f>IF(MOV_CC_NACIONAL!A797="","",MOV_CC_NACIONAL!A797)</f>
        <v/>
      </c>
      <c r="C797" s="22" t="str">
        <f>IF(MOV_CC_NACIONAL!B797="","",MOV_CC_NACIONAL!B797)</f>
        <v/>
      </c>
      <c r="D797" s="34" t="str">
        <f>IF(MOV_CC_NACIONAL!C797="","",MOV_CC_NACIONAL!C797)</f>
        <v/>
      </c>
      <c r="E797" s="22" t="str">
        <f t="shared" si="1"/>
        <v/>
      </c>
      <c r="F797" s="22" t="str">
        <f>IFERROR(__xludf.DUMMYFUNCTION("IF(C797="""","""", OR(REGEXMATCH(LOWER(C797),""cuota""), REGEXMATCH(C797,""\d+\s*/\s*\d+"")))"),"")</f>
        <v/>
      </c>
      <c r="G797" s="22" t="str">
        <f>IFERROR(__xludf.DUMMYFUNCTION("IFERROR(VALUE(REGEXEXTRACT(C797,""(\d+)\s*/\s*\d+"")),"""")"),"")</f>
        <v/>
      </c>
      <c r="H797" s="22" t="str">
        <f>IFERROR(__xludf.DUMMYFUNCTION("IFERROR(VALUE(REGEXEXTRACT(C797,""\d+\s*/\s*(\d+)"")),"""")"),"")</f>
        <v/>
      </c>
      <c r="I797" s="22" t="str">
        <f t="shared" si="2"/>
        <v/>
      </c>
      <c r="J797" s="34" t="str">
        <f t="shared" si="3"/>
        <v/>
      </c>
    </row>
    <row r="798" ht="15.75" customHeight="1">
      <c r="A798" s="32" t="s">
        <v>113</v>
      </c>
      <c r="B798" s="32" t="str">
        <f>IF(MOV_CC_NACIONAL!A798="","",MOV_CC_NACIONAL!A798)</f>
        <v/>
      </c>
      <c r="C798" s="32" t="str">
        <f>IF(MOV_CC_NACIONAL!B798="","",MOV_CC_NACIONAL!B798)</f>
        <v/>
      </c>
      <c r="D798" s="33" t="str">
        <f>IF(MOV_CC_NACIONAL!C798="","",MOV_CC_NACIONAL!C798)</f>
        <v/>
      </c>
      <c r="E798" s="32" t="str">
        <f t="shared" si="1"/>
        <v/>
      </c>
      <c r="F798" s="32" t="str">
        <f>IFERROR(__xludf.DUMMYFUNCTION("IF(C798="""","""", OR(REGEXMATCH(LOWER(C798),""cuota""), REGEXMATCH(C798,""\d+\s*/\s*\d+"")))"),"")</f>
        <v/>
      </c>
      <c r="G798" s="32" t="str">
        <f>IFERROR(__xludf.DUMMYFUNCTION("IFERROR(VALUE(REGEXEXTRACT(C798,""(\d+)\s*/\s*\d+"")),"""")"),"")</f>
        <v/>
      </c>
      <c r="H798" s="32" t="str">
        <f>IFERROR(__xludf.DUMMYFUNCTION("IFERROR(VALUE(REGEXEXTRACT(C798,""\d+\s*/\s*(\d+)"")),"""")"),"")</f>
        <v/>
      </c>
      <c r="I798" s="32" t="str">
        <f t="shared" si="2"/>
        <v/>
      </c>
      <c r="J798" s="33" t="str">
        <f t="shared" si="3"/>
        <v/>
      </c>
    </row>
    <row r="799" ht="15.75" customHeight="1">
      <c r="A799" s="22" t="s">
        <v>113</v>
      </c>
      <c r="B799" s="22" t="str">
        <f>IF(MOV_CC_NACIONAL!A799="","",MOV_CC_NACIONAL!A799)</f>
        <v/>
      </c>
      <c r="C799" s="22" t="str">
        <f>IF(MOV_CC_NACIONAL!B799="","",MOV_CC_NACIONAL!B799)</f>
        <v/>
      </c>
      <c r="D799" s="34" t="str">
        <f>IF(MOV_CC_NACIONAL!C799="","",MOV_CC_NACIONAL!C799)</f>
        <v/>
      </c>
      <c r="E799" s="22" t="str">
        <f t="shared" si="1"/>
        <v/>
      </c>
      <c r="F799" s="22" t="str">
        <f>IFERROR(__xludf.DUMMYFUNCTION("IF(C799="""","""", OR(REGEXMATCH(LOWER(C799),""cuota""), REGEXMATCH(C799,""\d+\s*/\s*\d+"")))"),"")</f>
        <v/>
      </c>
      <c r="G799" s="22" t="str">
        <f>IFERROR(__xludf.DUMMYFUNCTION("IFERROR(VALUE(REGEXEXTRACT(C799,""(\d+)\s*/\s*\d+"")),"""")"),"")</f>
        <v/>
      </c>
      <c r="H799" s="22" t="str">
        <f>IFERROR(__xludf.DUMMYFUNCTION("IFERROR(VALUE(REGEXEXTRACT(C799,""\d+\s*/\s*(\d+)"")),"""")"),"")</f>
        <v/>
      </c>
      <c r="I799" s="22" t="str">
        <f t="shared" si="2"/>
        <v/>
      </c>
      <c r="J799" s="34" t="str">
        <f t="shared" si="3"/>
        <v/>
      </c>
    </row>
    <row r="800" ht="15.75" customHeight="1">
      <c r="A800" s="32" t="s">
        <v>113</v>
      </c>
      <c r="B800" s="32" t="str">
        <f>IF(MOV_CC_NACIONAL!A800="","",MOV_CC_NACIONAL!A800)</f>
        <v/>
      </c>
      <c r="C800" s="32" t="str">
        <f>IF(MOV_CC_NACIONAL!B800="","",MOV_CC_NACIONAL!B800)</f>
        <v/>
      </c>
      <c r="D800" s="33" t="str">
        <f>IF(MOV_CC_NACIONAL!C800="","",MOV_CC_NACIONAL!C800)</f>
        <v/>
      </c>
      <c r="E800" s="32" t="str">
        <f t="shared" si="1"/>
        <v/>
      </c>
      <c r="F800" s="32" t="str">
        <f>IFERROR(__xludf.DUMMYFUNCTION("IF(C800="""","""", OR(REGEXMATCH(LOWER(C800),""cuota""), REGEXMATCH(C800,""\d+\s*/\s*\d+"")))"),"")</f>
        <v/>
      </c>
      <c r="G800" s="32" t="str">
        <f>IFERROR(__xludf.DUMMYFUNCTION("IFERROR(VALUE(REGEXEXTRACT(C800,""(\d+)\s*/\s*\d+"")),"""")"),"")</f>
        <v/>
      </c>
      <c r="H800" s="32" t="str">
        <f>IFERROR(__xludf.DUMMYFUNCTION("IFERROR(VALUE(REGEXEXTRACT(C800,""\d+\s*/\s*(\d+)"")),"""")"),"")</f>
        <v/>
      </c>
      <c r="I800" s="32" t="str">
        <f t="shared" si="2"/>
        <v/>
      </c>
      <c r="J800" s="33" t="str">
        <f t="shared" si="3"/>
        <v/>
      </c>
    </row>
    <row r="801" ht="15.75" customHeight="1">
      <c r="A801" s="22" t="s">
        <v>113</v>
      </c>
      <c r="B801" s="22" t="str">
        <f>IF(MOV_CC_NACIONAL!A801="","",MOV_CC_NACIONAL!A801)</f>
        <v/>
      </c>
      <c r="C801" s="22" t="str">
        <f>IF(MOV_CC_NACIONAL!B801="","",MOV_CC_NACIONAL!B801)</f>
        <v/>
      </c>
      <c r="D801" s="34" t="str">
        <f>IF(MOV_CC_NACIONAL!C801="","",MOV_CC_NACIONAL!C801)</f>
        <v/>
      </c>
      <c r="E801" s="22" t="str">
        <f t="shared" si="1"/>
        <v/>
      </c>
      <c r="F801" s="22" t="str">
        <f>IFERROR(__xludf.DUMMYFUNCTION("IF(C801="""","""", OR(REGEXMATCH(LOWER(C801),""cuota""), REGEXMATCH(C801,""\d+\s*/\s*\d+"")))"),"")</f>
        <v/>
      </c>
      <c r="G801" s="22" t="str">
        <f>IFERROR(__xludf.DUMMYFUNCTION("IFERROR(VALUE(REGEXEXTRACT(C801,""(\d+)\s*/\s*\d+"")),"""")"),"")</f>
        <v/>
      </c>
      <c r="H801" s="22" t="str">
        <f>IFERROR(__xludf.DUMMYFUNCTION("IFERROR(VALUE(REGEXEXTRACT(C801,""\d+\s*/\s*(\d+)"")),"""")"),"")</f>
        <v/>
      </c>
      <c r="I801" s="22" t="str">
        <f t="shared" si="2"/>
        <v/>
      </c>
      <c r="J801" s="34" t="str">
        <f t="shared" si="3"/>
        <v/>
      </c>
    </row>
    <row r="802" ht="15.75" customHeight="1">
      <c r="A802" s="32" t="s">
        <v>113</v>
      </c>
      <c r="B802" s="32" t="str">
        <f>IF(MOV_CC_NACIONAL!A802="","",MOV_CC_NACIONAL!A802)</f>
        <v/>
      </c>
      <c r="C802" s="32" t="str">
        <f>IF(MOV_CC_NACIONAL!B802="","",MOV_CC_NACIONAL!B802)</f>
        <v/>
      </c>
      <c r="D802" s="33" t="str">
        <f>IF(MOV_CC_NACIONAL!C802="","",MOV_CC_NACIONAL!C802)</f>
        <v/>
      </c>
      <c r="E802" s="32" t="str">
        <f t="shared" si="1"/>
        <v/>
      </c>
      <c r="F802" s="32" t="str">
        <f>IFERROR(__xludf.DUMMYFUNCTION("IF(C802="""","""", OR(REGEXMATCH(LOWER(C802),""cuota""), REGEXMATCH(C802,""\d+\s*/\s*\d+"")))"),"")</f>
        <v/>
      </c>
      <c r="G802" s="32" t="str">
        <f>IFERROR(__xludf.DUMMYFUNCTION("IFERROR(VALUE(REGEXEXTRACT(C802,""(\d+)\s*/\s*\d+"")),"""")"),"")</f>
        <v/>
      </c>
      <c r="H802" s="32" t="str">
        <f>IFERROR(__xludf.DUMMYFUNCTION("IFERROR(VALUE(REGEXEXTRACT(C802,""\d+\s*/\s*(\d+)"")),"""")"),"")</f>
        <v/>
      </c>
      <c r="I802" s="32" t="str">
        <f t="shared" si="2"/>
        <v/>
      </c>
      <c r="J802" s="33" t="str">
        <f t="shared" si="3"/>
        <v/>
      </c>
    </row>
    <row r="803" ht="15.75" customHeight="1">
      <c r="A803" s="22" t="s">
        <v>113</v>
      </c>
      <c r="B803" s="22" t="str">
        <f>IF(MOV_CC_NACIONAL!A803="","",MOV_CC_NACIONAL!A803)</f>
        <v/>
      </c>
      <c r="C803" s="22" t="str">
        <f>IF(MOV_CC_NACIONAL!B803="","",MOV_CC_NACIONAL!B803)</f>
        <v/>
      </c>
      <c r="D803" s="34" t="str">
        <f>IF(MOV_CC_NACIONAL!C803="","",MOV_CC_NACIONAL!C803)</f>
        <v/>
      </c>
      <c r="E803" s="22" t="str">
        <f t="shared" si="1"/>
        <v/>
      </c>
      <c r="F803" s="22" t="str">
        <f>IFERROR(__xludf.DUMMYFUNCTION("IF(C803="""","""", OR(REGEXMATCH(LOWER(C803),""cuota""), REGEXMATCH(C803,""\d+\s*/\s*\d+"")))"),"")</f>
        <v/>
      </c>
      <c r="G803" s="22" t="str">
        <f>IFERROR(__xludf.DUMMYFUNCTION("IFERROR(VALUE(REGEXEXTRACT(C803,""(\d+)\s*/\s*\d+"")),"""")"),"")</f>
        <v/>
      </c>
      <c r="H803" s="22" t="str">
        <f>IFERROR(__xludf.DUMMYFUNCTION("IFERROR(VALUE(REGEXEXTRACT(C803,""\d+\s*/\s*(\d+)"")),"""")"),"")</f>
        <v/>
      </c>
      <c r="I803" s="22" t="str">
        <f t="shared" si="2"/>
        <v/>
      </c>
      <c r="J803" s="34" t="str">
        <f t="shared" si="3"/>
        <v/>
      </c>
    </row>
    <row r="804" ht="15.75" customHeight="1">
      <c r="A804" s="32" t="s">
        <v>113</v>
      </c>
      <c r="B804" s="32" t="str">
        <f>IF(MOV_CC_NACIONAL!A804="","",MOV_CC_NACIONAL!A804)</f>
        <v/>
      </c>
      <c r="C804" s="32" t="str">
        <f>IF(MOV_CC_NACIONAL!B804="","",MOV_CC_NACIONAL!B804)</f>
        <v/>
      </c>
      <c r="D804" s="33" t="str">
        <f>IF(MOV_CC_NACIONAL!C804="","",MOV_CC_NACIONAL!C804)</f>
        <v/>
      </c>
      <c r="E804" s="32" t="str">
        <f t="shared" si="1"/>
        <v/>
      </c>
      <c r="F804" s="32" t="str">
        <f>IFERROR(__xludf.DUMMYFUNCTION("IF(C804="""","""", OR(REGEXMATCH(LOWER(C804),""cuota""), REGEXMATCH(C804,""\d+\s*/\s*\d+"")))"),"")</f>
        <v/>
      </c>
      <c r="G804" s="32" t="str">
        <f>IFERROR(__xludf.DUMMYFUNCTION("IFERROR(VALUE(REGEXEXTRACT(C804,""(\d+)\s*/\s*\d+"")),"""")"),"")</f>
        <v/>
      </c>
      <c r="H804" s="32" t="str">
        <f>IFERROR(__xludf.DUMMYFUNCTION("IFERROR(VALUE(REGEXEXTRACT(C804,""\d+\s*/\s*(\d+)"")),"""")"),"")</f>
        <v/>
      </c>
      <c r="I804" s="32" t="str">
        <f t="shared" si="2"/>
        <v/>
      </c>
      <c r="J804" s="33" t="str">
        <f t="shared" si="3"/>
        <v/>
      </c>
    </row>
    <row r="805" ht="15.75" customHeight="1">
      <c r="A805" s="22" t="s">
        <v>113</v>
      </c>
      <c r="B805" s="22" t="str">
        <f>IF(MOV_CC_NACIONAL!A805="","",MOV_CC_NACIONAL!A805)</f>
        <v/>
      </c>
      <c r="C805" s="22" t="str">
        <f>IF(MOV_CC_NACIONAL!B805="","",MOV_CC_NACIONAL!B805)</f>
        <v/>
      </c>
      <c r="D805" s="34" t="str">
        <f>IF(MOV_CC_NACIONAL!C805="","",MOV_CC_NACIONAL!C805)</f>
        <v/>
      </c>
      <c r="E805" s="22" t="str">
        <f t="shared" si="1"/>
        <v/>
      </c>
      <c r="F805" s="22" t="str">
        <f>IFERROR(__xludf.DUMMYFUNCTION("IF(C805="""","""", OR(REGEXMATCH(LOWER(C805),""cuota""), REGEXMATCH(C805,""\d+\s*/\s*\d+"")))"),"")</f>
        <v/>
      </c>
      <c r="G805" s="22" t="str">
        <f>IFERROR(__xludf.DUMMYFUNCTION("IFERROR(VALUE(REGEXEXTRACT(C805,""(\d+)\s*/\s*\d+"")),"""")"),"")</f>
        <v/>
      </c>
      <c r="H805" s="22" t="str">
        <f>IFERROR(__xludf.DUMMYFUNCTION("IFERROR(VALUE(REGEXEXTRACT(C805,""\d+\s*/\s*(\d+)"")),"""")"),"")</f>
        <v/>
      </c>
      <c r="I805" s="22" t="str">
        <f t="shared" si="2"/>
        <v/>
      </c>
      <c r="J805" s="34" t="str">
        <f t="shared" si="3"/>
        <v/>
      </c>
    </row>
    <row r="806" ht="15.75" customHeight="1">
      <c r="A806" s="32" t="s">
        <v>113</v>
      </c>
      <c r="B806" s="32" t="str">
        <f>IF(MOV_CC_NACIONAL!A806="","",MOV_CC_NACIONAL!A806)</f>
        <v/>
      </c>
      <c r="C806" s="32" t="str">
        <f>IF(MOV_CC_NACIONAL!B806="","",MOV_CC_NACIONAL!B806)</f>
        <v/>
      </c>
      <c r="D806" s="33" t="str">
        <f>IF(MOV_CC_NACIONAL!C806="","",MOV_CC_NACIONAL!C806)</f>
        <v/>
      </c>
      <c r="E806" s="32" t="str">
        <f t="shared" si="1"/>
        <v/>
      </c>
      <c r="F806" s="32" t="str">
        <f>IFERROR(__xludf.DUMMYFUNCTION("IF(C806="""","""", OR(REGEXMATCH(LOWER(C806),""cuota""), REGEXMATCH(C806,""\d+\s*/\s*\d+"")))"),"")</f>
        <v/>
      </c>
      <c r="G806" s="32" t="str">
        <f>IFERROR(__xludf.DUMMYFUNCTION("IFERROR(VALUE(REGEXEXTRACT(C806,""(\d+)\s*/\s*\d+"")),"""")"),"")</f>
        <v/>
      </c>
      <c r="H806" s="32" t="str">
        <f>IFERROR(__xludf.DUMMYFUNCTION("IFERROR(VALUE(REGEXEXTRACT(C806,""\d+\s*/\s*(\d+)"")),"""")"),"")</f>
        <v/>
      </c>
      <c r="I806" s="32" t="str">
        <f t="shared" si="2"/>
        <v/>
      </c>
      <c r="J806" s="33" t="str">
        <f t="shared" si="3"/>
        <v/>
      </c>
    </row>
    <row r="807" ht="15.75" customHeight="1">
      <c r="A807" s="22" t="s">
        <v>113</v>
      </c>
      <c r="B807" s="22" t="str">
        <f>IF(MOV_CC_NACIONAL!A807="","",MOV_CC_NACIONAL!A807)</f>
        <v/>
      </c>
      <c r="C807" s="22" t="str">
        <f>IF(MOV_CC_NACIONAL!B807="","",MOV_CC_NACIONAL!B807)</f>
        <v/>
      </c>
      <c r="D807" s="34" t="str">
        <f>IF(MOV_CC_NACIONAL!C807="","",MOV_CC_NACIONAL!C807)</f>
        <v/>
      </c>
      <c r="E807" s="22" t="str">
        <f t="shared" si="1"/>
        <v/>
      </c>
      <c r="F807" s="22" t="str">
        <f>IFERROR(__xludf.DUMMYFUNCTION("IF(C807="""","""", OR(REGEXMATCH(LOWER(C807),""cuota""), REGEXMATCH(C807,""\d+\s*/\s*\d+"")))"),"")</f>
        <v/>
      </c>
      <c r="G807" s="22" t="str">
        <f>IFERROR(__xludf.DUMMYFUNCTION("IFERROR(VALUE(REGEXEXTRACT(C807,""(\d+)\s*/\s*\d+"")),"""")"),"")</f>
        <v/>
      </c>
      <c r="H807" s="22" t="str">
        <f>IFERROR(__xludf.DUMMYFUNCTION("IFERROR(VALUE(REGEXEXTRACT(C807,""\d+\s*/\s*(\d+)"")),"""")"),"")</f>
        <v/>
      </c>
      <c r="I807" s="22" t="str">
        <f t="shared" si="2"/>
        <v/>
      </c>
      <c r="J807" s="34" t="str">
        <f t="shared" si="3"/>
        <v/>
      </c>
    </row>
    <row r="808" ht="15.75" customHeight="1">
      <c r="A808" s="32" t="s">
        <v>113</v>
      </c>
      <c r="B808" s="32" t="str">
        <f>IF(MOV_CC_NACIONAL!A808="","",MOV_CC_NACIONAL!A808)</f>
        <v/>
      </c>
      <c r="C808" s="32" t="str">
        <f>IF(MOV_CC_NACIONAL!B808="","",MOV_CC_NACIONAL!B808)</f>
        <v/>
      </c>
      <c r="D808" s="33" t="str">
        <f>IF(MOV_CC_NACIONAL!C808="","",MOV_CC_NACIONAL!C808)</f>
        <v/>
      </c>
      <c r="E808" s="32" t="str">
        <f t="shared" si="1"/>
        <v/>
      </c>
      <c r="F808" s="32" t="str">
        <f>IFERROR(__xludf.DUMMYFUNCTION("IF(C808="""","""", OR(REGEXMATCH(LOWER(C808),""cuota""), REGEXMATCH(C808,""\d+\s*/\s*\d+"")))"),"")</f>
        <v/>
      </c>
      <c r="G808" s="32" t="str">
        <f>IFERROR(__xludf.DUMMYFUNCTION("IFERROR(VALUE(REGEXEXTRACT(C808,""(\d+)\s*/\s*\d+"")),"""")"),"")</f>
        <v/>
      </c>
      <c r="H808" s="32" t="str">
        <f>IFERROR(__xludf.DUMMYFUNCTION("IFERROR(VALUE(REGEXEXTRACT(C808,""\d+\s*/\s*(\d+)"")),"""")"),"")</f>
        <v/>
      </c>
      <c r="I808" s="32" t="str">
        <f t="shared" si="2"/>
        <v/>
      </c>
      <c r="J808" s="33" t="str">
        <f t="shared" si="3"/>
        <v/>
      </c>
    </row>
    <row r="809" ht="15.75" customHeight="1">
      <c r="A809" s="22" t="s">
        <v>113</v>
      </c>
      <c r="B809" s="22" t="str">
        <f>IF(MOV_CC_NACIONAL!A809="","",MOV_CC_NACIONAL!A809)</f>
        <v/>
      </c>
      <c r="C809" s="22" t="str">
        <f>IF(MOV_CC_NACIONAL!B809="","",MOV_CC_NACIONAL!B809)</f>
        <v/>
      </c>
      <c r="D809" s="34" t="str">
        <f>IF(MOV_CC_NACIONAL!C809="","",MOV_CC_NACIONAL!C809)</f>
        <v/>
      </c>
      <c r="E809" s="22" t="str">
        <f t="shared" si="1"/>
        <v/>
      </c>
      <c r="F809" s="22" t="str">
        <f>IFERROR(__xludf.DUMMYFUNCTION("IF(C809="""","""", OR(REGEXMATCH(LOWER(C809),""cuota""), REGEXMATCH(C809,""\d+\s*/\s*\d+"")))"),"")</f>
        <v/>
      </c>
      <c r="G809" s="22" t="str">
        <f>IFERROR(__xludf.DUMMYFUNCTION("IFERROR(VALUE(REGEXEXTRACT(C809,""(\d+)\s*/\s*\d+"")),"""")"),"")</f>
        <v/>
      </c>
      <c r="H809" s="22" t="str">
        <f>IFERROR(__xludf.DUMMYFUNCTION("IFERROR(VALUE(REGEXEXTRACT(C809,""\d+\s*/\s*(\d+)"")),"""")"),"")</f>
        <v/>
      </c>
      <c r="I809" s="22" t="str">
        <f t="shared" si="2"/>
        <v/>
      </c>
      <c r="J809" s="34" t="str">
        <f t="shared" si="3"/>
        <v/>
      </c>
    </row>
    <row r="810" ht="15.75" customHeight="1">
      <c r="A810" s="32" t="s">
        <v>113</v>
      </c>
      <c r="B810" s="32" t="str">
        <f>IF(MOV_CC_NACIONAL!A810="","",MOV_CC_NACIONAL!A810)</f>
        <v/>
      </c>
      <c r="C810" s="32" t="str">
        <f>IF(MOV_CC_NACIONAL!B810="","",MOV_CC_NACIONAL!B810)</f>
        <v/>
      </c>
      <c r="D810" s="33" t="str">
        <f>IF(MOV_CC_NACIONAL!C810="","",MOV_CC_NACIONAL!C810)</f>
        <v/>
      </c>
      <c r="E810" s="32" t="str">
        <f t="shared" si="1"/>
        <v/>
      </c>
      <c r="F810" s="32" t="str">
        <f>IFERROR(__xludf.DUMMYFUNCTION("IF(C810="""","""", OR(REGEXMATCH(LOWER(C810),""cuota""), REGEXMATCH(C810,""\d+\s*/\s*\d+"")))"),"")</f>
        <v/>
      </c>
      <c r="G810" s="32" t="str">
        <f>IFERROR(__xludf.DUMMYFUNCTION("IFERROR(VALUE(REGEXEXTRACT(C810,""(\d+)\s*/\s*\d+"")),"""")"),"")</f>
        <v/>
      </c>
      <c r="H810" s="32" t="str">
        <f>IFERROR(__xludf.DUMMYFUNCTION("IFERROR(VALUE(REGEXEXTRACT(C810,""\d+\s*/\s*(\d+)"")),"""")"),"")</f>
        <v/>
      </c>
      <c r="I810" s="32" t="str">
        <f t="shared" si="2"/>
        <v/>
      </c>
      <c r="J810" s="33" t="str">
        <f t="shared" si="3"/>
        <v/>
      </c>
    </row>
    <row r="811" ht="15.75" customHeight="1">
      <c r="A811" s="22" t="s">
        <v>113</v>
      </c>
      <c r="B811" s="22" t="str">
        <f>IF(MOV_CC_NACIONAL!A811="","",MOV_CC_NACIONAL!A811)</f>
        <v/>
      </c>
      <c r="C811" s="22" t="str">
        <f>IF(MOV_CC_NACIONAL!B811="","",MOV_CC_NACIONAL!B811)</f>
        <v/>
      </c>
      <c r="D811" s="34" t="str">
        <f>IF(MOV_CC_NACIONAL!C811="","",MOV_CC_NACIONAL!C811)</f>
        <v/>
      </c>
      <c r="E811" s="22" t="str">
        <f t="shared" si="1"/>
        <v/>
      </c>
      <c r="F811" s="22" t="str">
        <f>IFERROR(__xludf.DUMMYFUNCTION("IF(C811="""","""", OR(REGEXMATCH(LOWER(C811),""cuota""), REGEXMATCH(C811,""\d+\s*/\s*\d+"")))"),"")</f>
        <v/>
      </c>
      <c r="G811" s="22" t="str">
        <f>IFERROR(__xludf.DUMMYFUNCTION("IFERROR(VALUE(REGEXEXTRACT(C811,""(\d+)\s*/\s*\d+"")),"""")"),"")</f>
        <v/>
      </c>
      <c r="H811" s="22" t="str">
        <f>IFERROR(__xludf.DUMMYFUNCTION("IFERROR(VALUE(REGEXEXTRACT(C811,""\d+\s*/\s*(\d+)"")),"""")"),"")</f>
        <v/>
      </c>
      <c r="I811" s="22" t="str">
        <f t="shared" si="2"/>
        <v/>
      </c>
      <c r="J811" s="34" t="str">
        <f t="shared" si="3"/>
        <v/>
      </c>
    </row>
    <row r="812" ht="15.75" customHeight="1">
      <c r="A812" s="32" t="s">
        <v>113</v>
      </c>
      <c r="B812" s="32" t="str">
        <f>IF(MOV_CC_NACIONAL!A812="","",MOV_CC_NACIONAL!A812)</f>
        <v/>
      </c>
      <c r="C812" s="32" t="str">
        <f>IF(MOV_CC_NACIONAL!B812="","",MOV_CC_NACIONAL!B812)</f>
        <v/>
      </c>
      <c r="D812" s="33" t="str">
        <f>IF(MOV_CC_NACIONAL!C812="","",MOV_CC_NACIONAL!C812)</f>
        <v/>
      </c>
      <c r="E812" s="32" t="str">
        <f t="shared" si="1"/>
        <v/>
      </c>
      <c r="F812" s="32" t="str">
        <f>IFERROR(__xludf.DUMMYFUNCTION("IF(C812="""","""", OR(REGEXMATCH(LOWER(C812),""cuota""), REGEXMATCH(C812,""\d+\s*/\s*\d+"")))"),"")</f>
        <v/>
      </c>
      <c r="G812" s="32" t="str">
        <f>IFERROR(__xludf.DUMMYFUNCTION("IFERROR(VALUE(REGEXEXTRACT(C812,""(\d+)\s*/\s*\d+"")),"""")"),"")</f>
        <v/>
      </c>
      <c r="H812" s="32" t="str">
        <f>IFERROR(__xludf.DUMMYFUNCTION("IFERROR(VALUE(REGEXEXTRACT(C812,""\d+\s*/\s*(\d+)"")),"""")"),"")</f>
        <v/>
      </c>
      <c r="I812" s="32" t="str">
        <f t="shared" si="2"/>
        <v/>
      </c>
      <c r="J812" s="33" t="str">
        <f t="shared" si="3"/>
        <v/>
      </c>
    </row>
    <row r="813" ht="15.75" customHeight="1">
      <c r="A813" s="22" t="s">
        <v>113</v>
      </c>
      <c r="B813" s="22" t="str">
        <f>IF(MOV_CC_NACIONAL!A813="","",MOV_CC_NACIONAL!A813)</f>
        <v/>
      </c>
      <c r="C813" s="22" t="str">
        <f>IF(MOV_CC_NACIONAL!B813="","",MOV_CC_NACIONAL!B813)</f>
        <v/>
      </c>
      <c r="D813" s="34" t="str">
        <f>IF(MOV_CC_NACIONAL!C813="","",MOV_CC_NACIONAL!C813)</f>
        <v/>
      </c>
      <c r="E813" s="22" t="str">
        <f t="shared" si="1"/>
        <v/>
      </c>
      <c r="F813" s="22" t="str">
        <f>IFERROR(__xludf.DUMMYFUNCTION("IF(C813="""","""", OR(REGEXMATCH(LOWER(C813),""cuota""), REGEXMATCH(C813,""\d+\s*/\s*\d+"")))"),"")</f>
        <v/>
      </c>
      <c r="G813" s="22" t="str">
        <f>IFERROR(__xludf.DUMMYFUNCTION("IFERROR(VALUE(REGEXEXTRACT(C813,""(\d+)\s*/\s*\d+"")),"""")"),"")</f>
        <v/>
      </c>
      <c r="H813" s="22" t="str">
        <f>IFERROR(__xludf.DUMMYFUNCTION("IFERROR(VALUE(REGEXEXTRACT(C813,""\d+\s*/\s*(\d+)"")),"""")"),"")</f>
        <v/>
      </c>
      <c r="I813" s="22" t="str">
        <f t="shared" si="2"/>
        <v/>
      </c>
      <c r="J813" s="34" t="str">
        <f t="shared" si="3"/>
        <v/>
      </c>
    </row>
    <row r="814" ht="15.75" customHeight="1">
      <c r="A814" s="32" t="s">
        <v>113</v>
      </c>
      <c r="B814" s="32" t="str">
        <f>IF(MOV_CC_NACIONAL!A814="","",MOV_CC_NACIONAL!A814)</f>
        <v/>
      </c>
      <c r="C814" s="32" t="str">
        <f>IF(MOV_CC_NACIONAL!B814="","",MOV_CC_NACIONAL!B814)</f>
        <v/>
      </c>
      <c r="D814" s="33" t="str">
        <f>IF(MOV_CC_NACIONAL!C814="","",MOV_CC_NACIONAL!C814)</f>
        <v/>
      </c>
      <c r="E814" s="32" t="str">
        <f t="shared" si="1"/>
        <v/>
      </c>
      <c r="F814" s="32" t="str">
        <f>IFERROR(__xludf.DUMMYFUNCTION("IF(C814="""","""", OR(REGEXMATCH(LOWER(C814),""cuota""), REGEXMATCH(C814,""\d+\s*/\s*\d+"")))"),"")</f>
        <v/>
      </c>
      <c r="G814" s="32" t="str">
        <f>IFERROR(__xludf.DUMMYFUNCTION("IFERROR(VALUE(REGEXEXTRACT(C814,""(\d+)\s*/\s*\d+"")),"""")"),"")</f>
        <v/>
      </c>
      <c r="H814" s="32" t="str">
        <f>IFERROR(__xludf.DUMMYFUNCTION("IFERROR(VALUE(REGEXEXTRACT(C814,""\d+\s*/\s*(\d+)"")),"""")"),"")</f>
        <v/>
      </c>
      <c r="I814" s="32" t="str">
        <f t="shared" si="2"/>
        <v/>
      </c>
      <c r="J814" s="33" t="str">
        <f t="shared" si="3"/>
        <v/>
      </c>
    </row>
    <row r="815" ht="15.75" customHeight="1">
      <c r="A815" s="22" t="s">
        <v>113</v>
      </c>
      <c r="B815" s="22" t="str">
        <f>IF(MOV_CC_NACIONAL!A815="","",MOV_CC_NACIONAL!A815)</f>
        <v/>
      </c>
      <c r="C815" s="22" t="str">
        <f>IF(MOV_CC_NACIONAL!B815="","",MOV_CC_NACIONAL!B815)</f>
        <v/>
      </c>
      <c r="D815" s="34" t="str">
        <f>IF(MOV_CC_NACIONAL!C815="","",MOV_CC_NACIONAL!C815)</f>
        <v/>
      </c>
      <c r="E815" s="22" t="str">
        <f t="shared" si="1"/>
        <v/>
      </c>
      <c r="F815" s="22" t="str">
        <f>IFERROR(__xludf.DUMMYFUNCTION("IF(C815="""","""", OR(REGEXMATCH(LOWER(C815),""cuota""), REGEXMATCH(C815,""\d+\s*/\s*\d+"")))"),"")</f>
        <v/>
      </c>
      <c r="G815" s="22" t="str">
        <f>IFERROR(__xludf.DUMMYFUNCTION("IFERROR(VALUE(REGEXEXTRACT(C815,""(\d+)\s*/\s*\d+"")),"""")"),"")</f>
        <v/>
      </c>
      <c r="H815" s="22" t="str">
        <f>IFERROR(__xludf.DUMMYFUNCTION("IFERROR(VALUE(REGEXEXTRACT(C815,""\d+\s*/\s*(\d+)"")),"""")"),"")</f>
        <v/>
      </c>
      <c r="I815" s="22" t="str">
        <f t="shared" si="2"/>
        <v/>
      </c>
      <c r="J815" s="34" t="str">
        <f t="shared" si="3"/>
        <v/>
      </c>
    </row>
    <row r="816" ht="15.75" customHeight="1">
      <c r="A816" s="32" t="s">
        <v>113</v>
      </c>
      <c r="B816" s="32" t="str">
        <f>IF(MOV_CC_NACIONAL!A816="","",MOV_CC_NACIONAL!A816)</f>
        <v/>
      </c>
      <c r="C816" s="32" t="str">
        <f>IF(MOV_CC_NACIONAL!B816="","",MOV_CC_NACIONAL!B816)</f>
        <v/>
      </c>
      <c r="D816" s="33" t="str">
        <f>IF(MOV_CC_NACIONAL!C816="","",MOV_CC_NACIONAL!C816)</f>
        <v/>
      </c>
      <c r="E816" s="32" t="str">
        <f t="shared" si="1"/>
        <v/>
      </c>
      <c r="F816" s="32" t="str">
        <f>IFERROR(__xludf.DUMMYFUNCTION("IF(C816="""","""", OR(REGEXMATCH(LOWER(C816),""cuota""), REGEXMATCH(C816,""\d+\s*/\s*\d+"")))"),"")</f>
        <v/>
      </c>
      <c r="G816" s="32" t="str">
        <f>IFERROR(__xludf.DUMMYFUNCTION("IFERROR(VALUE(REGEXEXTRACT(C816,""(\d+)\s*/\s*\d+"")),"""")"),"")</f>
        <v/>
      </c>
      <c r="H816" s="32" t="str">
        <f>IFERROR(__xludf.DUMMYFUNCTION("IFERROR(VALUE(REGEXEXTRACT(C816,""\d+\s*/\s*(\d+)"")),"""")"),"")</f>
        <v/>
      </c>
      <c r="I816" s="32" t="str">
        <f t="shared" si="2"/>
        <v/>
      </c>
      <c r="J816" s="33" t="str">
        <f t="shared" si="3"/>
        <v/>
      </c>
    </row>
    <row r="817" ht="15.75" customHeight="1">
      <c r="A817" s="22" t="s">
        <v>113</v>
      </c>
      <c r="B817" s="22" t="str">
        <f>IF(MOV_CC_NACIONAL!A817="","",MOV_CC_NACIONAL!A817)</f>
        <v/>
      </c>
      <c r="C817" s="22" t="str">
        <f>IF(MOV_CC_NACIONAL!B817="","",MOV_CC_NACIONAL!B817)</f>
        <v/>
      </c>
      <c r="D817" s="34" t="str">
        <f>IF(MOV_CC_NACIONAL!C817="","",MOV_CC_NACIONAL!C817)</f>
        <v/>
      </c>
      <c r="E817" s="22" t="str">
        <f t="shared" si="1"/>
        <v/>
      </c>
      <c r="F817" s="22" t="str">
        <f>IFERROR(__xludf.DUMMYFUNCTION("IF(C817="""","""", OR(REGEXMATCH(LOWER(C817),""cuota""), REGEXMATCH(C817,""\d+\s*/\s*\d+"")))"),"")</f>
        <v/>
      </c>
      <c r="G817" s="22" t="str">
        <f>IFERROR(__xludf.DUMMYFUNCTION("IFERROR(VALUE(REGEXEXTRACT(C817,""(\d+)\s*/\s*\d+"")),"""")"),"")</f>
        <v/>
      </c>
      <c r="H817" s="22" t="str">
        <f>IFERROR(__xludf.DUMMYFUNCTION("IFERROR(VALUE(REGEXEXTRACT(C817,""\d+\s*/\s*(\d+)"")),"""")"),"")</f>
        <v/>
      </c>
      <c r="I817" s="22" t="str">
        <f t="shared" si="2"/>
        <v/>
      </c>
      <c r="J817" s="34" t="str">
        <f t="shared" si="3"/>
        <v/>
      </c>
    </row>
    <row r="818" ht="15.75" customHeight="1">
      <c r="A818" s="32" t="s">
        <v>113</v>
      </c>
      <c r="B818" s="32" t="str">
        <f>IF(MOV_CC_NACIONAL!A818="","",MOV_CC_NACIONAL!A818)</f>
        <v/>
      </c>
      <c r="C818" s="32" t="str">
        <f>IF(MOV_CC_NACIONAL!B818="","",MOV_CC_NACIONAL!B818)</f>
        <v/>
      </c>
      <c r="D818" s="33" t="str">
        <f>IF(MOV_CC_NACIONAL!C818="","",MOV_CC_NACIONAL!C818)</f>
        <v/>
      </c>
      <c r="E818" s="32" t="str">
        <f t="shared" si="1"/>
        <v/>
      </c>
      <c r="F818" s="32" t="str">
        <f>IFERROR(__xludf.DUMMYFUNCTION("IF(C818="""","""", OR(REGEXMATCH(LOWER(C818),""cuota""), REGEXMATCH(C818,""\d+\s*/\s*\d+"")))"),"")</f>
        <v/>
      </c>
      <c r="G818" s="32" t="str">
        <f>IFERROR(__xludf.DUMMYFUNCTION("IFERROR(VALUE(REGEXEXTRACT(C818,""(\d+)\s*/\s*\d+"")),"""")"),"")</f>
        <v/>
      </c>
      <c r="H818" s="32" t="str">
        <f>IFERROR(__xludf.DUMMYFUNCTION("IFERROR(VALUE(REGEXEXTRACT(C818,""\d+\s*/\s*(\d+)"")),"""")"),"")</f>
        <v/>
      </c>
      <c r="I818" s="32" t="str">
        <f t="shared" si="2"/>
        <v/>
      </c>
      <c r="J818" s="33" t="str">
        <f t="shared" si="3"/>
        <v/>
      </c>
    </row>
    <row r="819" ht="15.75" customHeight="1">
      <c r="A819" s="22" t="s">
        <v>113</v>
      </c>
      <c r="B819" s="22" t="str">
        <f>IF(MOV_CC_NACIONAL!A819="","",MOV_CC_NACIONAL!A819)</f>
        <v/>
      </c>
      <c r="C819" s="22" t="str">
        <f>IF(MOV_CC_NACIONAL!B819="","",MOV_CC_NACIONAL!B819)</f>
        <v/>
      </c>
      <c r="D819" s="34" t="str">
        <f>IF(MOV_CC_NACIONAL!C819="","",MOV_CC_NACIONAL!C819)</f>
        <v/>
      </c>
      <c r="E819" s="22" t="str">
        <f t="shared" si="1"/>
        <v/>
      </c>
      <c r="F819" s="22" t="str">
        <f>IFERROR(__xludf.DUMMYFUNCTION("IF(C819="""","""", OR(REGEXMATCH(LOWER(C819),""cuota""), REGEXMATCH(C819,""\d+\s*/\s*\d+"")))"),"")</f>
        <v/>
      </c>
      <c r="G819" s="22" t="str">
        <f>IFERROR(__xludf.DUMMYFUNCTION("IFERROR(VALUE(REGEXEXTRACT(C819,""(\d+)\s*/\s*\d+"")),"""")"),"")</f>
        <v/>
      </c>
      <c r="H819" s="22" t="str">
        <f>IFERROR(__xludf.DUMMYFUNCTION("IFERROR(VALUE(REGEXEXTRACT(C819,""\d+\s*/\s*(\d+)"")),"""")"),"")</f>
        <v/>
      </c>
      <c r="I819" s="22" t="str">
        <f t="shared" si="2"/>
        <v/>
      </c>
      <c r="J819" s="34" t="str">
        <f t="shared" si="3"/>
        <v/>
      </c>
    </row>
    <row r="820" ht="15.75" customHeight="1">
      <c r="A820" s="32" t="s">
        <v>113</v>
      </c>
      <c r="B820" s="32" t="str">
        <f>IF(MOV_CC_NACIONAL!A820="","",MOV_CC_NACIONAL!A820)</f>
        <v/>
      </c>
      <c r="C820" s="32" t="str">
        <f>IF(MOV_CC_NACIONAL!B820="","",MOV_CC_NACIONAL!B820)</f>
        <v/>
      </c>
      <c r="D820" s="33" t="str">
        <f>IF(MOV_CC_NACIONAL!C820="","",MOV_CC_NACIONAL!C820)</f>
        <v/>
      </c>
      <c r="E820" s="32" t="str">
        <f t="shared" si="1"/>
        <v/>
      </c>
      <c r="F820" s="32" t="str">
        <f>IFERROR(__xludf.DUMMYFUNCTION("IF(C820="""","""", OR(REGEXMATCH(LOWER(C820),""cuota""), REGEXMATCH(C820,""\d+\s*/\s*\d+"")))"),"")</f>
        <v/>
      </c>
      <c r="G820" s="32" t="str">
        <f>IFERROR(__xludf.DUMMYFUNCTION("IFERROR(VALUE(REGEXEXTRACT(C820,""(\d+)\s*/\s*\d+"")),"""")"),"")</f>
        <v/>
      </c>
      <c r="H820" s="32" t="str">
        <f>IFERROR(__xludf.DUMMYFUNCTION("IFERROR(VALUE(REGEXEXTRACT(C820,""\d+\s*/\s*(\d+)"")),"""")"),"")</f>
        <v/>
      </c>
      <c r="I820" s="32" t="str">
        <f t="shared" si="2"/>
        <v/>
      </c>
      <c r="J820" s="33" t="str">
        <f t="shared" si="3"/>
        <v/>
      </c>
    </row>
    <row r="821" ht="15.75" customHeight="1">
      <c r="A821" s="22" t="s">
        <v>113</v>
      </c>
      <c r="B821" s="22" t="str">
        <f>IF(MOV_CC_NACIONAL!A821="","",MOV_CC_NACIONAL!A821)</f>
        <v/>
      </c>
      <c r="C821" s="22" t="str">
        <f>IF(MOV_CC_NACIONAL!B821="","",MOV_CC_NACIONAL!B821)</f>
        <v/>
      </c>
      <c r="D821" s="34" t="str">
        <f>IF(MOV_CC_NACIONAL!C821="","",MOV_CC_NACIONAL!C821)</f>
        <v/>
      </c>
      <c r="E821" s="22" t="str">
        <f t="shared" si="1"/>
        <v/>
      </c>
      <c r="F821" s="22" t="str">
        <f>IFERROR(__xludf.DUMMYFUNCTION("IF(C821="""","""", OR(REGEXMATCH(LOWER(C821),""cuota""), REGEXMATCH(C821,""\d+\s*/\s*\d+"")))"),"")</f>
        <v/>
      </c>
      <c r="G821" s="22" t="str">
        <f>IFERROR(__xludf.DUMMYFUNCTION("IFERROR(VALUE(REGEXEXTRACT(C821,""(\d+)\s*/\s*\d+"")),"""")"),"")</f>
        <v/>
      </c>
      <c r="H821" s="22" t="str">
        <f>IFERROR(__xludf.DUMMYFUNCTION("IFERROR(VALUE(REGEXEXTRACT(C821,""\d+\s*/\s*(\d+)"")),"""")"),"")</f>
        <v/>
      </c>
      <c r="I821" s="22" t="str">
        <f t="shared" si="2"/>
        <v/>
      </c>
      <c r="J821" s="34" t="str">
        <f t="shared" si="3"/>
        <v/>
      </c>
    </row>
    <row r="822" ht="15.75" customHeight="1">
      <c r="A822" s="32" t="s">
        <v>113</v>
      </c>
      <c r="B822" s="32" t="str">
        <f>IF(MOV_CC_NACIONAL!A822="","",MOV_CC_NACIONAL!A822)</f>
        <v/>
      </c>
      <c r="C822" s="32" t="str">
        <f>IF(MOV_CC_NACIONAL!B822="","",MOV_CC_NACIONAL!B822)</f>
        <v/>
      </c>
      <c r="D822" s="33" t="str">
        <f>IF(MOV_CC_NACIONAL!C822="","",MOV_CC_NACIONAL!C822)</f>
        <v/>
      </c>
      <c r="E822" s="32" t="str">
        <f t="shared" si="1"/>
        <v/>
      </c>
      <c r="F822" s="32" t="str">
        <f>IFERROR(__xludf.DUMMYFUNCTION("IF(C822="""","""", OR(REGEXMATCH(LOWER(C822),""cuota""), REGEXMATCH(C822,""\d+\s*/\s*\d+"")))"),"")</f>
        <v/>
      </c>
      <c r="G822" s="32" t="str">
        <f>IFERROR(__xludf.DUMMYFUNCTION("IFERROR(VALUE(REGEXEXTRACT(C822,""(\d+)\s*/\s*\d+"")),"""")"),"")</f>
        <v/>
      </c>
      <c r="H822" s="32" t="str">
        <f>IFERROR(__xludf.DUMMYFUNCTION("IFERROR(VALUE(REGEXEXTRACT(C822,""\d+\s*/\s*(\d+)"")),"""")"),"")</f>
        <v/>
      </c>
      <c r="I822" s="32" t="str">
        <f t="shared" si="2"/>
        <v/>
      </c>
      <c r="J822" s="33" t="str">
        <f t="shared" si="3"/>
        <v/>
      </c>
    </row>
    <row r="823" ht="15.75" customHeight="1">
      <c r="A823" s="22" t="s">
        <v>113</v>
      </c>
      <c r="B823" s="22" t="str">
        <f>IF(MOV_CC_NACIONAL!A823="","",MOV_CC_NACIONAL!A823)</f>
        <v/>
      </c>
      <c r="C823" s="22" t="str">
        <f>IF(MOV_CC_NACIONAL!B823="","",MOV_CC_NACIONAL!B823)</f>
        <v/>
      </c>
      <c r="D823" s="34" t="str">
        <f>IF(MOV_CC_NACIONAL!C823="","",MOV_CC_NACIONAL!C823)</f>
        <v/>
      </c>
      <c r="E823" s="22" t="str">
        <f t="shared" si="1"/>
        <v/>
      </c>
      <c r="F823" s="22" t="str">
        <f>IFERROR(__xludf.DUMMYFUNCTION("IF(C823="""","""", OR(REGEXMATCH(LOWER(C823),""cuota""), REGEXMATCH(C823,""\d+\s*/\s*\d+"")))"),"")</f>
        <v/>
      </c>
      <c r="G823" s="22" t="str">
        <f>IFERROR(__xludf.DUMMYFUNCTION("IFERROR(VALUE(REGEXEXTRACT(C823,""(\d+)\s*/\s*\d+"")),"""")"),"")</f>
        <v/>
      </c>
      <c r="H823" s="22" t="str">
        <f>IFERROR(__xludf.DUMMYFUNCTION("IFERROR(VALUE(REGEXEXTRACT(C823,""\d+\s*/\s*(\d+)"")),"""")"),"")</f>
        <v/>
      </c>
      <c r="I823" s="22" t="str">
        <f t="shared" si="2"/>
        <v/>
      </c>
      <c r="J823" s="34" t="str">
        <f t="shared" si="3"/>
        <v/>
      </c>
    </row>
    <row r="824" ht="15.75" customHeight="1">
      <c r="A824" s="32" t="s">
        <v>113</v>
      </c>
      <c r="B824" s="32" t="str">
        <f>IF(MOV_CC_NACIONAL!A824="","",MOV_CC_NACIONAL!A824)</f>
        <v/>
      </c>
      <c r="C824" s="32" t="str">
        <f>IF(MOV_CC_NACIONAL!B824="","",MOV_CC_NACIONAL!B824)</f>
        <v/>
      </c>
      <c r="D824" s="33" t="str">
        <f>IF(MOV_CC_NACIONAL!C824="","",MOV_CC_NACIONAL!C824)</f>
        <v/>
      </c>
      <c r="E824" s="32" t="str">
        <f t="shared" si="1"/>
        <v/>
      </c>
      <c r="F824" s="32" t="str">
        <f>IFERROR(__xludf.DUMMYFUNCTION("IF(C824="""","""", OR(REGEXMATCH(LOWER(C824),""cuota""), REGEXMATCH(C824,""\d+\s*/\s*\d+"")))"),"")</f>
        <v/>
      </c>
      <c r="G824" s="32" t="str">
        <f>IFERROR(__xludf.DUMMYFUNCTION("IFERROR(VALUE(REGEXEXTRACT(C824,""(\d+)\s*/\s*\d+"")),"""")"),"")</f>
        <v/>
      </c>
      <c r="H824" s="32" t="str">
        <f>IFERROR(__xludf.DUMMYFUNCTION("IFERROR(VALUE(REGEXEXTRACT(C824,""\d+\s*/\s*(\d+)"")),"""")"),"")</f>
        <v/>
      </c>
      <c r="I824" s="32" t="str">
        <f t="shared" si="2"/>
        <v/>
      </c>
      <c r="J824" s="33" t="str">
        <f t="shared" si="3"/>
        <v/>
      </c>
    </row>
    <row r="825" ht="15.75" customHeight="1">
      <c r="A825" s="22" t="s">
        <v>113</v>
      </c>
      <c r="B825" s="22" t="str">
        <f>IF(MOV_CC_NACIONAL!A825="","",MOV_CC_NACIONAL!A825)</f>
        <v/>
      </c>
      <c r="C825" s="22" t="str">
        <f>IF(MOV_CC_NACIONAL!B825="","",MOV_CC_NACIONAL!B825)</f>
        <v/>
      </c>
      <c r="D825" s="34" t="str">
        <f>IF(MOV_CC_NACIONAL!C825="","",MOV_CC_NACIONAL!C825)</f>
        <v/>
      </c>
      <c r="E825" s="22" t="str">
        <f t="shared" si="1"/>
        <v/>
      </c>
      <c r="F825" s="22" t="str">
        <f>IFERROR(__xludf.DUMMYFUNCTION("IF(C825="""","""", OR(REGEXMATCH(LOWER(C825),""cuota""), REGEXMATCH(C825,""\d+\s*/\s*\d+"")))"),"")</f>
        <v/>
      </c>
      <c r="G825" s="22" t="str">
        <f>IFERROR(__xludf.DUMMYFUNCTION("IFERROR(VALUE(REGEXEXTRACT(C825,""(\d+)\s*/\s*\d+"")),"""")"),"")</f>
        <v/>
      </c>
      <c r="H825" s="22" t="str">
        <f>IFERROR(__xludf.DUMMYFUNCTION("IFERROR(VALUE(REGEXEXTRACT(C825,""\d+\s*/\s*(\d+)"")),"""")"),"")</f>
        <v/>
      </c>
      <c r="I825" s="22" t="str">
        <f t="shared" si="2"/>
        <v/>
      </c>
      <c r="J825" s="34" t="str">
        <f t="shared" si="3"/>
        <v/>
      </c>
    </row>
    <row r="826" ht="15.75" customHeight="1">
      <c r="A826" s="32" t="s">
        <v>113</v>
      </c>
      <c r="B826" s="32" t="str">
        <f>IF(MOV_CC_NACIONAL!A826="","",MOV_CC_NACIONAL!A826)</f>
        <v/>
      </c>
      <c r="C826" s="32" t="str">
        <f>IF(MOV_CC_NACIONAL!B826="","",MOV_CC_NACIONAL!B826)</f>
        <v/>
      </c>
      <c r="D826" s="33" t="str">
        <f>IF(MOV_CC_NACIONAL!C826="","",MOV_CC_NACIONAL!C826)</f>
        <v/>
      </c>
      <c r="E826" s="32" t="str">
        <f t="shared" si="1"/>
        <v/>
      </c>
      <c r="F826" s="32" t="str">
        <f>IFERROR(__xludf.DUMMYFUNCTION("IF(C826="""","""", OR(REGEXMATCH(LOWER(C826),""cuota""), REGEXMATCH(C826,""\d+\s*/\s*\d+"")))"),"")</f>
        <v/>
      </c>
      <c r="G826" s="32" t="str">
        <f>IFERROR(__xludf.DUMMYFUNCTION("IFERROR(VALUE(REGEXEXTRACT(C826,""(\d+)\s*/\s*\d+"")),"""")"),"")</f>
        <v/>
      </c>
      <c r="H826" s="32" t="str">
        <f>IFERROR(__xludf.DUMMYFUNCTION("IFERROR(VALUE(REGEXEXTRACT(C826,""\d+\s*/\s*(\d+)"")),"""")"),"")</f>
        <v/>
      </c>
      <c r="I826" s="32" t="str">
        <f t="shared" si="2"/>
        <v/>
      </c>
      <c r="J826" s="33" t="str">
        <f t="shared" si="3"/>
        <v/>
      </c>
    </row>
    <row r="827" ht="15.75" customHeight="1">
      <c r="A827" s="22" t="s">
        <v>113</v>
      </c>
      <c r="B827" s="22" t="str">
        <f>IF(MOV_CC_NACIONAL!A827="","",MOV_CC_NACIONAL!A827)</f>
        <v/>
      </c>
      <c r="C827" s="22" t="str">
        <f>IF(MOV_CC_NACIONAL!B827="","",MOV_CC_NACIONAL!B827)</f>
        <v/>
      </c>
      <c r="D827" s="34" t="str">
        <f>IF(MOV_CC_NACIONAL!C827="","",MOV_CC_NACIONAL!C827)</f>
        <v/>
      </c>
      <c r="E827" s="22" t="str">
        <f t="shared" si="1"/>
        <v/>
      </c>
      <c r="F827" s="22" t="str">
        <f>IFERROR(__xludf.DUMMYFUNCTION("IF(C827="""","""", OR(REGEXMATCH(LOWER(C827),""cuota""), REGEXMATCH(C827,""\d+\s*/\s*\d+"")))"),"")</f>
        <v/>
      </c>
      <c r="G827" s="22" t="str">
        <f>IFERROR(__xludf.DUMMYFUNCTION("IFERROR(VALUE(REGEXEXTRACT(C827,""(\d+)\s*/\s*\d+"")),"""")"),"")</f>
        <v/>
      </c>
      <c r="H827" s="22" t="str">
        <f>IFERROR(__xludf.DUMMYFUNCTION("IFERROR(VALUE(REGEXEXTRACT(C827,""\d+\s*/\s*(\d+)"")),"""")"),"")</f>
        <v/>
      </c>
      <c r="I827" s="22" t="str">
        <f t="shared" si="2"/>
        <v/>
      </c>
      <c r="J827" s="34" t="str">
        <f t="shared" si="3"/>
        <v/>
      </c>
    </row>
    <row r="828" ht="15.75" customHeight="1">
      <c r="A828" s="32" t="s">
        <v>113</v>
      </c>
      <c r="B828" s="32" t="str">
        <f>IF(MOV_CC_NACIONAL!A828="","",MOV_CC_NACIONAL!A828)</f>
        <v/>
      </c>
      <c r="C828" s="32" t="str">
        <f>IF(MOV_CC_NACIONAL!B828="","",MOV_CC_NACIONAL!B828)</f>
        <v/>
      </c>
      <c r="D828" s="33" t="str">
        <f>IF(MOV_CC_NACIONAL!C828="","",MOV_CC_NACIONAL!C828)</f>
        <v/>
      </c>
      <c r="E828" s="32" t="str">
        <f t="shared" si="1"/>
        <v/>
      </c>
      <c r="F828" s="32" t="str">
        <f>IFERROR(__xludf.DUMMYFUNCTION("IF(C828="""","""", OR(REGEXMATCH(LOWER(C828),""cuota""), REGEXMATCH(C828,""\d+\s*/\s*\d+"")))"),"")</f>
        <v/>
      </c>
      <c r="G828" s="32" t="str">
        <f>IFERROR(__xludf.DUMMYFUNCTION("IFERROR(VALUE(REGEXEXTRACT(C828,""(\d+)\s*/\s*\d+"")),"""")"),"")</f>
        <v/>
      </c>
      <c r="H828" s="32" t="str">
        <f>IFERROR(__xludf.DUMMYFUNCTION("IFERROR(VALUE(REGEXEXTRACT(C828,""\d+\s*/\s*(\d+)"")),"""")"),"")</f>
        <v/>
      </c>
      <c r="I828" s="32" t="str">
        <f t="shared" si="2"/>
        <v/>
      </c>
      <c r="J828" s="33" t="str">
        <f t="shared" si="3"/>
        <v/>
      </c>
    </row>
    <row r="829" ht="15.75" customHeight="1">
      <c r="A829" s="22" t="s">
        <v>113</v>
      </c>
      <c r="B829" s="22" t="str">
        <f>IF(MOV_CC_NACIONAL!A829="","",MOV_CC_NACIONAL!A829)</f>
        <v/>
      </c>
      <c r="C829" s="22" t="str">
        <f>IF(MOV_CC_NACIONAL!B829="","",MOV_CC_NACIONAL!B829)</f>
        <v/>
      </c>
      <c r="D829" s="34" t="str">
        <f>IF(MOV_CC_NACIONAL!C829="","",MOV_CC_NACIONAL!C829)</f>
        <v/>
      </c>
      <c r="E829" s="22" t="str">
        <f t="shared" si="1"/>
        <v/>
      </c>
      <c r="F829" s="22" t="str">
        <f>IFERROR(__xludf.DUMMYFUNCTION("IF(C829="""","""", OR(REGEXMATCH(LOWER(C829),""cuota""), REGEXMATCH(C829,""\d+\s*/\s*\d+"")))"),"")</f>
        <v/>
      </c>
      <c r="G829" s="22" t="str">
        <f>IFERROR(__xludf.DUMMYFUNCTION("IFERROR(VALUE(REGEXEXTRACT(C829,""(\d+)\s*/\s*\d+"")),"""")"),"")</f>
        <v/>
      </c>
      <c r="H829" s="22" t="str">
        <f>IFERROR(__xludf.DUMMYFUNCTION("IFERROR(VALUE(REGEXEXTRACT(C829,""\d+\s*/\s*(\d+)"")),"""")"),"")</f>
        <v/>
      </c>
      <c r="I829" s="22" t="str">
        <f t="shared" si="2"/>
        <v/>
      </c>
      <c r="J829" s="34" t="str">
        <f t="shared" si="3"/>
        <v/>
      </c>
    </row>
    <row r="830" ht="15.75" customHeight="1">
      <c r="A830" s="32" t="s">
        <v>113</v>
      </c>
      <c r="B830" s="32" t="str">
        <f>IF(MOV_CC_NACIONAL!A830="","",MOV_CC_NACIONAL!A830)</f>
        <v/>
      </c>
      <c r="C830" s="32" t="str">
        <f>IF(MOV_CC_NACIONAL!B830="","",MOV_CC_NACIONAL!B830)</f>
        <v/>
      </c>
      <c r="D830" s="33" t="str">
        <f>IF(MOV_CC_NACIONAL!C830="","",MOV_CC_NACIONAL!C830)</f>
        <v/>
      </c>
      <c r="E830" s="32" t="str">
        <f t="shared" si="1"/>
        <v/>
      </c>
      <c r="F830" s="32" t="str">
        <f>IFERROR(__xludf.DUMMYFUNCTION("IF(C830="""","""", OR(REGEXMATCH(LOWER(C830),""cuota""), REGEXMATCH(C830,""\d+\s*/\s*\d+"")))"),"")</f>
        <v/>
      </c>
      <c r="G830" s="32" t="str">
        <f>IFERROR(__xludf.DUMMYFUNCTION("IFERROR(VALUE(REGEXEXTRACT(C830,""(\d+)\s*/\s*\d+"")),"""")"),"")</f>
        <v/>
      </c>
      <c r="H830" s="32" t="str">
        <f>IFERROR(__xludf.DUMMYFUNCTION("IFERROR(VALUE(REGEXEXTRACT(C830,""\d+\s*/\s*(\d+)"")),"""")"),"")</f>
        <v/>
      </c>
      <c r="I830" s="32" t="str">
        <f t="shared" si="2"/>
        <v/>
      </c>
      <c r="J830" s="33" t="str">
        <f t="shared" si="3"/>
        <v/>
      </c>
    </row>
    <row r="831" ht="15.75" customHeight="1">
      <c r="A831" s="22" t="s">
        <v>113</v>
      </c>
      <c r="B831" s="22" t="str">
        <f>IF(MOV_CC_NACIONAL!A831="","",MOV_CC_NACIONAL!A831)</f>
        <v/>
      </c>
      <c r="C831" s="22" t="str">
        <f>IF(MOV_CC_NACIONAL!B831="","",MOV_CC_NACIONAL!B831)</f>
        <v/>
      </c>
      <c r="D831" s="34" t="str">
        <f>IF(MOV_CC_NACIONAL!C831="","",MOV_CC_NACIONAL!C831)</f>
        <v/>
      </c>
      <c r="E831" s="22" t="str">
        <f t="shared" si="1"/>
        <v/>
      </c>
      <c r="F831" s="22" t="str">
        <f>IFERROR(__xludf.DUMMYFUNCTION("IF(C831="""","""", OR(REGEXMATCH(LOWER(C831),""cuota""), REGEXMATCH(C831,""\d+\s*/\s*\d+"")))"),"")</f>
        <v/>
      </c>
      <c r="G831" s="22" t="str">
        <f>IFERROR(__xludf.DUMMYFUNCTION("IFERROR(VALUE(REGEXEXTRACT(C831,""(\d+)\s*/\s*\d+"")),"""")"),"")</f>
        <v/>
      </c>
      <c r="H831" s="22" t="str">
        <f>IFERROR(__xludf.DUMMYFUNCTION("IFERROR(VALUE(REGEXEXTRACT(C831,""\d+\s*/\s*(\d+)"")),"""")"),"")</f>
        <v/>
      </c>
      <c r="I831" s="22" t="str">
        <f t="shared" si="2"/>
        <v/>
      </c>
      <c r="J831" s="34" t="str">
        <f t="shared" si="3"/>
        <v/>
      </c>
    </row>
    <row r="832" ht="15.75" customHeight="1">
      <c r="A832" s="32" t="s">
        <v>113</v>
      </c>
      <c r="B832" s="32" t="str">
        <f>IF(MOV_CC_NACIONAL!A832="","",MOV_CC_NACIONAL!A832)</f>
        <v/>
      </c>
      <c r="C832" s="32" t="str">
        <f>IF(MOV_CC_NACIONAL!B832="","",MOV_CC_NACIONAL!B832)</f>
        <v/>
      </c>
      <c r="D832" s="33" t="str">
        <f>IF(MOV_CC_NACIONAL!C832="","",MOV_CC_NACIONAL!C832)</f>
        <v/>
      </c>
      <c r="E832" s="32" t="str">
        <f t="shared" si="1"/>
        <v/>
      </c>
      <c r="F832" s="32" t="str">
        <f>IFERROR(__xludf.DUMMYFUNCTION("IF(C832="""","""", OR(REGEXMATCH(LOWER(C832),""cuota""), REGEXMATCH(C832,""\d+\s*/\s*\d+"")))"),"")</f>
        <v/>
      </c>
      <c r="G832" s="32" t="str">
        <f>IFERROR(__xludf.DUMMYFUNCTION("IFERROR(VALUE(REGEXEXTRACT(C832,""(\d+)\s*/\s*\d+"")),"""")"),"")</f>
        <v/>
      </c>
      <c r="H832" s="32" t="str">
        <f>IFERROR(__xludf.DUMMYFUNCTION("IFERROR(VALUE(REGEXEXTRACT(C832,""\d+\s*/\s*(\d+)"")),"""")"),"")</f>
        <v/>
      </c>
      <c r="I832" s="32" t="str">
        <f t="shared" si="2"/>
        <v/>
      </c>
      <c r="J832" s="33" t="str">
        <f t="shared" si="3"/>
        <v/>
      </c>
    </row>
    <row r="833" ht="15.75" customHeight="1">
      <c r="A833" s="22" t="s">
        <v>113</v>
      </c>
      <c r="B833" s="22" t="str">
        <f>IF(MOV_CC_NACIONAL!A833="","",MOV_CC_NACIONAL!A833)</f>
        <v/>
      </c>
      <c r="C833" s="22" t="str">
        <f>IF(MOV_CC_NACIONAL!B833="","",MOV_CC_NACIONAL!B833)</f>
        <v/>
      </c>
      <c r="D833" s="34" t="str">
        <f>IF(MOV_CC_NACIONAL!C833="","",MOV_CC_NACIONAL!C833)</f>
        <v/>
      </c>
      <c r="E833" s="22" t="str">
        <f t="shared" si="1"/>
        <v/>
      </c>
      <c r="F833" s="22" t="str">
        <f>IFERROR(__xludf.DUMMYFUNCTION("IF(C833="""","""", OR(REGEXMATCH(LOWER(C833),""cuota""), REGEXMATCH(C833,""\d+\s*/\s*\d+"")))"),"")</f>
        <v/>
      </c>
      <c r="G833" s="22" t="str">
        <f>IFERROR(__xludf.DUMMYFUNCTION("IFERROR(VALUE(REGEXEXTRACT(C833,""(\d+)\s*/\s*\d+"")),"""")"),"")</f>
        <v/>
      </c>
      <c r="H833" s="22" t="str">
        <f>IFERROR(__xludf.DUMMYFUNCTION("IFERROR(VALUE(REGEXEXTRACT(C833,""\d+\s*/\s*(\d+)"")),"""")"),"")</f>
        <v/>
      </c>
      <c r="I833" s="22" t="str">
        <f t="shared" si="2"/>
        <v/>
      </c>
      <c r="J833" s="34" t="str">
        <f t="shared" si="3"/>
        <v/>
      </c>
    </row>
    <row r="834" ht="15.75" customHeight="1">
      <c r="A834" s="32" t="s">
        <v>113</v>
      </c>
      <c r="B834" s="32" t="str">
        <f>IF(MOV_CC_NACIONAL!A834="","",MOV_CC_NACIONAL!A834)</f>
        <v/>
      </c>
      <c r="C834" s="32" t="str">
        <f>IF(MOV_CC_NACIONAL!B834="","",MOV_CC_NACIONAL!B834)</f>
        <v/>
      </c>
      <c r="D834" s="33" t="str">
        <f>IF(MOV_CC_NACIONAL!C834="","",MOV_CC_NACIONAL!C834)</f>
        <v/>
      </c>
      <c r="E834" s="32" t="str">
        <f t="shared" si="1"/>
        <v/>
      </c>
      <c r="F834" s="32" t="str">
        <f>IFERROR(__xludf.DUMMYFUNCTION("IF(C834="""","""", OR(REGEXMATCH(LOWER(C834),""cuota""), REGEXMATCH(C834,""\d+\s*/\s*\d+"")))"),"")</f>
        <v/>
      </c>
      <c r="G834" s="32" t="str">
        <f>IFERROR(__xludf.DUMMYFUNCTION("IFERROR(VALUE(REGEXEXTRACT(C834,""(\d+)\s*/\s*\d+"")),"""")"),"")</f>
        <v/>
      </c>
      <c r="H834" s="32" t="str">
        <f>IFERROR(__xludf.DUMMYFUNCTION("IFERROR(VALUE(REGEXEXTRACT(C834,""\d+\s*/\s*(\d+)"")),"""")"),"")</f>
        <v/>
      </c>
      <c r="I834" s="32" t="str">
        <f t="shared" si="2"/>
        <v/>
      </c>
      <c r="J834" s="33" t="str">
        <f t="shared" si="3"/>
        <v/>
      </c>
    </row>
    <row r="835" ht="15.75" customHeight="1">
      <c r="A835" s="22" t="s">
        <v>113</v>
      </c>
      <c r="B835" s="22" t="str">
        <f>IF(MOV_CC_NACIONAL!A835="","",MOV_CC_NACIONAL!A835)</f>
        <v/>
      </c>
      <c r="C835" s="22" t="str">
        <f>IF(MOV_CC_NACIONAL!B835="","",MOV_CC_NACIONAL!B835)</f>
        <v/>
      </c>
      <c r="D835" s="34" t="str">
        <f>IF(MOV_CC_NACIONAL!C835="","",MOV_CC_NACIONAL!C835)</f>
        <v/>
      </c>
      <c r="E835" s="22" t="str">
        <f t="shared" si="1"/>
        <v/>
      </c>
      <c r="F835" s="22" t="str">
        <f>IFERROR(__xludf.DUMMYFUNCTION("IF(C835="""","""", OR(REGEXMATCH(LOWER(C835),""cuota""), REGEXMATCH(C835,""\d+\s*/\s*\d+"")))"),"")</f>
        <v/>
      </c>
      <c r="G835" s="22" t="str">
        <f>IFERROR(__xludf.DUMMYFUNCTION("IFERROR(VALUE(REGEXEXTRACT(C835,""(\d+)\s*/\s*\d+"")),"""")"),"")</f>
        <v/>
      </c>
      <c r="H835" s="22" t="str">
        <f>IFERROR(__xludf.DUMMYFUNCTION("IFERROR(VALUE(REGEXEXTRACT(C835,""\d+\s*/\s*(\d+)"")),"""")"),"")</f>
        <v/>
      </c>
      <c r="I835" s="22" t="str">
        <f t="shared" si="2"/>
        <v/>
      </c>
      <c r="J835" s="34" t="str">
        <f t="shared" si="3"/>
        <v/>
      </c>
    </row>
    <row r="836" ht="15.75" customHeight="1">
      <c r="A836" s="32" t="s">
        <v>113</v>
      </c>
      <c r="B836" s="32" t="str">
        <f>IF(MOV_CC_NACIONAL!A836="","",MOV_CC_NACIONAL!A836)</f>
        <v/>
      </c>
      <c r="C836" s="32" t="str">
        <f>IF(MOV_CC_NACIONAL!B836="","",MOV_CC_NACIONAL!B836)</f>
        <v/>
      </c>
      <c r="D836" s="33" t="str">
        <f>IF(MOV_CC_NACIONAL!C836="","",MOV_CC_NACIONAL!C836)</f>
        <v/>
      </c>
      <c r="E836" s="32" t="str">
        <f t="shared" si="1"/>
        <v/>
      </c>
      <c r="F836" s="32" t="str">
        <f>IFERROR(__xludf.DUMMYFUNCTION("IF(C836="""","""", OR(REGEXMATCH(LOWER(C836),""cuota""), REGEXMATCH(C836,""\d+\s*/\s*\d+"")))"),"")</f>
        <v/>
      </c>
      <c r="G836" s="32" t="str">
        <f>IFERROR(__xludf.DUMMYFUNCTION("IFERROR(VALUE(REGEXEXTRACT(C836,""(\d+)\s*/\s*\d+"")),"""")"),"")</f>
        <v/>
      </c>
      <c r="H836" s="32" t="str">
        <f>IFERROR(__xludf.DUMMYFUNCTION("IFERROR(VALUE(REGEXEXTRACT(C836,""\d+\s*/\s*(\d+)"")),"""")"),"")</f>
        <v/>
      </c>
      <c r="I836" s="32" t="str">
        <f t="shared" si="2"/>
        <v/>
      </c>
      <c r="J836" s="33" t="str">
        <f t="shared" si="3"/>
        <v/>
      </c>
    </row>
    <row r="837" ht="15.75" customHeight="1">
      <c r="A837" s="22" t="s">
        <v>113</v>
      </c>
      <c r="B837" s="22" t="str">
        <f>IF(MOV_CC_NACIONAL!A837="","",MOV_CC_NACIONAL!A837)</f>
        <v/>
      </c>
      <c r="C837" s="22" t="str">
        <f>IF(MOV_CC_NACIONAL!B837="","",MOV_CC_NACIONAL!B837)</f>
        <v/>
      </c>
      <c r="D837" s="34" t="str">
        <f>IF(MOV_CC_NACIONAL!C837="","",MOV_CC_NACIONAL!C837)</f>
        <v/>
      </c>
      <c r="E837" s="22" t="str">
        <f t="shared" si="1"/>
        <v/>
      </c>
      <c r="F837" s="22" t="str">
        <f>IFERROR(__xludf.DUMMYFUNCTION("IF(C837="""","""", OR(REGEXMATCH(LOWER(C837),""cuota""), REGEXMATCH(C837,""\d+\s*/\s*\d+"")))"),"")</f>
        <v/>
      </c>
      <c r="G837" s="22" t="str">
        <f>IFERROR(__xludf.DUMMYFUNCTION("IFERROR(VALUE(REGEXEXTRACT(C837,""(\d+)\s*/\s*\d+"")),"""")"),"")</f>
        <v/>
      </c>
      <c r="H837" s="22" t="str">
        <f>IFERROR(__xludf.DUMMYFUNCTION("IFERROR(VALUE(REGEXEXTRACT(C837,""\d+\s*/\s*(\d+)"")),"""")"),"")</f>
        <v/>
      </c>
      <c r="I837" s="22" t="str">
        <f t="shared" si="2"/>
        <v/>
      </c>
      <c r="J837" s="34" t="str">
        <f t="shared" si="3"/>
        <v/>
      </c>
    </row>
    <row r="838" ht="15.75" customHeight="1">
      <c r="A838" s="32" t="s">
        <v>113</v>
      </c>
      <c r="B838" s="32" t="str">
        <f>IF(MOV_CC_NACIONAL!A838="","",MOV_CC_NACIONAL!A838)</f>
        <v/>
      </c>
      <c r="C838" s="32" t="str">
        <f>IF(MOV_CC_NACIONAL!B838="","",MOV_CC_NACIONAL!B838)</f>
        <v/>
      </c>
      <c r="D838" s="33" t="str">
        <f>IF(MOV_CC_NACIONAL!C838="","",MOV_CC_NACIONAL!C838)</f>
        <v/>
      </c>
      <c r="E838" s="32" t="str">
        <f t="shared" si="1"/>
        <v/>
      </c>
      <c r="F838" s="32" t="str">
        <f>IFERROR(__xludf.DUMMYFUNCTION("IF(C838="""","""", OR(REGEXMATCH(LOWER(C838),""cuota""), REGEXMATCH(C838,""\d+\s*/\s*\d+"")))"),"")</f>
        <v/>
      </c>
      <c r="G838" s="32" t="str">
        <f>IFERROR(__xludf.DUMMYFUNCTION("IFERROR(VALUE(REGEXEXTRACT(C838,""(\d+)\s*/\s*\d+"")),"""")"),"")</f>
        <v/>
      </c>
      <c r="H838" s="32" t="str">
        <f>IFERROR(__xludf.DUMMYFUNCTION("IFERROR(VALUE(REGEXEXTRACT(C838,""\d+\s*/\s*(\d+)"")),"""")"),"")</f>
        <v/>
      </c>
      <c r="I838" s="32" t="str">
        <f t="shared" si="2"/>
        <v/>
      </c>
      <c r="J838" s="33" t="str">
        <f t="shared" si="3"/>
        <v/>
      </c>
    </row>
    <row r="839" ht="15.75" customHeight="1">
      <c r="A839" s="22" t="s">
        <v>113</v>
      </c>
      <c r="B839" s="22" t="str">
        <f>IF(MOV_CC_NACIONAL!A839="","",MOV_CC_NACIONAL!A839)</f>
        <v/>
      </c>
      <c r="C839" s="22" t="str">
        <f>IF(MOV_CC_NACIONAL!B839="","",MOV_CC_NACIONAL!B839)</f>
        <v/>
      </c>
      <c r="D839" s="34" t="str">
        <f>IF(MOV_CC_NACIONAL!C839="","",MOV_CC_NACIONAL!C839)</f>
        <v/>
      </c>
      <c r="E839" s="22" t="str">
        <f t="shared" si="1"/>
        <v/>
      </c>
      <c r="F839" s="22" t="str">
        <f>IFERROR(__xludf.DUMMYFUNCTION("IF(C839="""","""", OR(REGEXMATCH(LOWER(C839),""cuota""), REGEXMATCH(C839,""\d+\s*/\s*\d+"")))"),"")</f>
        <v/>
      </c>
      <c r="G839" s="22" t="str">
        <f>IFERROR(__xludf.DUMMYFUNCTION("IFERROR(VALUE(REGEXEXTRACT(C839,""(\d+)\s*/\s*\d+"")),"""")"),"")</f>
        <v/>
      </c>
      <c r="H839" s="22" t="str">
        <f>IFERROR(__xludf.DUMMYFUNCTION("IFERROR(VALUE(REGEXEXTRACT(C839,""\d+\s*/\s*(\d+)"")),"""")"),"")</f>
        <v/>
      </c>
      <c r="I839" s="22" t="str">
        <f t="shared" si="2"/>
        <v/>
      </c>
      <c r="J839" s="34" t="str">
        <f t="shared" si="3"/>
        <v/>
      </c>
    </row>
    <row r="840" ht="15.75" customHeight="1">
      <c r="A840" s="32" t="s">
        <v>113</v>
      </c>
      <c r="B840" s="32" t="str">
        <f>IF(MOV_CC_NACIONAL!A840="","",MOV_CC_NACIONAL!A840)</f>
        <v/>
      </c>
      <c r="C840" s="32" t="str">
        <f>IF(MOV_CC_NACIONAL!B840="","",MOV_CC_NACIONAL!B840)</f>
        <v/>
      </c>
      <c r="D840" s="33" t="str">
        <f>IF(MOV_CC_NACIONAL!C840="","",MOV_CC_NACIONAL!C840)</f>
        <v/>
      </c>
      <c r="E840" s="32" t="str">
        <f t="shared" si="1"/>
        <v/>
      </c>
      <c r="F840" s="32" t="str">
        <f>IFERROR(__xludf.DUMMYFUNCTION("IF(C840="""","""", OR(REGEXMATCH(LOWER(C840),""cuota""), REGEXMATCH(C840,""\d+\s*/\s*\d+"")))"),"")</f>
        <v/>
      </c>
      <c r="G840" s="32" t="str">
        <f>IFERROR(__xludf.DUMMYFUNCTION("IFERROR(VALUE(REGEXEXTRACT(C840,""(\d+)\s*/\s*\d+"")),"""")"),"")</f>
        <v/>
      </c>
      <c r="H840" s="32" t="str">
        <f>IFERROR(__xludf.DUMMYFUNCTION("IFERROR(VALUE(REGEXEXTRACT(C840,""\d+\s*/\s*(\d+)"")),"""")"),"")</f>
        <v/>
      </c>
      <c r="I840" s="32" t="str">
        <f t="shared" si="2"/>
        <v/>
      </c>
      <c r="J840" s="33" t="str">
        <f t="shared" si="3"/>
        <v/>
      </c>
    </row>
    <row r="841" ht="15.75" customHeight="1">
      <c r="A841" s="22" t="s">
        <v>113</v>
      </c>
      <c r="B841" s="22" t="str">
        <f>IF(MOV_CC_NACIONAL!A841="","",MOV_CC_NACIONAL!A841)</f>
        <v/>
      </c>
      <c r="C841" s="22" t="str">
        <f>IF(MOV_CC_NACIONAL!B841="","",MOV_CC_NACIONAL!B841)</f>
        <v/>
      </c>
      <c r="D841" s="34" t="str">
        <f>IF(MOV_CC_NACIONAL!C841="","",MOV_CC_NACIONAL!C841)</f>
        <v/>
      </c>
      <c r="E841" s="22" t="str">
        <f t="shared" si="1"/>
        <v/>
      </c>
      <c r="F841" s="22" t="str">
        <f>IFERROR(__xludf.DUMMYFUNCTION("IF(C841="""","""", OR(REGEXMATCH(LOWER(C841),""cuota""), REGEXMATCH(C841,""\d+\s*/\s*\d+"")))"),"")</f>
        <v/>
      </c>
      <c r="G841" s="22" t="str">
        <f>IFERROR(__xludf.DUMMYFUNCTION("IFERROR(VALUE(REGEXEXTRACT(C841,""(\d+)\s*/\s*\d+"")),"""")"),"")</f>
        <v/>
      </c>
      <c r="H841" s="22" t="str">
        <f>IFERROR(__xludf.DUMMYFUNCTION("IFERROR(VALUE(REGEXEXTRACT(C841,""\d+\s*/\s*(\d+)"")),"""")"),"")</f>
        <v/>
      </c>
      <c r="I841" s="22" t="str">
        <f t="shared" si="2"/>
        <v/>
      </c>
      <c r="J841" s="34" t="str">
        <f t="shared" si="3"/>
        <v/>
      </c>
    </row>
    <row r="842" ht="15.75" customHeight="1">
      <c r="A842" s="32" t="s">
        <v>113</v>
      </c>
      <c r="B842" s="32" t="str">
        <f>IF(MOV_CC_NACIONAL!A842="","",MOV_CC_NACIONAL!A842)</f>
        <v/>
      </c>
      <c r="C842" s="32" t="str">
        <f>IF(MOV_CC_NACIONAL!B842="","",MOV_CC_NACIONAL!B842)</f>
        <v/>
      </c>
      <c r="D842" s="33" t="str">
        <f>IF(MOV_CC_NACIONAL!C842="","",MOV_CC_NACIONAL!C842)</f>
        <v/>
      </c>
      <c r="E842" s="32" t="str">
        <f t="shared" si="1"/>
        <v/>
      </c>
      <c r="F842" s="32" t="str">
        <f>IFERROR(__xludf.DUMMYFUNCTION("IF(C842="""","""", OR(REGEXMATCH(LOWER(C842),""cuota""), REGEXMATCH(C842,""\d+\s*/\s*\d+"")))"),"")</f>
        <v/>
      </c>
      <c r="G842" s="32" t="str">
        <f>IFERROR(__xludf.DUMMYFUNCTION("IFERROR(VALUE(REGEXEXTRACT(C842,""(\d+)\s*/\s*\d+"")),"""")"),"")</f>
        <v/>
      </c>
      <c r="H842" s="32" t="str">
        <f>IFERROR(__xludf.DUMMYFUNCTION("IFERROR(VALUE(REGEXEXTRACT(C842,""\d+\s*/\s*(\d+)"")),"""")"),"")</f>
        <v/>
      </c>
      <c r="I842" s="32" t="str">
        <f t="shared" si="2"/>
        <v/>
      </c>
      <c r="J842" s="33" t="str">
        <f t="shared" si="3"/>
        <v/>
      </c>
    </row>
    <row r="843" ht="15.75" customHeight="1">
      <c r="A843" s="22" t="s">
        <v>113</v>
      </c>
      <c r="B843" s="22" t="str">
        <f>IF(MOV_CC_NACIONAL!A843="","",MOV_CC_NACIONAL!A843)</f>
        <v/>
      </c>
      <c r="C843" s="22" t="str">
        <f>IF(MOV_CC_NACIONAL!B843="","",MOV_CC_NACIONAL!B843)</f>
        <v/>
      </c>
      <c r="D843" s="34" t="str">
        <f>IF(MOV_CC_NACIONAL!C843="","",MOV_CC_NACIONAL!C843)</f>
        <v/>
      </c>
      <c r="E843" s="22" t="str">
        <f t="shared" si="1"/>
        <v/>
      </c>
      <c r="F843" s="22" t="str">
        <f>IFERROR(__xludf.DUMMYFUNCTION("IF(C843="""","""", OR(REGEXMATCH(LOWER(C843),""cuota""), REGEXMATCH(C843,""\d+\s*/\s*\d+"")))"),"")</f>
        <v/>
      </c>
      <c r="G843" s="22" t="str">
        <f>IFERROR(__xludf.DUMMYFUNCTION("IFERROR(VALUE(REGEXEXTRACT(C843,""(\d+)\s*/\s*\d+"")),"""")"),"")</f>
        <v/>
      </c>
      <c r="H843" s="22" t="str">
        <f>IFERROR(__xludf.DUMMYFUNCTION("IFERROR(VALUE(REGEXEXTRACT(C843,""\d+\s*/\s*(\d+)"")),"""")"),"")</f>
        <v/>
      </c>
      <c r="I843" s="22" t="str">
        <f t="shared" si="2"/>
        <v/>
      </c>
      <c r="J843" s="34" t="str">
        <f t="shared" si="3"/>
        <v/>
      </c>
    </row>
    <row r="844" ht="15.75" customHeight="1">
      <c r="A844" s="32" t="s">
        <v>113</v>
      </c>
      <c r="B844" s="32" t="str">
        <f>IF(MOV_CC_NACIONAL!A844="","",MOV_CC_NACIONAL!A844)</f>
        <v/>
      </c>
      <c r="C844" s="32" t="str">
        <f>IF(MOV_CC_NACIONAL!B844="","",MOV_CC_NACIONAL!B844)</f>
        <v/>
      </c>
      <c r="D844" s="33" t="str">
        <f>IF(MOV_CC_NACIONAL!C844="","",MOV_CC_NACIONAL!C844)</f>
        <v/>
      </c>
      <c r="E844" s="32" t="str">
        <f t="shared" si="1"/>
        <v/>
      </c>
      <c r="F844" s="32" t="str">
        <f>IFERROR(__xludf.DUMMYFUNCTION("IF(C844="""","""", OR(REGEXMATCH(LOWER(C844),""cuota""), REGEXMATCH(C844,""\d+\s*/\s*\d+"")))"),"")</f>
        <v/>
      </c>
      <c r="G844" s="32" t="str">
        <f>IFERROR(__xludf.DUMMYFUNCTION("IFERROR(VALUE(REGEXEXTRACT(C844,""(\d+)\s*/\s*\d+"")),"""")"),"")</f>
        <v/>
      </c>
      <c r="H844" s="32" t="str">
        <f>IFERROR(__xludf.DUMMYFUNCTION("IFERROR(VALUE(REGEXEXTRACT(C844,""\d+\s*/\s*(\d+)"")),"""")"),"")</f>
        <v/>
      </c>
      <c r="I844" s="32" t="str">
        <f t="shared" si="2"/>
        <v/>
      </c>
      <c r="J844" s="33" t="str">
        <f t="shared" si="3"/>
        <v/>
      </c>
    </row>
    <row r="845" ht="15.75" customHeight="1">
      <c r="A845" s="22" t="s">
        <v>113</v>
      </c>
      <c r="B845" s="22" t="str">
        <f>IF(MOV_CC_NACIONAL!A845="","",MOV_CC_NACIONAL!A845)</f>
        <v/>
      </c>
      <c r="C845" s="22" t="str">
        <f>IF(MOV_CC_NACIONAL!B845="","",MOV_CC_NACIONAL!B845)</f>
        <v/>
      </c>
      <c r="D845" s="34" t="str">
        <f>IF(MOV_CC_NACIONAL!C845="","",MOV_CC_NACIONAL!C845)</f>
        <v/>
      </c>
      <c r="E845" s="22" t="str">
        <f t="shared" si="1"/>
        <v/>
      </c>
      <c r="F845" s="22" t="str">
        <f>IFERROR(__xludf.DUMMYFUNCTION("IF(C845="""","""", OR(REGEXMATCH(LOWER(C845),""cuota""), REGEXMATCH(C845,""\d+\s*/\s*\d+"")))"),"")</f>
        <v/>
      </c>
      <c r="G845" s="22" t="str">
        <f>IFERROR(__xludf.DUMMYFUNCTION("IFERROR(VALUE(REGEXEXTRACT(C845,""(\d+)\s*/\s*\d+"")),"""")"),"")</f>
        <v/>
      </c>
      <c r="H845" s="22" t="str">
        <f>IFERROR(__xludf.DUMMYFUNCTION("IFERROR(VALUE(REGEXEXTRACT(C845,""\d+\s*/\s*(\d+)"")),"""")"),"")</f>
        <v/>
      </c>
      <c r="I845" s="22" t="str">
        <f t="shared" si="2"/>
        <v/>
      </c>
      <c r="J845" s="34" t="str">
        <f t="shared" si="3"/>
        <v/>
      </c>
    </row>
    <row r="846" ht="15.75" customHeight="1">
      <c r="A846" s="32" t="s">
        <v>113</v>
      </c>
      <c r="B846" s="32" t="str">
        <f>IF(MOV_CC_NACIONAL!A846="","",MOV_CC_NACIONAL!A846)</f>
        <v/>
      </c>
      <c r="C846" s="32" t="str">
        <f>IF(MOV_CC_NACIONAL!B846="","",MOV_CC_NACIONAL!B846)</f>
        <v/>
      </c>
      <c r="D846" s="33" t="str">
        <f>IF(MOV_CC_NACIONAL!C846="","",MOV_CC_NACIONAL!C846)</f>
        <v/>
      </c>
      <c r="E846" s="32" t="str">
        <f t="shared" si="1"/>
        <v/>
      </c>
      <c r="F846" s="32" t="str">
        <f>IFERROR(__xludf.DUMMYFUNCTION("IF(C846="""","""", OR(REGEXMATCH(LOWER(C846),""cuota""), REGEXMATCH(C846,""\d+\s*/\s*\d+"")))"),"")</f>
        <v/>
      </c>
      <c r="G846" s="32" t="str">
        <f>IFERROR(__xludf.DUMMYFUNCTION("IFERROR(VALUE(REGEXEXTRACT(C846,""(\d+)\s*/\s*\d+"")),"""")"),"")</f>
        <v/>
      </c>
      <c r="H846" s="32" t="str">
        <f>IFERROR(__xludf.DUMMYFUNCTION("IFERROR(VALUE(REGEXEXTRACT(C846,""\d+\s*/\s*(\d+)"")),"""")"),"")</f>
        <v/>
      </c>
      <c r="I846" s="32" t="str">
        <f t="shared" si="2"/>
        <v/>
      </c>
      <c r="J846" s="33" t="str">
        <f t="shared" si="3"/>
        <v/>
      </c>
    </row>
    <row r="847" ht="15.75" customHeight="1">
      <c r="A847" s="22" t="s">
        <v>113</v>
      </c>
      <c r="B847" s="22" t="str">
        <f>IF(MOV_CC_NACIONAL!A847="","",MOV_CC_NACIONAL!A847)</f>
        <v/>
      </c>
      <c r="C847" s="22" t="str">
        <f>IF(MOV_CC_NACIONAL!B847="","",MOV_CC_NACIONAL!B847)</f>
        <v/>
      </c>
      <c r="D847" s="34" t="str">
        <f>IF(MOV_CC_NACIONAL!C847="","",MOV_CC_NACIONAL!C847)</f>
        <v/>
      </c>
      <c r="E847" s="22" t="str">
        <f t="shared" si="1"/>
        <v/>
      </c>
      <c r="F847" s="22" t="str">
        <f>IFERROR(__xludf.DUMMYFUNCTION("IF(C847="""","""", OR(REGEXMATCH(LOWER(C847),""cuota""), REGEXMATCH(C847,""\d+\s*/\s*\d+"")))"),"")</f>
        <v/>
      </c>
      <c r="G847" s="22" t="str">
        <f>IFERROR(__xludf.DUMMYFUNCTION("IFERROR(VALUE(REGEXEXTRACT(C847,""(\d+)\s*/\s*\d+"")),"""")"),"")</f>
        <v/>
      </c>
      <c r="H847" s="22" t="str">
        <f>IFERROR(__xludf.DUMMYFUNCTION("IFERROR(VALUE(REGEXEXTRACT(C847,""\d+\s*/\s*(\d+)"")),"""")"),"")</f>
        <v/>
      </c>
      <c r="I847" s="22" t="str">
        <f t="shared" si="2"/>
        <v/>
      </c>
      <c r="J847" s="34" t="str">
        <f t="shared" si="3"/>
        <v/>
      </c>
    </row>
    <row r="848" ht="15.75" customHeight="1">
      <c r="A848" s="32" t="s">
        <v>113</v>
      </c>
      <c r="B848" s="32" t="str">
        <f>IF(MOV_CC_NACIONAL!A848="","",MOV_CC_NACIONAL!A848)</f>
        <v/>
      </c>
      <c r="C848" s="32" t="str">
        <f>IF(MOV_CC_NACIONAL!B848="","",MOV_CC_NACIONAL!B848)</f>
        <v/>
      </c>
      <c r="D848" s="33" t="str">
        <f>IF(MOV_CC_NACIONAL!C848="","",MOV_CC_NACIONAL!C848)</f>
        <v/>
      </c>
      <c r="E848" s="32" t="str">
        <f t="shared" si="1"/>
        <v/>
      </c>
      <c r="F848" s="32" t="str">
        <f>IFERROR(__xludf.DUMMYFUNCTION("IF(C848="""","""", OR(REGEXMATCH(LOWER(C848),""cuota""), REGEXMATCH(C848,""\d+\s*/\s*\d+"")))"),"")</f>
        <v/>
      </c>
      <c r="G848" s="32" t="str">
        <f>IFERROR(__xludf.DUMMYFUNCTION("IFERROR(VALUE(REGEXEXTRACT(C848,""(\d+)\s*/\s*\d+"")),"""")"),"")</f>
        <v/>
      </c>
      <c r="H848" s="32" t="str">
        <f>IFERROR(__xludf.DUMMYFUNCTION("IFERROR(VALUE(REGEXEXTRACT(C848,""\d+\s*/\s*(\d+)"")),"""")"),"")</f>
        <v/>
      </c>
      <c r="I848" s="32" t="str">
        <f t="shared" si="2"/>
        <v/>
      </c>
      <c r="J848" s="33" t="str">
        <f t="shared" si="3"/>
        <v/>
      </c>
    </row>
    <row r="849" ht="15.75" customHeight="1">
      <c r="A849" s="22" t="s">
        <v>113</v>
      </c>
      <c r="B849" s="22" t="str">
        <f>IF(MOV_CC_NACIONAL!A849="","",MOV_CC_NACIONAL!A849)</f>
        <v/>
      </c>
      <c r="C849" s="22" t="str">
        <f>IF(MOV_CC_NACIONAL!B849="","",MOV_CC_NACIONAL!B849)</f>
        <v/>
      </c>
      <c r="D849" s="34" t="str">
        <f>IF(MOV_CC_NACIONAL!C849="","",MOV_CC_NACIONAL!C849)</f>
        <v/>
      </c>
      <c r="E849" s="22" t="str">
        <f t="shared" si="1"/>
        <v/>
      </c>
      <c r="F849" s="22" t="str">
        <f>IFERROR(__xludf.DUMMYFUNCTION("IF(C849="""","""", OR(REGEXMATCH(LOWER(C849),""cuota""), REGEXMATCH(C849,""\d+\s*/\s*\d+"")))"),"")</f>
        <v/>
      </c>
      <c r="G849" s="22" t="str">
        <f>IFERROR(__xludf.DUMMYFUNCTION("IFERROR(VALUE(REGEXEXTRACT(C849,""(\d+)\s*/\s*\d+"")),"""")"),"")</f>
        <v/>
      </c>
      <c r="H849" s="22" t="str">
        <f>IFERROR(__xludf.DUMMYFUNCTION("IFERROR(VALUE(REGEXEXTRACT(C849,""\d+\s*/\s*(\d+)"")),"""")"),"")</f>
        <v/>
      </c>
      <c r="I849" s="22" t="str">
        <f t="shared" si="2"/>
        <v/>
      </c>
      <c r="J849" s="34" t="str">
        <f t="shared" si="3"/>
        <v/>
      </c>
    </row>
    <row r="850" ht="15.75" customHeight="1">
      <c r="A850" s="32" t="s">
        <v>113</v>
      </c>
      <c r="B850" s="32" t="str">
        <f>IF(MOV_CC_NACIONAL!A850="","",MOV_CC_NACIONAL!A850)</f>
        <v/>
      </c>
      <c r="C850" s="32" t="str">
        <f>IF(MOV_CC_NACIONAL!B850="","",MOV_CC_NACIONAL!B850)</f>
        <v/>
      </c>
      <c r="D850" s="33" t="str">
        <f>IF(MOV_CC_NACIONAL!C850="","",MOV_CC_NACIONAL!C850)</f>
        <v/>
      </c>
      <c r="E850" s="32" t="str">
        <f t="shared" si="1"/>
        <v/>
      </c>
      <c r="F850" s="32" t="str">
        <f>IFERROR(__xludf.DUMMYFUNCTION("IF(C850="""","""", OR(REGEXMATCH(LOWER(C850),""cuota""), REGEXMATCH(C850,""\d+\s*/\s*\d+"")))"),"")</f>
        <v/>
      </c>
      <c r="G850" s="32" t="str">
        <f>IFERROR(__xludf.DUMMYFUNCTION("IFERROR(VALUE(REGEXEXTRACT(C850,""(\d+)\s*/\s*\d+"")),"""")"),"")</f>
        <v/>
      </c>
      <c r="H850" s="32" t="str">
        <f>IFERROR(__xludf.DUMMYFUNCTION("IFERROR(VALUE(REGEXEXTRACT(C850,""\d+\s*/\s*(\d+)"")),"""")"),"")</f>
        <v/>
      </c>
      <c r="I850" s="32" t="str">
        <f t="shared" si="2"/>
        <v/>
      </c>
      <c r="J850" s="33" t="str">
        <f t="shared" si="3"/>
        <v/>
      </c>
    </row>
    <row r="851" ht="15.75" customHeight="1">
      <c r="A851" s="22" t="s">
        <v>113</v>
      </c>
      <c r="B851" s="22" t="str">
        <f>IF(MOV_CC_NACIONAL!A851="","",MOV_CC_NACIONAL!A851)</f>
        <v/>
      </c>
      <c r="C851" s="22" t="str">
        <f>IF(MOV_CC_NACIONAL!B851="","",MOV_CC_NACIONAL!B851)</f>
        <v/>
      </c>
      <c r="D851" s="34" t="str">
        <f>IF(MOV_CC_NACIONAL!C851="","",MOV_CC_NACIONAL!C851)</f>
        <v/>
      </c>
      <c r="E851" s="22" t="str">
        <f t="shared" si="1"/>
        <v/>
      </c>
      <c r="F851" s="22" t="str">
        <f>IFERROR(__xludf.DUMMYFUNCTION("IF(C851="""","""", OR(REGEXMATCH(LOWER(C851),""cuota""), REGEXMATCH(C851,""\d+\s*/\s*\d+"")))"),"")</f>
        <v/>
      </c>
      <c r="G851" s="22" t="str">
        <f>IFERROR(__xludf.DUMMYFUNCTION("IFERROR(VALUE(REGEXEXTRACT(C851,""(\d+)\s*/\s*\d+"")),"""")"),"")</f>
        <v/>
      </c>
      <c r="H851" s="22" t="str">
        <f>IFERROR(__xludf.DUMMYFUNCTION("IFERROR(VALUE(REGEXEXTRACT(C851,""\d+\s*/\s*(\d+)"")),"""")"),"")</f>
        <v/>
      </c>
      <c r="I851" s="22" t="str">
        <f t="shared" si="2"/>
        <v/>
      </c>
      <c r="J851" s="34" t="str">
        <f t="shared" si="3"/>
        <v/>
      </c>
    </row>
    <row r="852" ht="15.75" customHeight="1">
      <c r="A852" s="32" t="s">
        <v>113</v>
      </c>
      <c r="B852" s="32" t="str">
        <f>IF(MOV_CC_NACIONAL!A852="","",MOV_CC_NACIONAL!A852)</f>
        <v/>
      </c>
      <c r="C852" s="32" t="str">
        <f>IF(MOV_CC_NACIONAL!B852="","",MOV_CC_NACIONAL!B852)</f>
        <v/>
      </c>
      <c r="D852" s="33" t="str">
        <f>IF(MOV_CC_NACIONAL!C852="","",MOV_CC_NACIONAL!C852)</f>
        <v/>
      </c>
      <c r="E852" s="32" t="str">
        <f t="shared" si="1"/>
        <v/>
      </c>
      <c r="F852" s="32" t="str">
        <f>IFERROR(__xludf.DUMMYFUNCTION("IF(C852="""","""", OR(REGEXMATCH(LOWER(C852),""cuota""), REGEXMATCH(C852,""\d+\s*/\s*\d+"")))"),"")</f>
        <v/>
      </c>
      <c r="G852" s="32" t="str">
        <f>IFERROR(__xludf.DUMMYFUNCTION("IFERROR(VALUE(REGEXEXTRACT(C852,""(\d+)\s*/\s*\d+"")),"""")"),"")</f>
        <v/>
      </c>
      <c r="H852" s="32" t="str">
        <f>IFERROR(__xludf.DUMMYFUNCTION("IFERROR(VALUE(REGEXEXTRACT(C852,""\d+\s*/\s*(\d+)"")),"""")"),"")</f>
        <v/>
      </c>
      <c r="I852" s="32" t="str">
        <f t="shared" si="2"/>
        <v/>
      </c>
      <c r="J852" s="33" t="str">
        <f t="shared" si="3"/>
        <v/>
      </c>
    </row>
    <row r="853" ht="15.75" customHeight="1">
      <c r="A853" s="22" t="s">
        <v>113</v>
      </c>
      <c r="B853" s="22" t="str">
        <f>IF(MOV_CC_NACIONAL!A853="","",MOV_CC_NACIONAL!A853)</f>
        <v/>
      </c>
      <c r="C853" s="22" t="str">
        <f>IF(MOV_CC_NACIONAL!B853="","",MOV_CC_NACIONAL!B853)</f>
        <v/>
      </c>
      <c r="D853" s="34" t="str">
        <f>IF(MOV_CC_NACIONAL!C853="","",MOV_CC_NACIONAL!C853)</f>
        <v/>
      </c>
      <c r="E853" s="22" t="str">
        <f t="shared" si="1"/>
        <v/>
      </c>
      <c r="F853" s="22" t="str">
        <f>IFERROR(__xludf.DUMMYFUNCTION("IF(C853="""","""", OR(REGEXMATCH(LOWER(C853),""cuota""), REGEXMATCH(C853,""\d+\s*/\s*\d+"")))"),"")</f>
        <v/>
      </c>
      <c r="G853" s="22" t="str">
        <f>IFERROR(__xludf.DUMMYFUNCTION("IFERROR(VALUE(REGEXEXTRACT(C853,""(\d+)\s*/\s*\d+"")),"""")"),"")</f>
        <v/>
      </c>
      <c r="H853" s="22" t="str">
        <f>IFERROR(__xludf.DUMMYFUNCTION("IFERROR(VALUE(REGEXEXTRACT(C853,""\d+\s*/\s*(\d+)"")),"""")"),"")</f>
        <v/>
      </c>
      <c r="I853" s="22" t="str">
        <f t="shared" si="2"/>
        <v/>
      </c>
      <c r="J853" s="34" t="str">
        <f t="shared" si="3"/>
        <v/>
      </c>
    </row>
    <row r="854" ht="15.75" customHeight="1">
      <c r="A854" s="32" t="s">
        <v>113</v>
      </c>
      <c r="B854" s="32" t="str">
        <f>IF(MOV_CC_NACIONAL!A854="","",MOV_CC_NACIONAL!A854)</f>
        <v/>
      </c>
      <c r="C854" s="32" t="str">
        <f>IF(MOV_CC_NACIONAL!B854="","",MOV_CC_NACIONAL!B854)</f>
        <v/>
      </c>
      <c r="D854" s="33" t="str">
        <f>IF(MOV_CC_NACIONAL!C854="","",MOV_CC_NACIONAL!C854)</f>
        <v/>
      </c>
      <c r="E854" s="32" t="str">
        <f t="shared" si="1"/>
        <v/>
      </c>
      <c r="F854" s="32" t="str">
        <f>IFERROR(__xludf.DUMMYFUNCTION("IF(C854="""","""", OR(REGEXMATCH(LOWER(C854),""cuota""), REGEXMATCH(C854,""\d+\s*/\s*\d+"")))"),"")</f>
        <v/>
      </c>
      <c r="G854" s="32" t="str">
        <f>IFERROR(__xludf.DUMMYFUNCTION("IFERROR(VALUE(REGEXEXTRACT(C854,""(\d+)\s*/\s*\d+"")),"""")"),"")</f>
        <v/>
      </c>
      <c r="H854" s="32" t="str">
        <f>IFERROR(__xludf.DUMMYFUNCTION("IFERROR(VALUE(REGEXEXTRACT(C854,""\d+\s*/\s*(\d+)"")),"""")"),"")</f>
        <v/>
      </c>
      <c r="I854" s="32" t="str">
        <f t="shared" si="2"/>
        <v/>
      </c>
      <c r="J854" s="33" t="str">
        <f t="shared" si="3"/>
        <v/>
      </c>
    </row>
    <row r="855" ht="15.75" customHeight="1">
      <c r="A855" s="22" t="s">
        <v>113</v>
      </c>
      <c r="B855" s="22" t="str">
        <f>IF(MOV_CC_NACIONAL!A855="","",MOV_CC_NACIONAL!A855)</f>
        <v/>
      </c>
      <c r="C855" s="22" t="str">
        <f>IF(MOV_CC_NACIONAL!B855="","",MOV_CC_NACIONAL!B855)</f>
        <v/>
      </c>
      <c r="D855" s="34" t="str">
        <f>IF(MOV_CC_NACIONAL!C855="","",MOV_CC_NACIONAL!C855)</f>
        <v/>
      </c>
      <c r="E855" s="22" t="str">
        <f t="shared" si="1"/>
        <v/>
      </c>
      <c r="F855" s="22" t="str">
        <f>IFERROR(__xludf.DUMMYFUNCTION("IF(C855="""","""", OR(REGEXMATCH(LOWER(C855),""cuota""), REGEXMATCH(C855,""\d+\s*/\s*\d+"")))"),"")</f>
        <v/>
      </c>
      <c r="G855" s="22" t="str">
        <f>IFERROR(__xludf.DUMMYFUNCTION("IFERROR(VALUE(REGEXEXTRACT(C855,""(\d+)\s*/\s*\d+"")),"""")"),"")</f>
        <v/>
      </c>
      <c r="H855" s="22" t="str">
        <f>IFERROR(__xludf.DUMMYFUNCTION("IFERROR(VALUE(REGEXEXTRACT(C855,""\d+\s*/\s*(\d+)"")),"""")"),"")</f>
        <v/>
      </c>
      <c r="I855" s="22" t="str">
        <f t="shared" si="2"/>
        <v/>
      </c>
      <c r="J855" s="34" t="str">
        <f t="shared" si="3"/>
        <v/>
      </c>
    </row>
    <row r="856" ht="15.75" customHeight="1">
      <c r="A856" s="32" t="s">
        <v>113</v>
      </c>
      <c r="B856" s="32" t="str">
        <f>IF(MOV_CC_NACIONAL!A856="","",MOV_CC_NACIONAL!A856)</f>
        <v/>
      </c>
      <c r="C856" s="32" t="str">
        <f>IF(MOV_CC_NACIONAL!B856="","",MOV_CC_NACIONAL!B856)</f>
        <v/>
      </c>
      <c r="D856" s="33" t="str">
        <f>IF(MOV_CC_NACIONAL!C856="","",MOV_CC_NACIONAL!C856)</f>
        <v/>
      </c>
      <c r="E856" s="32" t="str">
        <f t="shared" si="1"/>
        <v/>
      </c>
      <c r="F856" s="32" t="str">
        <f>IFERROR(__xludf.DUMMYFUNCTION("IF(C856="""","""", OR(REGEXMATCH(LOWER(C856),""cuota""), REGEXMATCH(C856,""\d+\s*/\s*\d+"")))"),"")</f>
        <v/>
      </c>
      <c r="G856" s="32" t="str">
        <f>IFERROR(__xludf.DUMMYFUNCTION("IFERROR(VALUE(REGEXEXTRACT(C856,""(\d+)\s*/\s*\d+"")),"""")"),"")</f>
        <v/>
      </c>
      <c r="H856" s="32" t="str">
        <f>IFERROR(__xludf.DUMMYFUNCTION("IFERROR(VALUE(REGEXEXTRACT(C856,""\d+\s*/\s*(\d+)"")),"""")"),"")</f>
        <v/>
      </c>
      <c r="I856" s="32" t="str">
        <f t="shared" si="2"/>
        <v/>
      </c>
      <c r="J856" s="33" t="str">
        <f t="shared" si="3"/>
        <v/>
      </c>
    </row>
    <row r="857" ht="15.75" customHeight="1">
      <c r="A857" s="22" t="s">
        <v>113</v>
      </c>
      <c r="B857" s="22" t="str">
        <f>IF(MOV_CC_NACIONAL!A857="","",MOV_CC_NACIONAL!A857)</f>
        <v/>
      </c>
      <c r="C857" s="22" t="str">
        <f>IF(MOV_CC_NACIONAL!B857="","",MOV_CC_NACIONAL!B857)</f>
        <v/>
      </c>
      <c r="D857" s="34" t="str">
        <f>IF(MOV_CC_NACIONAL!C857="","",MOV_CC_NACIONAL!C857)</f>
        <v/>
      </c>
      <c r="E857" s="22" t="str">
        <f t="shared" si="1"/>
        <v/>
      </c>
      <c r="F857" s="22" t="str">
        <f>IFERROR(__xludf.DUMMYFUNCTION("IF(C857="""","""", OR(REGEXMATCH(LOWER(C857),""cuota""), REGEXMATCH(C857,""\d+\s*/\s*\d+"")))"),"")</f>
        <v/>
      </c>
      <c r="G857" s="22" t="str">
        <f>IFERROR(__xludf.DUMMYFUNCTION("IFERROR(VALUE(REGEXEXTRACT(C857,""(\d+)\s*/\s*\d+"")),"""")"),"")</f>
        <v/>
      </c>
      <c r="H857" s="22" t="str">
        <f>IFERROR(__xludf.DUMMYFUNCTION("IFERROR(VALUE(REGEXEXTRACT(C857,""\d+\s*/\s*(\d+)"")),"""")"),"")</f>
        <v/>
      </c>
      <c r="I857" s="22" t="str">
        <f t="shared" si="2"/>
        <v/>
      </c>
      <c r="J857" s="34" t="str">
        <f t="shared" si="3"/>
        <v/>
      </c>
    </row>
    <row r="858" ht="15.75" customHeight="1">
      <c r="A858" s="32" t="s">
        <v>113</v>
      </c>
      <c r="B858" s="32" t="str">
        <f>IF(MOV_CC_NACIONAL!A858="","",MOV_CC_NACIONAL!A858)</f>
        <v/>
      </c>
      <c r="C858" s="32" t="str">
        <f>IF(MOV_CC_NACIONAL!B858="","",MOV_CC_NACIONAL!B858)</f>
        <v/>
      </c>
      <c r="D858" s="33" t="str">
        <f>IF(MOV_CC_NACIONAL!C858="","",MOV_CC_NACIONAL!C858)</f>
        <v/>
      </c>
      <c r="E858" s="32" t="str">
        <f t="shared" si="1"/>
        <v/>
      </c>
      <c r="F858" s="32" t="str">
        <f>IFERROR(__xludf.DUMMYFUNCTION("IF(C858="""","""", OR(REGEXMATCH(LOWER(C858),""cuota""), REGEXMATCH(C858,""\d+\s*/\s*\d+"")))"),"")</f>
        <v/>
      </c>
      <c r="G858" s="32" t="str">
        <f>IFERROR(__xludf.DUMMYFUNCTION("IFERROR(VALUE(REGEXEXTRACT(C858,""(\d+)\s*/\s*\d+"")),"""")"),"")</f>
        <v/>
      </c>
      <c r="H858" s="32" t="str">
        <f>IFERROR(__xludf.DUMMYFUNCTION("IFERROR(VALUE(REGEXEXTRACT(C858,""\d+\s*/\s*(\d+)"")),"""")"),"")</f>
        <v/>
      </c>
      <c r="I858" s="32" t="str">
        <f t="shared" si="2"/>
        <v/>
      </c>
      <c r="J858" s="33" t="str">
        <f t="shared" si="3"/>
        <v/>
      </c>
    </row>
    <row r="859" ht="15.75" customHeight="1">
      <c r="A859" s="22" t="s">
        <v>113</v>
      </c>
      <c r="B859" s="22" t="str">
        <f>IF(MOV_CC_NACIONAL!A859="","",MOV_CC_NACIONAL!A859)</f>
        <v/>
      </c>
      <c r="C859" s="22" t="str">
        <f>IF(MOV_CC_NACIONAL!B859="","",MOV_CC_NACIONAL!B859)</f>
        <v/>
      </c>
      <c r="D859" s="34" t="str">
        <f>IF(MOV_CC_NACIONAL!C859="","",MOV_CC_NACIONAL!C859)</f>
        <v/>
      </c>
      <c r="E859" s="22" t="str">
        <f t="shared" si="1"/>
        <v/>
      </c>
      <c r="F859" s="22" t="str">
        <f>IFERROR(__xludf.DUMMYFUNCTION("IF(C859="""","""", OR(REGEXMATCH(LOWER(C859),""cuota""), REGEXMATCH(C859,""\d+\s*/\s*\d+"")))"),"")</f>
        <v/>
      </c>
      <c r="G859" s="22" t="str">
        <f>IFERROR(__xludf.DUMMYFUNCTION("IFERROR(VALUE(REGEXEXTRACT(C859,""(\d+)\s*/\s*\d+"")),"""")"),"")</f>
        <v/>
      </c>
      <c r="H859" s="22" t="str">
        <f>IFERROR(__xludf.DUMMYFUNCTION("IFERROR(VALUE(REGEXEXTRACT(C859,""\d+\s*/\s*(\d+)"")),"""")"),"")</f>
        <v/>
      </c>
      <c r="I859" s="22" t="str">
        <f t="shared" si="2"/>
        <v/>
      </c>
      <c r="J859" s="34" t="str">
        <f t="shared" si="3"/>
        <v/>
      </c>
    </row>
    <row r="860" ht="15.75" customHeight="1">
      <c r="A860" s="32" t="s">
        <v>113</v>
      </c>
      <c r="B860" s="32" t="str">
        <f>IF(MOV_CC_NACIONAL!A860="","",MOV_CC_NACIONAL!A860)</f>
        <v/>
      </c>
      <c r="C860" s="32" t="str">
        <f>IF(MOV_CC_NACIONAL!B860="","",MOV_CC_NACIONAL!B860)</f>
        <v/>
      </c>
      <c r="D860" s="33" t="str">
        <f>IF(MOV_CC_NACIONAL!C860="","",MOV_CC_NACIONAL!C860)</f>
        <v/>
      </c>
      <c r="E860" s="32" t="str">
        <f t="shared" si="1"/>
        <v/>
      </c>
      <c r="F860" s="32" t="str">
        <f>IFERROR(__xludf.DUMMYFUNCTION("IF(C860="""","""", OR(REGEXMATCH(LOWER(C860),""cuota""), REGEXMATCH(C860,""\d+\s*/\s*\d+"")))"),"")</f>
        <v/>
      </c>
      <c r="G860" s="32" t="str">
        <f>IFERROR(__xludf.DUMMYFUNCTION("IFERROR(VALUE(REGEXEXTRACT(C860,""(\d+)\s*/\s*\d+"")),"""")"),"")</f>
        <v/>
      </c>
      <c r="H860" s="32" t="str">
        <f>IFERROR(__xludf.DUMMYFUNCTION("IFERROR(VALUE(REGEXEXTRACT(C860,""\d+\s*/\s*(\d+)"")),"""")"),"")</f>
        <v/>
      </c>
      <c r="I860" s="32" t="str">
        <f t="shared" si="2"/>
        <v/>
      </c>
      <c r="J860" s="33" t="str">
        <f t="shared" si="3"/>
        <v/>
      </c>
    </row>
    <row r="861" ht="15.75" customHeight="1">
      <c r="A861" s="22" t="s">
        <v>113</v>
      </c>
      <c r="B861" s="22" t="str">
        <f>IF(MOV_CC_NACIONAL!A861="","",MOV_CC_NACIONAL!A861)</f>
        <v/>
      </c>
      <c r="C861" s="22" t="str">
        <f>IF(MOV_CC_NACIONAL!B861="","",MOV_CC_NACIONAL!B861)</f>
        <v/>
      </c>
      <c r="D861" s="34" t="str">
        <f>IF(MOV_CC_NACIONAL!C861="","",MOV_CC_NACIONAL!C861)</f>
        <v/>
      </c>
      <c r="E861" s="22" t="str">
        <f t="shared" si="1"/>
        <v/>
      </c>
      <c r="F861" s="22" t="str">
        <f>IFERROR(__xludf.DUMMYFUNCTION("IF(C861="""","""", OR(REGEXMATCH(LOWER(C861),""cuota""), REGEXMATCH(C861,""\d+\s*/\s*\d+"")))"),"")</f>
        <v/>
      </c>
      <c r="G861" s="22" t="str">
        <f>IFERROR(__xludf.DUMMYFUNCTION("IFERROR(VALUE(REGEXEXTRACT(C861,""(\d+)\s*/\s*\d+"")),"""")"),"")</f>
        <v/>
      </c>
      <c r="H861" s="22" t="str">
        <f>IFERROR(__xludf.DUMMYFUNCTION("IFERROR(VALUE(REGEXEXTRACT(C861,""\d+\s*/\s*(\d+)"")),"""")"),"")</f>
        <v/>
      </c>
      <c r="I861" s="22" t="str">
        <f t="shared" si="2"/>
        <v/>
      </c>
      <c r="J861" s="34" t="str">
        <f t="shared" si="3"/>
        <v/>
      </c>
    </row>
    <row r="862" ht="15.75" customHeight="1">
      <c r="A862" s="32" t="s">
        <v>113</v>
      </c>
      <c r="B862" s="32" t="str">
        <f>IF(MOV_CC_NACIONAL!A862="","",MOV_CC_NACIONAL!A862)</f>
        <v/>
      </c>
      <c r="C862" s="32" t="str">
        <f>IF(MOV_CC_NACIONAL!B862="","",MOV_CC_NACIONAL!B862)</f>
        <v/>
      </c>
      <c r="D862" s="33" t="str">
        <f>IF(MOV_CC_NACIONAL!C862="","",MOV_CC_NACIONAL!C862)</f>
        <v/>
      </c>
      <c r="E862" s="32" t="str">
        <f t="shared" si="1"/>
        <v/>
      </c>
      <c r="F862" s="32" t="str">
        <f>IFERROR(__xludf.DUMMYFUNCTION("IF(C862="""","""", OR(REGEXMATCH(LOWER(C862),""cuota""), REGEXMATCH(C862,""\d+\s*/\s*\d+"")))"),"")</f>
        <v/>
      </c>
      <c r="G862" s="32" t="str">
        <f>IFERROR(__xludf.DUMMYFUNCTION("IFERROR(VALUE(REGEXEXTRACT(C862,""(\d+)\s*/\s*\d+"")),"""")"),"")</f>
        <v/>
      </c>
      <c r="H862" s="32" t="str">
        <f>IFERROR(__xludf.DUMMYFUNCTION("IFERROR(VALUE(REGEXEXTRACT(C862,""\d+\s*/\s*(\d+)"")),"""")"),"")</f>
        <v/>
      </c>
      <c r="I862" s="32" t="str">
        <f t="shared" si="2"/>
        <v/>
      </c>
      <c r="J862" s="33" t="str">
        <f t="shared" si="3"/>
        <v/>
      </c>
    </row>
    <row r="863" ht="15.75" customHeight="1">
      <c r="A863" s="22" t="s">
        <v>113</v>
      </c>
      <c r="B863" s="22" t="str">
        <f>IF(MOV_CC_NACIONAL!A863="","",MOV_CC_NACIONAL!A863)</f>
        <v/>
      </c>
      <c r="C863" s="22" t="str">
        <f>IF(MOV_CC_NACIONAL!B863="","",MOV_CC_NACIONAL!B863)</f>
        <v/>
      </c>
      <c r="D863" s="34" t="str">
        <f>IF(MOV_CC_NACIONAL!C863="","",MOV_CC_NACIONAL!C863)</f>
        <v/>
      </c>
      <c r="E863" s="22" t="str">
        <f t="shared" si="1"/>
        <v/>
      </c>
      <c r="F863" s="22" t="str">
        <f>IFERROR(__xludf.DUMMYFUNCTION("IF(C863="""","""", OR(REGEXMATCH(LOWER(C863),""cuota""), REGEXMATCH(C863,""\d+\s*/\s*\d+"")))"),"")</f>
        <v/>
      </c>
      <c r="G863" s="22" t="str">
        <f>IFERROR(__xludf.DUMMYFUNCTION("IFERROR(VALUE(REGEXEXTRACT(C863,""(\d+)\s*/\s*\d+"")),"""")"),"")</f>
        <v/>
      </c>
      <c r="H863" s="22" t="str">
        <f>IFERROR(__xludf.DUMMYFUNCTION("IFERROR(VALUE(REGEXEXTRACT(C863,""\d+\s*/\s*(\d+)"")),"""")"),"")</f>
        <v/>
      </c>
      <c r="I863" s="22" t="str">
        <f t="shared" si="2"/>
        <v/>
      </c>
      <c r="J863" s="34" t="str">
        <f t="shared" si="3"/>
        <v/>
      </c>
    </row>
    <row r="864" ht="15.75" customHeight="1">
      <c r="A864" s="32" t="s">
        <v>113</v>
      </c>
      <c r="B864" s="32" t="str">
        <f>IF(MOV_CC_NACIONAL!A864="","",MOV_CC_NACIONAL!A864)</f>
        <v/>
      </c>
      <c r="C864" s="32" t="str">
        <f>IF(MOV_CC_NACIONAL!B864="","",MOV_CC_NACIONAL!B864)</f>
        <v/>
      </c>
      <c r="D864" s="33" t="str">
        <f>IF(MOV_CC_NACIONAL!C864="","",MOV_CC_NACIONAL!C864)</f>
        <v/>
      </c>
      <c r="E864" s="32" t="str">
        <f t="shared" si="1"/>
        <v/>
      </c>
      <c r="F864" s="32" t="str">
        <f>IFERROR(__xludf.DUMMYFUNCTION("IF(C864="""","""", OR(REGEXMATCH(LOWER(C864),""cuota""), REGEXMATCH(C864,""\d+\s*/\s*\d+"")))"),"")</f>
        <v/>
      </c>
      <c r="G864" s="32" t="str">
        <f>IFERROR(__xludf.DUMMYFUNCTION("IFERROR(VALUE(REGEXEXTRACT(C864,""(\d+)\s*/\s*\d+"")),"""")"),"")</f>
        <v/>
      </c>
      <c r="H864" s="32" t="str">
        <f>IFERROR(__xludf.DUMMYFUNCTION("IFERROR(VALUE(REGEXEXTRACT(C864,""\d+\s*/\s*(\d+)"")),"""")"),"")</f>
        <v/>
      </c>
      <c r="I864" s="32" t="str">
        <f t="shared" si="2"/>
        <v/>
      </c>
      <c r="J864" s="33" t="str">
        <f t="shared" si="3"/>
        <v/>
      </c>
    </row>
    <row r="865" ht="15.75" customHeight="1">
      <c r="A865" s="22" t="s">
        <v>113</v>
      </c>
      <c r="B865" s="22" t="str">
        <f>IF(MOV_CC_NACIONAL!A865="","",MOV_CC_NACIONAL!A865)</f>
        <v/>
      </c>
      <c r="C865" s="22" t="str">
        <f>IF(MOV_CC_NACIONAL!B865="","",MOV_CC_NACIONAL!B865)</f>
        <v/>
      </c>
      <c r="D865" s="34" t="str">
        <f>IF(MOV_CC_NACIONAL!C865="","",MOV_CC_NACIONAL!C865)</f>
        <v/>
      </c>
      <c r="E865" s="22" t="str">
        <f t="shared" si="1"/>
        <v/>
      </c>
      <c r="F865" s="22" t="str">
        <f>IFERROR(__xludf.DUMMYFUNCTION("IF(C865="""","""", OR(REGEXMATCH(LOWER(C865),""cuota""), REGEXMATCH(C865,""\d+\s*/\s*\d+"")))"),"")</f>
        <v/>
      </c>
      <c r="G865" s="22" t="str">
        <f>IFERROR(__xludf.DUMMYFUNCTION("IFERROR(VALUE(REGEXEXTRACT(C865,""(\d+)\s*/\s*\d+"")),"""")"),"")</f>
        <v/>
      </c>
      <c r="H865" s="22" t="str">
        <f>IFERROR(__xludf.DUMMYFUNCTION("IFERROR(VALUE(REGEXEXTRACT(C865,""\d+\s*/\s*(\d+)"")),"""")"),"")</f>
        <v/>
      </c>
      <c r="I865" s="22" t="str">
        <f t="shared" si="2"/>
        <v/>
      </c>
      <c r="J865" s="34" t="str">
        <f t="shared" si="3"/>
        <v/>
      </c>
    </row>
    <row r="866" ht="15.75" customHeight="1">
      <c r="A866" s="32" t="s">
        <v>113</v>
      </c>
      <c r="B866" s="32" t="str">
        <f>IF(MOV_CC_NACIONAL!A866="","",MOV_CC_NACIONAL!A866)</f>
        <v/>
      </c>
      <c r="C866" s="32" t="str">
        <f>IF(MOV_CC_NACIONAL!B866="","",MOV_CC_NACIONAL!B866)</f>
        <v/>
      </c>
      <c r="D866" s="33" t="str">
        <f>IF(MOV_CC_NACIONAL!C866="","",MOV_CC_NACIONAL!C866)</f>
        <v/>
      </c>
      <c r="E866" s="32" t="str">
        <f t="shared" si="1"/>
        <v/>
      </c>
      <c r="F866" s="32" t="str">
        <f>IFERROR(__xludf.DUMMYFUNCTION("IF(C866="""","""", OR(REGEXMATCH(LOWER(C866),""cuota""), REGEXMATCH(C866,""\d+\s*/\s*\d+"")))"),"")</f>
        <v/>
      </c>
      <c r="G866" s="32" t="str">
        <f>IFERROR(__xludf.DUMMYFUNCTION("IFERROR(VALUE(REGEXEXTRACT(C866,""(\d+)\s*/\s*\d+"")),"""")"),"")</f>
        <v/>
      </c>
      <c r="H866" s="32" t="str">
        <f>IFERROR(__xludf.DUMMYFUNCTION("IFERROR(VALUE(REGEXEXTRACT(C866,""\d+\s*/\s*(\d+)"")),"""")"),"")</f>
        <v/>
      </c>
      <c r="I866" s="32" t="str">
        <f t="shared" si="2"/>
        <v/>
      </c>
      <c r="J866" s="33" t="str">
        <f t="shared" si="3"/>
        <v/>
      </c>
    </row>
    <row r="867" ht="15.75" customHeight="1">
      <c r="A867" s="22" t="s">
        <v>113</v>
      </c>
      <c r="B867" s="22" t="str">
        <f>IF(MOV_CC_NACIONAL!A867="","",MOV_CC_NACIONAL!A867)</f>
        <v/>
      </c>
      <c r="C867" s="22" t="str">
        <f>IF(MOV_CC_NACIONAL!B867="","",MOV_CC_NACIONAL!B867)</f>
        <v/>
      </c>
      <c r="D867" s="34" t="str">
        <f>IF(MOV_CC_NACIONAL!C867="","",MOV_CC_NACIONAL!C867)</f>
        <v/>
      </c>
      <c r="E867" s="22" t="str">
        <f t="shared" si="1"/>
        <v/>
      </c>
      <c r="F867" s="22" t="str">
        <f>IFERROR(__xludf.DUMMYFUNCTION("IF(C867="""","""", OR(REGEXMATCH(LOWER(C867),""cuota""), REGEXMATCH(C867,""\d+\s*/\s*\d+"")))"),"")</f>
        <v/>
      </c>
      <c r="G867" s="22" t="str">
        <f>IFERROR(__xludf.DUMMYFUNCTION("IFERROR(VALUE(REGEXEXTRACT(C867,""(\d+)\s*/\s*\d+"")),"""")"),"")</f>
        <v/>
      </c>
      <c r="H867" s="22" t="str">
        <f>IFERROR(__xludf.DUMMYFUNCTION("IFERROR(VALUE(REGEXEXTRACT(C867,""\d+\s*/\s*(\d+)"")),"""")"),"")</f>
        <v/>
      </c>
      <c r="I867" s="22" t="str">
        <f t="shared" si="2"/>
        <v/>
      </c>
      <c r="J867" s="34" t="str">
        <f t="shared" si="3"/>
        <v/>
      </c>
    </row>
    <row r="868" ht="15.75" customHeight="1">
      <c r="A868" s="32" t="s">
        <v>113</v>
      </c>
      <c r="B868" s="32" t="str">
        <f>IF(MOV_CC_NACIONAL!A868="","",MOV_CC_NACIONAL!A868)</f>
        <v/>
      </c>
      <c r="C868" s="32" t="str">
        <f>IF(MOV_CC_NACIONAL!B868="","",MOV_CC_NACIONAL!B868)</f>
        <v/>
      </c>
      <c r="D868" s="33" t="str">
        <f>IF(MOV_CC_NACIONAL!C868="","",MOV_CC_NACIONAL!C868)</f>
        <v/>
      </c>
      <c r="E868" s="32" t="str">
        <f t="shared" si="1"/>
        <v/>
      </c>
      <c r="F868" s="32" t="str">
        <f>IFERROR(__xludf.DUMMYFUNCTION("IF(C868="""","""", OR(REGEXMATCH(LOWER(C868),""cuota""), REGEXMATCH(C868,""\d+\s*/\s*\d+"")))"),"")</f>
        <v/>
      </c>
      <c r="G868" s="32" t="str">
        <f>IFERROR(__xludf.DUMMYFUNCTION("IFERROR(VALUE(REGEXEXTRACT(C868,""(\d+)\s*/\s*\d+"")),"""")"),"")</f>
        <v/>
      </c>
      <c r="H868" s="32" t="str">
        <f>IFERROR(__xludf.DUMMYFUNCTION("IFERROR(VALUE(REGEXEXTRACT(C868,""\d+\s*/\s*(\d+)"")),"""")"),"")</f>
        <v/>
      </c>
      <c r="I868" s="32" t="str">
        <f t="shared" si="2"/>
        <v/>
      </c>
      <c r="J868" s="33" t="str">
        <f t="shared" si="3"/>
        <v/>
      </c>
    </row>
    <row r="869" ht="15.75" customHeight="1">
      <c r="A869" s="22" t="s">
        <v>113</v>
      </c>
      <c r="B869" s="22" t="str">
        <f>IF(MOV_CC_NACIONAL!A869="","",MOV_CC_NACIONAL!A869)</f>
        <v/>
      </c>
      <c r="C869" s="22" t="str">
        <f>IF(MOV_CC_NACIONAL!B869="","",MOV_CC_NACIONAL!B869)</f>
        <v/>
      </c>
      <c r="D869" s="34" t="str">
        <f>IF(MOV_CC_NACIONAL!C869="","",MOV_CC_NACIONAL!C869)</f>
        <v/>
      </c>
      <c r="E869" s="22" t="str">
        <f t="shared" si="1"/>
        <v/>
      </c>
      <c r="F869" s="22" t="str">
        <f>IFERROR(__xludf.DUMMYFUNCTION("IF(C869="""","""", OR(REGEXMATCH(LOWER(C869),""cuota""), REGEXMATCH(C869,""\d+\s*/\s*\d+"")))"),"")</f>
        <v/>
      </c>
      <c r="G869" s="22" t="str">
        <f>IFERROR(__xludf.DUMMYFUNCTION("IFERROR(VALUE(REGEXEXTRACT(C869,""(\d+)\s*/\s*\d+"")),"""")"),"")</f>
        <v/>
      </c>
      <c r="H869" s="22" t="str">
        <f>IFERROR(__xludf.DUMMYFUNCTION("IFERROR(VALUE(REGEXEXTRACT(C869,""\d+\s*/\s*(\d+)"")),"""")"),"")</f>
        <v/>
      </c>
      <c r="I869" s="22" t="str">
        <f t="shared" si="2"/>
        <v/>
      </c>
      <c r="J869" s="34" t="str">
        <f t="shared" si="3"/>
        <v/>
      </c>
    </row>
    <row r="870" ht="15.75" customHeight="1">
      <c r="A870" s="32" t="s">
        <v>113</v>
      </c>
      <c r="B870" s="32" t="str">
        <f>IF(MOV_CC_NACIONAL!A870="","",MOV_CC_NACIONAL!A870)</f>
        <v/>
      </c>
      <c r="C870" s="32" t="str">
        <f>IF(MOV_CC_NACIONAL!B870="","",MOV_CC_NACIONAL!B870)</f>
        <v/>
      </c>
      <c r="D870" s="33" t="str">
        <f>IF(MOV_CC_NACIONAL!C870="","",MOV_CC_NACIONAL!C870)</f>
        <v/>
      </c>
      <c r="E870" s="32" t="str">
        <f t="shared" si="1"/>
        <v/>
      </c>
      <c r="F870" s="32" t="str">
        <f>IFERROR(__xludf.DUMMYFUNCTION("IF(C870="""","""", OR(REGEXMATCH(LOWER(C870),""cuota""), REGEXMATCH(C870,""\d+\s*/\s*\d+"")))"),"")</f>
        <v/>
      </c>
      <c r="G870" s="32" t="str">
        <f>IFERROR(__xludf.DUMMYFUNCTION("IFERROR(VALUE(REGEXEXTRACT(C870,""(\d+)\s*/\s*\d+"")),"""")"),"")</f>
        <v/>
      </c>
      <c r="H870" s="32" t="str">
        <f>IFERROR(__xludf.DUMMYFUNCTION("IFERROR(VALUE(REGEXEXTRACT(C870,""\d+\s*/\s*(\d+)"")),"""")"),"")</f>
        <v/>
      </c>
      <c r="I870" s="32" t="str">
        <f t="shared" si="2"/>
        <v/>
      </c>
      <c r="J870" s="33" t="str">
        <f t="shared" si="3"/>
        <v/>
      </c>
    </row>
    <row r="871" ht="15.75" customHeight="1">
      <c r="A871" s="22" t="s">
        <v>113</v>
      </c>
      <c r="B871" s="22" t="str">
        <f>IF(MOV_CC_NACIONAL!A871="","",MOV_CC_NACIONAL!A871)</f>
        <v/>
      </c>
      <c r="C871" s="22" t="str">
        <f>IF(MOV_CC_NACIONAL!B871="","",MOV_CC_NACIONAL!B871)</f>
        <v/>
      </c>
      <c r="D871" s="34" t="str">
        <f>IF(MOV_CC_NACIONAL!C871="","",MOV_CC_NACIONAL!C871)</f>
        <v/>
      </c>
      <c r="E871" s="22" t="str">
        <f t="shared" si="1"/>
        <v/>
      </c>
      <c r="F871" s="22" t="str">
        <f>IFERROR(__xludf.DUMMYFUNCTION("IF(C871="""","""", OR(REGEXMATCH(LOWER(C871),""cuota""), REGEXMATCH(C871,""\d+\s*/\s*\d+"")))"),"")</f>
        <v/>
      </c>
      <c r="G871" s="22" t="str">
        <f>IFERROR(__xludf.DUMMYFUNCTION("IFERROR(VALUE(REGEXEXTRACT(C871,""(\d+)\s*/\s*\d+"")),"""")"),"")</f>
        <v/>
      </c>
      <c r="H871" s="22" t="str">
        <f>IFERROR(__xludf.DUMMYFUNCTION("IFERROR(VALUE(REGEXEXTRACT(C871,""\d+\s*/\s*(\d+)"")),"""")"),"")</f>
        <v/>
      </c>
      <c r="I871" s="22" t="str">
        <f t="shared" si="2"/>
        <v/>
      </c>
      <c r="J871" s="34" t="str">
        <f t="shared" si="3"/>
        <v/>
      </c>
    </row>
    <row r="872" ht="15.75" customHeight="1">
      <c r="A872" s="32" t="s">
        <v>113</v>
      </c>
      <c r="B872" s="32" t="str">
        <f>IF(MOV_CC_NACIONAL!A872="","",MOV_CC_NACIONAL!A872)</f>
        <v/>
      </c>
      <c r="C872" s="32" t="str">
        <f>IF(MOV_CC_NACIONAL!B872="","",MOV_CC_NACIONAL!B872)</f>
        <v/>
      </c>
      <c r="D872" s="33" t="str">
        <f>IF(MOV_CC_NACIONAL!C872="","",MOV_CC_NACIONAL!C872)</f>
        <v/>
      </c>
      <c r="E872" s="32" t="str">
        <f t="shared" si="1"/>
        <v/>
      </c>
      <c r="F872" s="32" t="str">
        <f>IFERROR(__xludf.DUMMYFUNCTION("IF(C872="""","""", OR(REGEXMATCH(LOWER(C872),""cuota""), REGEXMATCH(C872,""\d+\s*/\s*\d+"")))"),"")</f>
        <v/>
      </c>
      <c r="G872" s="32" t="str">
        <f>IFERROR(__xludf.DUMMYFUNCTION("IFERROR(VALUE(REGEXEXTRACT(C872,""(\d+)\s*/\s*\d+"")),"""")"),"")</f>
        <v/>
      </c>
      <c r="H872" s="32" t="str">
        <f>IFERROR(__xludf.DUMMYFUNCTION("IFERROR(VALUE(REGEXEXTRACT(C872,""\d+\s*/\s*(\d+)"")),"""")"),"")</f>
        <v/>
      </c>
      <c r="I872" s="32" t="str">
        <f t="shared" si="2"/>
        <v/>
      </c>
      <c r="J872" s="33" t="str">
        <f t="shared" si="3"/>
        <v/>
      </c>
    </row>
    <row r="873" ht="15.75" customHeight="1">
      <c r="A873" s="22" t="s">
        <v>113</v>
      </c>
      <c r="B873" s="22" t="str">
        <f>IF(MOV_CC_NACIONAL!A873="","",MOV_CC_NACIONAL!A873)</f>
        <v/>
      </c>
      <c r="C873" s="22" t="str">
        <f>IF(MOV_CC_NACIONAL!B873="","",MOV_CC_NACIONAL!B873)</f>
        <v/>
      </c>
      <c r="D873" s="34" t="str">
        <f>IF(MOV_CC_NACIONAL!C873="","",MOV_CC_NACIONAL!C873)</f>
        <v/>
      </c>
      <c r="E873" s="22" t="str">
        <f t="shared" si="1"/>
        <v/>
      </c>
      <c r="F873" s="22" t="str">
        <f>IFERROR(__xludf.DUMMYFUNCTION("IF(C873="""","""", OR(REGEXMATCH(LOWER(C873),""cuota""), REGEXMATCH(C873,""\d+\s*/\s*\d+"")))"),"")</f>
        <v/>
      </c>
      <c r="G873" s="22" t="str">
        <f>IFERROR(__xludf.DUMMYFUNCTION("IFERROR(VALUE(REGEXEXTRACT(C873,""(\d+)\s*/\s*\d+"")),"""")"),"")</f>
        <v/>
      </c>
      <c r="H873" s="22" t="str">
        <f>IFERROR(__xludf.DUMMYFUNCTION("IFERROR(VALUE(REGEXEXTRACT(C873,""\d+\s*/\s*(\d+)"")),"""")"),"")</f>
        <v/>
      </c>
      <c r="I873" s="22" t="str">
        <f t="shared" si="2"/>
        <v/>
      </c>
      <c r="J873" s="34" t="str">
        <f t="shared" si="3"/>
        <v/>
      </c>
    </row>
    <row r="874" ht="15.75" customHeight="1">
      <c r="A874" s="32" t="s">
        <v>113</v>
      </c>
      <c r="B874" s="32" t="str">
        <f>IF(MOV_CC_NACIONAL!A874="","",MOV_CC_NACIONAL!A874)</f>
        <v/>
      </c>
      <c r="C874" s="32" t="str">
        <f>IF(MOV_CC_NACIONAL!B874="","",MOV_CC_NACIONAL!B874)</f>
        <v/>
      </c>
      <c r="D874" s="33" t="str">
        <f>IF(MOV_CC_NACIONAL!C874="","",MOV_CC_NACIONAL!C874)</f>
        <v/>
      </c>
      <c r="E874" s="32" t="str">
        <f t="shared" si="1"/>
        <v/>
      </c>
      <c r="F874" s="32" t="str">
        <f>IFERROR(__xludf.DUMMYFUNCTION("IF(C874="""","""", OR(REGEXMATCH(LOWER(C874),""cuota""), REGEXMATCH(C874,""\d+\s*/\s*\d+"")))"),"")</f>
        <v/>
      </c>
      <c r="G874" s="32" t="str">
        <f>IFERROR(__xludf.DUMMYFUNCTION("IFERROR(VALUE(REGEXEXTRACT(C874,""(\d+)\s*/\s*\d+"")),"""")"),"")</f>
        <v/>
      </c>
      <c r="H874" s="32" t="str">
        <f>IFERROR(__xludf.DUMMYFUNCTION("IFERROR(VALUE(REGEXEXTRACT(C874,""\d+\s*/\s*(\d+)"")),"""")"),"")</f>
        <v/>
      </c>
      <c r="I874" s="32" t="str">
        <f t="shared" si="2"/>
        <v/>
      </c>
      <c r="J874" s="33" t="str">
        <f t="shared" si="3"/>
        <v/>
      </c>
    </row>
    <row r="875" ht="15.75" customHeight="1">
      <c r="A875" s="22" t="s">
        <v>113</v>
      </c>
      <c r="B875" s="22" t="str">
        <f>IF(MOV_CC_NACIONAL!A875="","",MOV_CC_NACIONAL!A875)</f>
        <v/>
      </c>
      <c r="C875" s="22" t="str">
        <f>IF(MOV_CC_NACIONAL!B875="","",MOV_CC_NACIONAL!B875)</f>
        <v/>
      </c>
      <c r="D875" s="34" t="str">
        <f>IF(MOV_CC_NACIONAL!C875="","",MOV_CC_NACIONAL!C875)</f>
        <v/>
      </c>
      <c r="E875" s="22" t="str">
        <f t="shared" si="1"/>
        <v/>
      </c>
      <c r="F875" s="22" t="str">
        <f>IFERROR(__xludf.DUMMYFUNCTION("IF(C875="""","""", OR(REGEXMATCH(LOWER(C875),""cuota""), REGEXMATCH(C875,""\d+\s*/\s*\d+"")))"),"")</f>
        <v/>
      </c>
      <c r="G875" s="22" t="str">
        <f>IFERROR(__xludf.DUMMYFUNCTION("IFERROR(VALUE(REGEXEXTRACT(C875,""(\d+)\s*/\s*\d+"")),"""")"),"")</f>
        <v/>
      </c>
      <c r="H875" s="22" t="str">
        <f>IFERROR(__xludf.DUMMYFUNCTION("IFERROR(VALUE(REGEXEXTRACT(C875,""\d+\s*/\s*(\d+)"")),"""")"),"")</f>
        <v/>
      </c>
      <c r="I875" s="22" t="str">
        <f t="shared" si="2"/>
        <v/>
      </c>
      <c r="J875" s="34" t="str">
        <f t="shared" si="3"/>
        <v/>
      </c>
    </row>
    <row r="876" ht="15.75" customHeight="1">
      <c r="A876" s="32" t="s">
        <v>113</v>
      </c>
      <c r="B876" s="32" t="str">
        <f>IF(MOV_CC_NACIONAL!A876="","",MOV_CC_NACIONAL!A876)</f>
        <v/>
      </c>
      <c r="C876" s="32" t="str">
        <f>IF(MOV_CC_NACIONAL!B876="","",MOV_CC_NACIONAL!B876)</f>
        <v/>
      </c>
      <c r="D876" s="33" t="str">
        <f>IF(MOV_CC_NACIONAL!C876="","",MOV_CC_NACIONAL!C876)</f>
        <v/>
      </c>
      <c r="E876" s="32" t="str">
        <f t="shared" si="1"/>
        <v/>
      </c>
      <c r="F876" s="32" t="str">
        <f>IFERROR(__xludf.DUMMYFUNCTION("IF(C876="""","""", OR(REGEXMATCH(LOWER(C876),""cuota""), REGEXMATCH(C876,""\d+\s*/\s*\d+"")))"),"")</f>
        <v/>
      </c>
      <c r="G876" s="32" t="str">
        <f>IFERROR(__xludf.DUMMYFUNCTION("IFERROR(VALUE(REGEXEXTRACT(C876,""(\d+)\s*/\s*\d+"")),"""")"),"")</f>
        <v/>
      </c>
      <c r="H876" s="32" t="str">
        <f>IFERROR(__xludf.DUMMYFUNCTION("IFERROR(VALUE(REGEXEXTRACT(C876,""\d+\s*/\s*(\d+)"")),"""")"),"")</f>
        <v/>
      </c>
      <c r="I876" s="32" t="str">
        <f t="shared" si="2"/>
        <v/>
      </c>
      <c r="J876" s="33" t="str">
        <f t="shared" si="3"/>
        <v/>
      </c>
    </row>
    <row r="877" ht="15.75" customHeight="1">
      <c r="A877" s="22" t="s">
        <v>113</v>
      </c>
      <c r="B877" s="22" t="str">
        <f>IF(MOV_CC_NACIONAL!A877="","",MOV_CC_NACIONAL!A877)</f>
        <v/>
      </c>
      <c r="C877" s="22" t="str">
        <f>IF(MOV_CC_NACIONAL!B877="","",MOV_CC_NACIONAL!B877)</f>
        <v/>
      </c>
      <c r="D877" s="34" t="str">
        <f>IF(MOV_CC_NACIONAL!C877="","",MOV_CC_NACIONAL!C877)</f>
        <v/>
      </c>
      <c r="E877" s="22" t="str">
        <f t="shared" si="1"/>
        <v/>
      </c>
      <c r="F877" s="22" t="str">
        <f>IFERROR(__xludf.DUMMYFUNCTION("IF(C877="""","""", OR(REGEXMATCH(LOWER(C877),""cuota""), REGEXMATCH(C877,""\d+\s*/\s*\d+"")))"),"")</f>
        <v/>
      </c>
      <c r="G877" s="22" t="str">
        <f>IFERROR(__xludf.DUMMYFUNCTION("IFERROR(VALUE(REGEXEXTRACT(C877,""(\d+)\s*/\s*\d+"")),"""")"),"")</f>
        <v/>
      </c>
      <c r="H877" s="22" t="str">
        <f>IFERROR(__xludf.DUMMYFUNCTION("IFERROR(VALUE(REGEXEXTRACT(C877,""\d+\s*/\s*(\d+)"")),"""")"),"")</f>
        <v/>
      </c>
      <c r="I877" s="22" t="str">
        <f t="shared" si="2"/>
        <v/>
      </c>
      <c r="J877" s="34" t="str">
        <f t="shared" si="3"/>
        <v/>
      </c>
    </row>
    <row r="878" ht="15.75" customHeight="1">
      <c r="A878" s="32" t="s">
        <v>113</v>
      </c>
      <c r="B878" s="32" t="str">
        <f>IF(MOV_CC_NACIONAL!A878="","",MOV_CC_NACIONAL!A878)</f>
        <v/>
      </c>
      <c r="C878" s="32" t="str">
        <f>IF(MOV_CC_NACIONAL!B878="","",MOV_CC_NACIONAL!B878)</f>
        <v/>
      </c>
      <c r="D878" s="33" t="str">
        <f>IF(MOV_CC_NACIONAL!C878="","",MOV_CC_NACIONAL!C878)</f>
        <v/>
      </c>
      <c r="E878" s="32" t="str">
        <f t="shared" si="1"/>
        <v/>
      </c>
      <c r="F878" s="32" t="str">
        <f>IFERROR(__xludf.DUMMYFUNCTION("IF(C878="""","""", OR(REGEXMATCH(LOWER(C878),""cuota""), REGEXMATCH(C878,""\d+\s*/\s*\d+"")))"),"")</f>
        <v/>
      </c>
      <c r="G878" s="32" t="str">
        <f>IFERROR(__xludf.DUMMYFUNCTION("IFERROR(VALUE(REGEXEXTRACT(C878,""(\d+)\s*/\s*\d+"")),"""")"),"")</f>
        <v/>
      </c>
      <c r="H878" s="32" t="str">
        <f>IFERROR(__xludf.DUMMYFUNCTION("IFERROR(VALUE(REGEXEXTRACT(C878,""\d+\s*/\s*(\d+)"")),"""")"),"")</f>
        <v/>
      </c>
      <c r="I878" s="32" t="str">
        <f t="shared" si="2"/>
        <v/>
      </c>
      <c r="J878" s="33" t="str">
        <f t="shared" si="3"/>
        <v/>
      </c>
    </row>
    <row r="879" ht="15.75" customHeight="1">
      <c r="A879" s="22" t="s">
        <v>113</v>
      </c>
      <c r="B879" s="22" t="str">
        <f>IF(MOV_CC_NACIONAL!A879="","",MOV_CC_NACIONAL!A879)</f>
        <v/>
      </c>
      <c r="C879" s="22" t="str">
        <f>IF(MOV_CC_NACIONAL!B879="","",MOV_CC_NACIONAL!B879)</f>
        <v/>
      </c>
      <c r="D879" s="34" t="str">
        <f>IF(MOV_CC_NACIONAL!C879="","",MOV_CC_NACIONAL!C879)</f>
        <v/>
      </c>
      <c r="E879" s="22" t="str">
        <f t="shared" si="1"/>
        <v/>
      </c>
      <c r="F879" s="22" t="str">
        <f>IFERROR(__xludf.DUMMYFUNCTION("IF(C879="""","""", OR(REGEXMATCH(LOWER(C879),""cuota""), REGEXMATCH(C879,""\d+\s*/\s*\d+"")))"),"")</f>
        <v/>
      </c>
      <c r="G879" s="22" t="str">
        <f>IFERROR(__xludf.DUMMYFUNCTION("IFERROR(VALUE(REGEXEXTRACT(C879,""(\d+)\s*/\s*\d+"")),"""")"),"")</f>
        <v/>
      </c>
      <c r="H879" s="22" t="str">
        <f>IFERROR(__xludf.DUMMYFUNCTION("IFERROR(VALUE(REGEXEXTRACT(C879,""\d+\s*/\s*(\d+)"")),"""")"),"")</f>
        <v/>
      </c>
      <c r="I879" s="22" t="str">
        <f t="shared" si="2"/>
        <v/>
      </c>
      <c r="J879" s="34" t="str">
        <f t="shared" si="3"/>
        <v/>
      </c>
    </row>
    <row r="880" ht="15.75" customHeight="1">
      <c r="A880" s="32" t="s">
        <v>113</v>
      </c>
      <c r="B880" s="32" t="str">
        <f>IF(MOV_CC_NACIONAL!A880="","",MOV_CC_NACIONAL!A880)</f>
        <v/>
      </c>
      <c r="C880" s="32" t="str">
        <f>IF(MOV_CC_NACIONAL!B880="","",MOV_CC_NACIONAL!B880)</f>
        <v/>
      </c>
      <c r="D880" s="33" t="str">
        <f>IF(MOV_CC_NACIONAL!C880="","",MOV_CC_NACIONAL!C880)</f>
        <v/>
      </c>
      <c r="E880" s="32" t="str">
        <f t="shared" si="1"/>
        <v/>
      </c>
      <c r="F880" s="32" t="str">
        <f>IFERROR(__xludf.DUMMYFUNCTION("IF(C880="""","""", OR(REGEXMATCH(LOWER(C880),""cuota""), REGEXMATCH(C880,""\d+\s*/\s*\d+"")))"),"")</f>
        <v/>
      </c>
      <c r="G880" s="32" t="str">
        <f>IFERROR(__xludf.DUMMYFUNCTION("IFERROR(VALUE(REGEXEXTRACT(C880,""(\d+)\s*/\s*\d+"")),"""")"),"")</f>
        <v/>
      </c>
      <c r="H880" s="32" t="str">
        <f>IFERROR(__xludf.DUMMYFUNCTION("IFERROR(VALUE(REGEXEXTRACT(C880,""\d+\s*/\s*(\d+)"")),"""")"),"")</f>
        <v/>
      </c>
      <c r="I880" s="32" t="str">
        <f t="shared" si="2"/>
        <v/>
      </c>
      <c r="J880" s="33" t="str">
        <f t="shared" si="3"/>
        <v/>
      </c>
    </row>
    <row r="881" ht="15.75" customHeight="1">
      <c r="A881" s="22" t="s">
        <v>113</v>
      </c>
      <c r="B881" s="22" t="str">
        <f>IF(MOV_CC_NACIONAL!A881="","",MOV_CC_NACIONAL!A881)</f>
        <v/>
      </c>
      <c r="C881" s="22" t="str">
        <f>IF(MOV_CC_NACIONAL!B881="","",MOV_CC_NACIONAL!B881)</f>
        <v/>
      </c>
      <c r="D881" s="34" t="str">
        <f>IF(MOV_CC_NACIONAL!C881="","",MOV_CC_NACIONAL!C881)</f>
        <v/>
      </c>
      <c r="E881" s="22" t="str">
        <f t="shared" si="1"/>
        <v/>
      </c>
      <c r="F881" s="22" t="str">
        <f>IFERROR(__xludf.DUMMYFUNCTION("IF(C881="""","""", OR(REGEXMATCH(LOWER(C881),""cuota""), REGEXMATCH(C881,""\d+\s*/\s*\d+"")))"),"")</f>
        <v/>
      </c>
      <c r="G881" s="22" t="str">
        <f>IFERROR(__xludf.DUMMYFUNCTION("IFERROR(VALUE(REGEXEXTRACT(C881,""(\d+)\s*/\s*\d+"")),"""")"),"")</f>
        <v/>
      </c>
      <c r="H881" s="22" t="str">
        <f>IFERROR(__xludf.DUMMYFUNCTION("IFERROR(VALUE(REGEXEXTRACT(C881,""\d+\s*/\s*(\d+)"")),"""")"),"")</f>
        <v/>
      </c>
      <c r="I881" s="22" t="str">
        <f t="shared" si="2"/>
        <v/>
      </c>
      <c r="J881" s="34" t="str">
        <f t="shared" si="3"/>
        <v/>
      </c>
    </row>
    <row r="882" ht="15.75" customHeight="1">
      <c r="A882" s="32" t="s">
        <v>113</v>
      </c>
      <c r="B882" s="32" t="str">
        <f>IF(MOV_CC_NACIONAL!A882="","",MOV_CC_NACIONAL!A882)</f>
        <v/>
      </c>
      <c r="C882" s="32" t="str">
        <f>IF(MOV_CC_NACIONAL!B882="","",MOV_CC_NACIONAL!B882)</f>
        <v/>
      </c>
      <c r="D882" s="33" t="str">
        <f>IF(MOV_CC_NACIONAL!C882="","",MOV_CC_NACIONAL!C882)</f>
        <v/>
      </c>
      <c r="E882" s="32" t="str">
        <f t="shared" si="1"/>
        <v/>
      </c>
      <c r="F882" s="32" t="str">
        <f>IFERROR(__xludf.DUMMYFUNCTION("IF(C882="""","""", OR(REGEXMATCH(LOWER(C882),""cuota""), REGEXMATCH(C882,""\d+\s*/\s*\d+"")))"),"")</f>
        <v/>
      </c>
      <c r="G882" s="32" t="str">
        <f>IFERROR(__xludf.DUMMYFUNCTION("IFERROR(VALUE(REGEXEXTRACT(C882,""(\d+)\s*/\s*\d+"")),"""")"),"")</f>
        <v/>
      </c>
      <c r="H882" s="32" t="str">
        <f>IFERROR(__xludf.DUMMYFUNCTION("IFERROR(VALUE(REGEXEXTRACT(C882,""\d+\s*/\s*(\d+)"")),"""")"),"")</f>
        <v/>
      </c>
      <c r="I882" s="32" t="str">
        <f t="shared" si="2"/>
        <v/>
      </c>
      <c r="J882" s="33" t="str">
        <f t="shared" si="3"/>
        <v/>
      </c>
    </row>
    <row r="883" ht="15.75" customHeight="1">
      <c r="A883" s="22" t="s">
        <v>113</v>
      </c>
      <c r="B883" s="22" t="str">
        <f>IF(MOV_CC_NACIONAL!A883="","",MOV_CC_NACIONAL!A883)</f>
        <v/>
      </c>
      <c r="C883" s="22" t="str">
        <f>IF(MOV_CC_NACIONAL!B883="","",MOV_CC_NACIONAL!B883)</f>
        <v/>
      </c>
      <c r="D883" s="34" t="str">
        <f>IF(MOV_CC_NACIONAL!C883="","",MOV_CC_NACIONAL!C883)</f>
        <v/>
      </c>
      <c r="E883" s="22" t="str">
        <f t="shared" si="1"/>
        <v/>
      </c>
      <c r="F883" s="22" t="str">
        <f>IFERROR(__xludf.DUMMYFUNCTION("IF(C883="""","""", OR(REGEXMATCH(LOWER(C883),""cuota""), REGEXMATCH(C883,""\d+\s*/\s*\d+"")))"),"")</f>
        <v/>
      </c>
      <c r="G883" s="22" t="str">
        <f>IFERROR(__xludf.DUMMYFUNCTION("IFERROR(VALUE(REGEXEXTRACT(C883,""(\d+)\s*/\s*\d+"")),"""")"),"")</f>
        <v/>
      </c>
      <c r="H883" s="22" t="str">
        <f>IFERROR(__xludf.DUMMYFUNCTION("IFERROR(VALUE(REGEXEXTRACT(C883,""\d+\s*/\s*(\d+)"")),"""")"),"")</f>
        <v/>
      </c>
      <c r="I883" s="22" t="str">
        <f t="shared" si="2"/>
        <v/>
      </c>
      <c r="J883" s="34" t="str">
        <f t="shared" si="3"/>
        <v/>
      </c>
    </row>
    <row r="884" ht="15.75" customHeight="1">
      <c r="A884" s="32" t="s">
        <v>113</v>
      </c>
      <c r="B884" s="32" t="str">
        <f>IF(MOV_CC_NACIONAL!A884="","",MOV_CC_NACIONAL!A884)</f>
        <v/>
      </c>
      <c r="C884" s="32" t="str">
        <f>IF(MOV_CC_NACIONAL!B884="","",MOV_CC_NACIONAL!B884)</f>
        <v/>
      </c>
      <c r="D884" s="33" t="str">
        <f>IF(MOV_CC_NACIONAL!C884="","",MOV_CC_NACIONAL!C884)</f>
        <v/>
      </c>
      <c r="E884" s="32" t="str">
        <f t="shared" si="1"/>
        <v/>
      </c>
      <c r="F884" s="32" t="str">
        <f>IFERROR(__xludf.DUMMYFUNCTION("IF(C884="""","""", OR(REGEXMATCH(LOWER(C884),""cuota""), REGEXMATCH(C884,""\d+\s*/\s*\d+"")))"),"")</f>
        <v/>
      </c>
      <c r="G884" s="32" t="str">
        <f>IFERROR(__xludf.DUMMYFUNCTION("IFERROR(VALUE(REGEXEXTRACT(C884,""(\d+)\s*/\s*\d+"")),"""")"),"")</f>
        <v/>
      </c>
      <c r="H884" s="32" t="str">
        <f>IFERROR(__xludf.DUMMYFUNCTION("IFERROR(VALUE(REGEXEXTRACT(C884,""\d+\s*/\s*(\d+)"")),"""")"),"")</f>
        <v/>
      </c>
      <c r="I884" s="32" t="str">
        <f t="shared" si="2"/>
        <v/>
      </c>
      <c r="J884" s="33" t="str">
        <f t="shared" si="3"/>
        <v/>
      </c>
    </row>
    <row r="885" ht="15.75" customHeight="1">
      <c r="A885" s="22" t="s">
        <v>113</v>
      </c>
      <c r="B885" s="22" t="str">
        <f>IF(MOV_CC_NACIONAL!A885="","",MOV_CC_NACIONAL!A885)</f>
        <v/>
      </c>
      <c r="C885" s="22" t="str">
        <f>IF(MOV_CC_NACIONAL!B885="","",MOV_CC_NACIONAL!B885)</f>
        <v/>
      </c>
      <c r="D885" s="34" t="str">
        <f>IF(MOV_CC_NACIONAL!C885="","",MOV_CC_NACIONAL!C885)</f>
        <v/>
      </c>
      <c r="E885" s="22" t="str">
        <f t="shared" si="1"/>
        <v/>
      </c>
      <c r="F885" s="22" t="str">
        <f>IFERROR(__xludf.DUMMYFUNCTION("IF(C885="""","""", OR(REGEXMATCH(LOWER(C885),""cuota""), REGEXMATCH(C885,""\d+\s*/\s*\d+"")))"),"")</f>
        <v/>
      </c>
      <c r="G885" s="22" t="str">
        <f>IFERROR(__xludf.DUMMYFUNCTION("IFERROR(VALUE(REGEXEXTRACT(C885,""(\d+)\s*/\s*\d+"")),"""")"),"")</f>
        <v/>
      </c>
      <c r="H885" s="22" t="str">
        <f>IFERROR(__xludf.DUMMYFUNCTION("IFERROR(VALUE(REGEXEXTRACT(C885,""\d+\s*/\s*(\d+)"")),"""")"),"")</f>
        <v/>
      </c>
      <c r="I885" s="22" t="str">
        <f t="shared" si="2"/>
        <v/>
      </c>
      <c r="J885" s="34" t="str">
        <f t="shared" si="3"/>
        <v/>
      </c>
    </row>
    <row r="886" ht="15.75" customHeight="1">
      <c r="A886" s="32" t="s">
        <v>113</v>
      </c>
      <c r="B886" s="32" t="str">
        <f>IF(MOV_CC_NACIONAL!A886="","",MOV_CC_NACIONAL!A886)</f>
        <v/>
      </c>
      <c r="C886" s="32" t="str">
        <f>IF(MOV_CC_NACIONAL!B886="","",MOV_CC_NACIONAL!B886)</f>
        <v/>
      </c>
      <c r="D886" s="33" t="str">
        <f>IF(MOV_CC_NACIONAL!C886="","",MOV_CC_NACIONAL!C886)</f>
        <v/>
      </c>
      <c r="E886" s="32" t="str">
        <f t="shared" si="1"/>
        <v/>
      </c>
      <c r="F886" s="32" t="str">
        <f>IFERROR(__xludf.DUMMYFUNCTION("IF(C886="""","""", OR(REGEXMATCH(LOWER(C886),""cuota""), REGEXMATCH(C886,""\d+\s*/\s*\d+"")))"),"")</f>
        <v/>
      </c>
      <c r="G886" s="32" t="str">
        <f>IFERROR(__xludf.DUMMYFUNCTION("IFERROR(VALUE(REGEXEXTRACT(C886,""(\d+)\s*/\s*\d+"")),"""")"),"")</f>
        <v/>
      </c>
      <c r="H886" s="32" t="str">
        <f>IFERROR(__xludf.DUMMYFUNCTION("IFERROR(VALUE(REGEXEXTRACT(C886,""\d+\s*/\s*(\d+)"")),"""")"),"")</f>
        <v/>
      </c>
      <c r="I886" s="32" t="str">
        <f t="shared" si="2"/>
        <v/>
      </c>
      <c r="J886" s="33" t="str">
        <f t="shared" si="3"/>
        <v/>
      </c>
    </row>
    <row r="887" ht="15.75" customHeight="1">
      <c r="A887" s="22" t="s">
        <v>113</v>
      </c>
      <c r="B887" s="22" t="str">
        <f>IF(MOV_CC_NACIONAL!A887="","",MOV_CC_NACIONAL!A887)</f>
        <v/>
      </c>
      <c r="C887" s="22" t="str">
        <f>IF(MOV_CC_NACIONAL!B887="","",MOV_CC_NACIONAL!B887)</f>
        <v/>
      </c>
      <c r="D887" s="34" t="str">
        <f>IF(MOV_CC_NACIONAL!C887="","",MOV_CC_NACIONAL!C887)</f>
        <v/>
      </c>
      <c r="E887" s="22" t="str">
        <f t="shared" si="1"/>
        <v/>
      </c>
      <c r="F887" s="22" t="str">
        <f>IFERROR(__xludf.DUMMYFUNCTION("IF(C887="""","""", OR(REGEXMATCH(LOWER(C887),""cuota""), REGEXMATCH(C887,""\d+\s*/\s*\d+"")))"),"")</f>
        <v/>
      </c>
      <c r="G887" s="22" t="str">
        <f>IFERROR(__xludf.DUMMYFUNCTION("IFERROR(VALUE(REGEXEXTRACT(C887,""(\d+)\s*/\s*\d+"")),"""")"),"")</f>
        <v/>
      </c>
      <c r="H887" s="22" t="str">
        <f>IFERROR(__xludf.DUMMYFUNCTION("IFERROR(VALUE(REGEXEXTRACT(C887,""\d+\s*/\s*(\d+)"")),"""")"),"")</f>
        <v/>
      </c>
      <c r="I887" s="22" t="str">
        <f t="shared" si="2"/>
        <v/>
      </c>
      <c r="J887" s="34" t="str">
        <f t="shared" si="3"/>
        <v/>
      </c>
    </row>
    <row r="888" ht="15.75" customHeight="1">
      <c r="A888" s="32" t="s">
        <v>113</v>
      </c>
      <c r="B888" s="32" t="str">
        <f>IF(MOV_CC_NACIONAL!A888="","",MOV_CC_NACIONAL!A888)</f>
        <v/>
      </c>
      <c r="C888" s="32" t="str">
        <f>IF(MOV_CC_NACIONAL!B888="","",MOV_CC_NACIONAL!B888)</f>
        <v/>
      </c>
      <c r="D888" s="33" t="str">
        <f>IF(MOV_CC_NACIONAL!C888="","",MOV_CC_NACIONAL!C888)</f>
        <v/>
      </c>
      <c r="E888" s="32" t="str">
        <f t="shared" si="1"/>
        <v/>
      </c>
      <c r="F888" s="32" t="str">
        <f>IFERROR(__xludf.DUMMYFUNCTION("IF(C888="""","""", OR(REGEXMATCH(LOWER(C888),""cuota""), REGEXMATCH(C888,""\d+\s*/\s*\d+"")))"),"")</f>
        <v/>
      </c>
      <c r="G888" s="32" t="str">
        <f>IFERROR(__xludf.DUMMYFUNCTION("IFERROR(VALUE(REGEXEXTRACT(C888,""(\d+)\s*/\s*\d+"")),"""")"),"")</f>
        <v/>
      </c>
      <c r="H888" s="32" t="str">
        <f>IFERROR(__xludf.DUMMYFUNCTION("IFERROR(VALUE(REGEXEXTRACT(C888,""\d+\s*/\s*(\d+)"")),"""")"),"")</f>
        <v/>
      </c>
      <c r="I888" s="32" t="str">
        <f t="shared" si="2"/>
        <v/>
      </c>
      <c r="J888" s="33" t="str">
        <f t="shared" si="3"/>
        <v/>
      </c>
    </row>
    <row r="889" ht="15.75" customHeight="1">
      <c r="A889" s="22" t="s">
        <v>113</v>
      </c>
      <c r="B889" s="22" t="str">
        <f>IF(MOV_CC_NACIONAL!A889="","",MOV_CC_NACIONAL!A889)</f>
        <v/>
      </c>
      <c r="C889" s="22" t="str">
        <f>IF(MOV_CC_NACIONAL!B889="","",MOV_CC_NACIONAL!B889)</f>
        <v/>
      </c>
      <c r="D889" s="34" t="str">
        <f>IF(MOV_CC_NACIONAL!C889="","",MOV_CC_NACIONAL!C889)</f>
        <v/>
      </c>
      <c r="E889" s="22" t="str">
        <f t="shared" si="1"/>
        <v/>
      </c>
      <c r="F889" s="22" t="str">
        <f>IFERROR(__xludf.DUMMYFUNCTION("IF(C889="""","""", OR(REGEXMATCH(LOWER(C889),""cuota""), REGEXMATCH(C889,""\d+\s*/\s*\d+"")))"),"")</f>
        <v/>
      </c>
      <c r="G889" s="22" t="str">
        <f>IFERROR(__xludf.DUMMYFUNCTION("IFERROR(VALUE(REGEXEXTRACT(C889,""(\d+)\s*/\s*\d+"")),"""")"),"")</f>
        <v/>
      </c>
      <c r="H889" s="22" t="str">
        <f>IFERROR(__xludf.DUMMYFUNCTION("IFERROR(VALUE(REGEXEXTRACT(C889,""\d+\s*/\s*(\d+)"")),"""")"),"")</f>
        <v/>
      </c>
      <c r="I889" s="22" t="str">
        <f t="shared" si="2"/>
        <v/>
      </c>
      <c r="J889" s="34" t="str">
        <f t="shared" si="3"/>
        <v/>
      </c>
    </row>
    <row r="890" ht="15.75" customHeight="1">
      <c r="A890" s="32" t="s">
        <v>113</v>
      </c>
      <c r="B890" s="32" t="str">
        <f>IF(MOV_CC_NACIONAL!A890="","",MOV_CC_NACIONAL!A890)</f>
        <v/>
      </c>
      <c r="C890" s="32" t="str">
        <f>IF(MOV_CC_NACIONAL!B890="","",MOV_CC_NACIONAL!B890)</f>
        <v/>
      </c>
      <c r="D890" s="33" t="str">
        <f>IF(MOV_CC_NACIONAL!C890="","",MOV_CC_NACIONAL!C890)</f>
        <v/>
      </c>
      <c r="E890" s="32" t="str">
        <f t="shared" si="1"/>
        <v/>
      </c>
      <c r="F890" s="32" t="str">
        <f>IFERROR(__xludf.DUMMYFUNCTION("IF(C890="""","""", OR(REGEXMATCH(LOWER(C890),""cuota""), REGEXMATCH(C890,""\d+\s*/\s*\d+"")))"),"")</f>
        <v/>
      </c>
      <c r="G890" s="32" t="str">
        <f>IFERROR(__xludf.DUMMYFUNCTION("IFERROR(VALUE(REGEXEXTRACT(C890,""(\d+)\s*/\s*\d+"")),"""")"),"")</f>
        <v/>
      </c>
      <c r="H890" s="32" t="str">
        <f>IFERROR(__xludf.DUMMYFUNCTION("IFERROR(VALUE(REGEXEXTRACT(C890,""\d+\s*/\s*(\d+)"")),"""")"),"")</f>
        <v/>
      </c>
      <c r="I890" s="32" t="str">
        <f t="shared" si="2"/>
        <v/>
      </c>
      <c r="J890" s="33" t="str">
        <f t="shared" si="3"/>
        <v/>
      </c>
    </row>
    <row r="891" ht="15.75" customHeight="1">
      <c r="A891" s="22" t="s">
        <v>113</v>
      </c>
      <c r="B891" s="22" t="str">
        <f>IF(MOV_CC_NACIONAL!A891="","",MOV_CC_NACIONAL!A891)</f>
        <v/>
      </c>
      <c r="C891" s="22" t="str">
        <f>IF(MOV_CC_NACIONAL!B891="","",MOV_CC_NACIONAL!B891)</f>
        <v/>
      </c>
      <c r="D891" s="34" t="str">
        <f>IF(MOV_CC_NACIONAL!C891="","",MOV_CC_NACIONAL!C891)</f>
        <v/>
      </c>
      <c r="E891" s="22" t="str">
        <f t="shared" si="1"/>
        <v/>
      </c>
      <c r="F891" s="22" t="str">
        <f>IFERROR(__xludf.DUMMYFUNCTION("IF(C891="""","""", OR(REGEXMATCH(LOWER(C891),""cuota""), REGEXMATCH(C891,""\d+\s*/\s*\d+"")))"),"")</f>
        <v/>
      </c>
      <c r="G891" s="22" t="str">
        <f>IFERROR(__xludf.DUMMYFUNCTION("IFERROR(VALUE(REGEXEXTRACT(C891,""(\d+)\s*/\s*\d+"")),"""")"),"")</f>
        <v/>
      </c>
      <c r="H891" s="22" t="str">
        <f>IFERROR(__xludf.DUMMYFUNCTION("IFERROR(VALUE(REGEXEXTRACT(C891,""\d+\s*/\s*(\d+)"")),"""")"),"")</f>
        <v/>
      </c>
      <c r="I891" s="22" t="str">
        <f t="shared" si="2"/>
        <v/>
      </c>
      <c r="J891" s="34" t="str">
        <f t="shared" si="3"/>
        <v/>
      </c>
    </row>
    <row r="892" ht="15.75" customHeight="1">
      <c r="A892" s="32" t="s">
        <v>113</v>
      </c>
      <c r="B892" s="32" t="str">
        <f>IF(MOV_CC_NACIONAL!A892="","",MOV_CC_NACIONAL!A892)</f>
        <v/>
      </c>
      <c r="C892" s="32" t="str">
        <f>IF(MOV_CC_NACIONAL!B892="","",MOV_CC_NACIONAL!B892)</f>
        <v/>
      </c>
      <c r="D892" s="33" t="str">
        <f>IF(MOV_CC_NACIONAL!C892="","",MOV_CC_NACIONAL!C892)</f>
        <v/>
      </c>
      <c r="E892" s="32" t="str">
        <f t="shared" si="1"/>
        <v/>
      </c>
      <c r="F892" s="32" t="str">
        <f>IFERROR(__xludf.DUMMYFUNCTION("IF(C892="""","""", OR(REGEXMATCH(LOWER(C892),""cuota""), REGEXMATCH(C892,""\d+\s*/\s*\d+"")))"),"")</f>
        <v/>
      </c>
      <c r="G892" s="32" t="str">
        <f>IFERROR(__xludf.DUMMYFUNCTION("IFERROR(VALUE(REGEXEXTRACT(C892,""(\d+)\s*/\s*\d+"")),"""")"),"")</f>
        <v/>
      </c>
      <c r="H892" s="32" t="str">
        <f>IFERROR(__xludf.DUMMYFUNCTION("IFERROR(VALUE(REGEXEXTRACT(C892,""\d+\s*/\s*(\d+)"")),"""")"),"")</f>
        <v/>
      </c>
      <c r="I892" s="32" t="str">
        <f t="shared" si="2"/>
        <v/>
      </c>
      <c r="J892" s="33" t="str">
        <f t="shared" si="3"/>
        <v/>
      </c>
    </row>
    <row r="893" ht="15.75" customHeight="1">
      <c r="A893" s="22" t="s">
        <v>113</v>
      </c>
      <c r="B893" s="22" t="str">
        <f>IF(MOV_CC_NACIONAL!A893="","",MOV_CC_NACIONAL!A893)</f>
        <v/>
      </c>
      <c r="C893" s="22" t="str">
        <f>IF(MOV_CC_NACIONAL!B893="","",MOV_CC_NACIONAL!B893)</f>
        <v/>
      </c>
      <c r="D893" s="34" t="str">
        <f>IF(MOV_CC_NACIONAL!C893="","",MOV_CC_NACIONAL!C893)</f>
        <v/>
      </c>
      <c r="E893" s="22" t="str">
        <f t="shared" si="1"/>
        <v/>
      </c>
      <c r="F893" s="22" t="str">
        <f>IFERROR(__xludf.DUMMYFUNCTION("IF(C893="""","""", OR(REGEXMATCH(LOWER(C893),""cuota""), REGEXMATCH(C893,""\d+\s*/\s*\d+"")))"),"")</f>
        <v/>
      </c>
      <c r="G893" s="22" t="str">
        <f>IFERROR(__xludf.DUMMYFUNCTION("IFERROR(VALUE(REGEXEXTRACT(C893,""(\d+)\s*/\s*\d+"")),"""")"),"")</f>
        <v/>
      </c>
      <c r="H893" s="22" t="str">
        <f>IFERROR(__xludf.DUMMYFUNCTION("IFERROR(VALUE(REGEXEXTRACT(C893,""\d+\s*/\s*(\d+)"")),"""")"),"")</f>
        <v/>
      </c>
      <c r="I893" s="22" t="str">
        <f t="shared" si="2"/>
        <v/>
      </c>
      <c r="J893" s="34" t="str">
        <f t="shared" si="3"/>
        <v/>
      </c>
    </row>
    <row r="894" ht="15.75" customHeight="1">
      <c r="A894" s="32" t="s">
        <v>113</v>
      </c>
      <c r="B894" s="32" t="str">
        <f>IF(MOV_CC_NACIONAL!A894="","",MOV_CC_NACIONAL!A894)</f>
        <v/>
      </c>
      <c r="C894" s="32" t="str">
        <f>IF(MOV_CC_NACIONAL!B894="","",MOV_CC_NACIONAL!B894)</f>
        <v/>
      </c>
      <c r="D894" s="33" t="str">
        <f>IF(MOV_CC_NACIONAL!C894="","",MOV_CC_NACIONAL!C894)</f>
        <v/>
      </c>
      <c r="E894" s="32" t="str">
        <f t="shared" si="1"/>
        <v/>
      </c>
      <c r="F894" s="32" t="str">
        <f>IFERROR(__xludf.DUMMYFUNCTION("IF(C894="""","""", OR(REGEXMATCH(LOWER(C894),""cuota""), REGEXMATCH(C894,""\d+\s*/\s*\d+"")))"),"")</f>
        <v/>
      </c>
      <c r="G894" s="32" t="str">
        <f>IFERROR(__xludf.DUMMYFUNCTION("IFERROR(VALUE(REGEXEXTRACT(C894,""(\d+)\s*/\s*\d+"")),"""")"),"")</f>
        <v/>
      </c>
      <c r="H894" s="32" t="str">
        <f>IFERROR(__xludf.DUMMYFUNCTION("IFERROR(VALUE(REGEXEXTRACT(C894,""\d+\s*/\s*(\d+)"")),"""")"),"")</f>
        <v/>
      </c>
      <c r="I894" s="32" t="str">
        <f t="shared" si="2"/>
        <v/>
      </c>
      <c r="J894" s="33" t="str">
        <f t="shared" si="3"/>
        <v/>
      </c>
    </row>
    <row r="895" ht="15.75" customHeight="1">
      <c r="A895" s="22" t="s">
        <v>113</v>
      </c>
      <c r="B895" s="22" t="str">
        <f>IF(MOV_CC_NACIONAL!A895="","",MOV_CC_NACIONAL!A895)</f>
        <v/>
      </c>
      <c r="C895" s="22" t="str">
        <f>IF(MOV_CC_NACIONAL!B895="","",MOV_CC_NACIONAL!B895)</f>
        <v/>
      </c>
      <c r="D895" s="34" t="str">
        <f>IF(MOV_CC_NACIONAL!C895="","",MOV_CC_NACIONAL!C895)</f>
        <v/>
      </c>
      <c r="E895" s="22" t="str">
        <f t="shared" si="1"/>
        <v/>
      </c>
      <c r="F895" s="22" t="str">
        <f>IFERROR(__xludf.DUMMYFUNCTION("IF(C895="""","""", OR(REGEXMATCH(LOWER(C895),""cuota""), REGEXMATCH(C895,""\d+\s*/\s*\d+"")))"),"")</f>
        <v/>
      </c>
      <c r="G895" s="22" t="str">
        <f>IFERROR(__xludf.DUMMYFUNCTION("IFERROR(VALUE(REGEXEXTRACT(C895,""(\d+)\s*/\s*\d+"")),"""")"),"")</f>
        <v/>
      </c>
      <c r="H895" s="22" t="str">
        <f>IFERROR(__xludf.DUMMYFUNCTION("IFERROR(VALUE(REGEXEXTRACT(C895,""\d+\s*/\s*(\d+)"")),"""")"),"")</f>
        <v/>
      </c>
      <c r="I895" s="22" t="str">
        <f t="shared" si="2"/>
        <v/>
      </c>
      <c r="J895" s="34" t="str">
        <f t="shared" si="3"/>
        <v/>
      </c>
    </row>
    <row r="896" ht="15.75" customHeight="1">
      <c r="A896" s="32" t="s">
        <v>113</v>
      </c>
      <c r="B896" s="32" t="str">
        <f>IF(MOV_CC_NACIONAL!A896="","",MOV_CC_NACIONAL!A896)</f>
        <v/>
      </c>
      <c r="C896" s="32" t="str">
        <f>IF(MOV_CC_NACIONAL!B896="","",MOV_CC_NACIONAL!B896)</f>
        <v/>
      </c>
      <c r="D896" s="33" t="str">
        <f>IF(MOV_CC_NACIONAL!C896="","",MOV_CC_NACIONAL!C896)</f>
        <v/>
      </c>
      <c r="E896" s="32" t="str">
        <f t="shared" si="1"/>
        <v/>
      </c>
      <c r="F896" s="32" t="str">
        <f>IFERROR(__xludf.DUMMYFUNCTION("IF(C896="""","""", OR(REGEXMATCH(LOWER(C896),""cuota""), REGEXMATCH(C896,""\d+\s*/\s*\d+"")))"),"")</f>
        <v/>
      </c>
      <c r="G896" s="32" t="str">
        <f>IFERROR(__xludf.DUMMYFUNCTION("IFERROR(VALUE(REGEXEXTRACT(C896,""(\d+)\s*/\s*\d+"")),"""")"),"")</f>
        <v/>
      </c>
      <c r="H896" s="32" t="str">
        <f>IFERROR(__xludf.DUMMYFUNCTION("IFERROR(VALUE(REGEXEXTRACT(C896,""\d+\s*/\s*(\d+)"")),"""")"),"")</f>
        <v/>
      </c>
      <c r="I896" s="32" t="str">
        <f t="shared" si="2"/>
        <v/>
      </c>
      <c r="J896" s="33" t="str">
        <f t="shared" si="3"/>
        <v/>
      </c>
    </row>
    <row r="897" ht="15.75" customHeight="1">
      <c r="A897" s="22" t="s">
        <v>113</v>
      </c>
      <c r="B897" s="22" t="str">
        <f>IF(MOV_CC_NACIONAL!A897="","",MOV_CC_NACIONAL!A897)</f>
        <v/>
      </c>
      <c r="C897" s="22" t="str">
        <f>IF(MOV_CC_NACIONAL!B897="","",MOV_CC_NACIONAL!B897)</f>
        <v/>
      </c>
      <c r="D897" s="34" t="str">
        <f>IF(MOV_CC_NACIONAL!C897="","",MOV_CC_NACIONAL!C897)</f>
        <v/>
      </c>
      <c r="E897" s="22" t="str">
        <f t="shared" si="1"/>
        <v/>
      </c>
      <c r="F897" s="22" t="str">
        <f>IFERROR(__xludf.DUMMYFUNCTION("IF(C897="""","""", OR(REGEXMATCH(LOWER(C897),""cuota""), REGEXMATCH(C897,""\d+\s*/\s*\d+"")))"),"")</f>
        <v/>
      </c>
      <c r="G897" s="22" t="str">
        <f>IFERROR(__xludf.DUMMYFUNCTION("IFERROR(VALUE(REGEXEXTRACT(C897,""(\d+)\s*/\s*\d+"")),"""")"),"")</f>
        <v/>
      </c>
      <c r="H897" s="22" t="str">
        <f>IFERROR(__xludf.DUMMYFUNCTION("IFERROR(VALUE(REGEXEXTRACT(C897,""\d+\s*/\s*(\d+)"")),"""")"),"")</f>
        <v/>
      </c>
      <c r="I897" s="22" t="str">
        <f t="shared" si="2"/>
        <v/>
      </c>
      <c r="J897" s="34" t="str">
        <f t="shared" si="3"/>
        <v/>
      </c>
    </row>
    <row r="898" ht="15.75" customHeight="1">
      <c r="A898" s="32" t="s">
        <v>113</v>
      </c>
      <c r="B898" s="32" t="str">
        <f>IF(MOV_CC_NACIONAL!A898="","",MOV_CC_NACIONAL!A898)</f>
        <v/>
      </c>
      <c r="C898" s="32" t="str">
        <f>IF(MOV_CC_NACIONAL!B898="","",MOV_CC_NACIONAL!B898)</f>
        <v/>
      </c>
      <c r="D898" s="33" t="str">
        <f>IF(MOV_CC_NACIONAL!C898="","",MOV_CC_NACIONAL!C898)</f>
        <v/>
      </c>
      <c r="E898" s="32" t="str">
        <f t="shared" si="1"/>
        <v/>
      </c>
      <c r="F898" s="32" t="str">
        <f>IFERROR(__xludf.DUMMYFUNCTION("IF(C898="""","""", OR(REGEXMATCH(LOWER(C898),""cuota""), REGEXMATCH(C898,""\d+\s*/\s*\d+"")))"),"")</f>
        <v/>
      </c>
      <c r="G898" s="32" t="str">
        <f>IFERROR(__xludf.DUMMYFUNCTION("IFERROR(VALUE(REGEXEXTRACT(C898,""(\d+)\s*/\s*\d+"")),"""")"),"")</f>
        <v/>
      </c>
      <c r="H898" s="32" t="str">
        <f>IFERROR(__xludf.DUMMYFUNCTION("IFERROR(VALUE(REGEXEXTRACT(C898,""\d+\s*/\s*(\d+)"")),"""")"),"")</f>
        <v/>
      </c>
      <c r="I898" s="32" t="str">
        <f t="shared" si="2"/>
        <v/>
      </c>
      <c r="J898" s="33" t="str">
        <f t="shared" si="3"/>
        <v/>
      </c>
    </row>
    <row r="899" ht="15.75" customHeight="1">
      <c r="A899" s="22" t="s">
        <v>113</v>
      </c>
      <c r="B899" s="22" t="str">
        <f>IF(MOV_CC_NACIONAL!A899="","",MOV_CC_NACIONAL!A899)</f>
        <v/>
      </c>
      <c r="C899" s="22" t="str">
        <f>IF(MOV_CC_NACIONAL!B899="","",MOV_CC_NACIONAL!B899)</f>
        <v/>
      </c>
      <c r="D899" s="34" t="str">
        <f>IF(MOV_CC_NACIONAL!C899="","",MOV_CC_NACIONAL!C899)</f>
        <v/>
      </c>
      <c r="E899" s="22" t="str">
        <f t="shared" si="1"/>
        <v/>
      </c>
      <c r="F899" s="22" t="str">
        <f>IFERROR(__xludf.DUMMYFUNCTION("IF(C899="""","""", OR(REGEXMATCH(LOWER(C899),""cuota""), REGEXMATCH(C899,""\d+\s*/\s*\d+"")))"),"")</f>
        <v/>
      </c>
      <c r="G899" s="22" t="str">
        <f>IFERROR(__xludf.DUMMYFUNCTION("IFERROR(VALUE(REGEXEXTRACT(C899,""(\d+)\s*/\s*\d+"")),"""")"),"")</f>
        <v/>
      </c>
      <c r="H899" s="22" t="str">
        <f>IFERROR(__xludf.DUMMYFUNCTION("IFERROR(VALUE(REGEXEXTRACT(C899,""\d+\s*/\s*(\d+)"")),"""")"),"")</f>
        <v/>
      </c>
      <c r="I899" s="22" t="str">
        <f t="shared" si="2"/>
        <v/>
      </c>
      <c r="J899" s="34" t="str">
        <f t="shared" si="3"/>
        <v/>
      </c>
    </row>
    <row r="900" ht="15.75" customHeight="1">
      <c r="A900" s="32" t="s">
        <v>113</v>
      </c>
      <c r="B900" s="32" t="str">
        <f>IF(MOV_CC_NACIONAL!A900="","",MOV_CC_NACIONAL!A900)</f>
        <v/>
      </c>
      <c r="C900" s="32" t="str">
        <f>IF(MOV_CC_NACIONAL!B900="","",MOV_CC_NACIONAL!B900)</f>
        <v/>
      </c>
      <c r="D900" s="33" t="str">
        <f>IF(MOV_CC_NACIONAL!C900="","",MOV_CC_NACIONAL!C900)</f>
        <v/>
      </c>
      <c r="E900" s="32" t="str">
        <f t="shared" si="1"/>
        <v/>
      </c>
      <c r="F900" s="32" t="str">
        <f>IFERROR(__xludf.DUMMYFUNCTION("IF(C900="""","""", OR(REGEXMATCH(LOWER(C900),""cuota""), REGEXMATCH(C900,""\d+\s*/\s*\d+"")))"),"")</f>
        <v/>
      </c>
      <c r="G900" s="32" t="str">
        <f>IFERROR(__xludf.DUMMYFUNCTION("IFERROR(VALUE(REGEXEXTRACT(C900,""(\d+)\s*/\s*\d+"")),"""")"),"")</f>
        <v/>
      </c>
      <c r="H900" s="32" t="str">
        <f>IFERROR(__xludf.DUMMYFUNCTION("IFERROR(VALUE(REGEXEXTRACT(C900,""\d+\s*/\s*(\d+)"")),"""")"),"")</f>
        <v/>
      </c>
      <c r="I900" s="32" t="str">
        <f t="shared" si="2"/>
        <v/>
      </c>
      <c r="J900" s="33" t="str">
        <f t="shared" si="3"/>
        <v/>
      </c>
    </row>
    <row r="901" ht="15.75" customHeight="1">
      <c r="A901" s="22" t="s">
        <v>113</v>
      </c>
      <c r="B901" s="22" t="str">
        <f>IF(MOV_CC_NACIONAL!A901="","",MOV_CC_NACIONAL!A901)</f>
        <v/>
      </c>
      <c r="C901" s="22" t="str">
        <f>IF(MOV_CC_NACIONAL!B901="","",MOV_CC_NACIONAL!B901)</f>
        <v/>
      </c>
      <c r="D901" s="34" t="str">
        <f>IF(MOV_CC_NACIONAL!C901="","",MOV_CC_NACIONAL!C901)</f>
        <v/>
      </c>
      <c r="E901" s="22" t="str">
        <f t="shared" si="1"/>
        <v/>
      </c>
      <c r="F901" s="22" t="str">
        <f>IFERROR(__xludf.DUMMYFUNCTION("IF(C901="""","""", OR(REGEXMATCH(LOWER(C901),""cuota""), REGEXMATCH(C901,""\d+\s*/\s*\d+"")))"),"")</f>
        <v/>
      </c>
      <c r="G901" s="22" t="str">
        <f>IFERROR(__xludf.DUMMYFUNCTION("IFERROR(VALUE(REGEXEXTRACT(C901,""(\d+)\s*/\s*\d+"")),"""")"),"")</f>
        <v/>
      </c>
      <c r="H901" s="22" t="str">
        <f>IFERROR(__xludf.DUMMYFUNCTION("IFERROR(VALUE(REGEXEXTRACT(C901,""\d+\s*/\s*(\d+)"")),"""")"),"")</f>
        <v/>
      </c>
      <c r="I901" s="22" t="str">
        <f t="shared" si="2"/>
        <v/>
      </c>
      <c r="J901" s="34" t="str">
        <f t="shared" si="3"/>
        <v/>
      </c>
    </row>
    <row r="902" ht="15.75" customHeight="1">
      <c r="A902" s="32" t="s">
        <v>113</v>
      </c>
      <c r="B902" s="32" t="str">
        <f>IF(MOV_CC_NACIONAL!A902="","",MOV_CC_NACIONAL!A902)</f>
        <v/>
      </c>
      <c r="C902" s="32" t="str">
        <f>IF(MOV_CC_NACIONAL!B902="","",MOV_CC_NACIONAL!B902)</f>
        <v/>
      </c>
      <c r="D902" s="33" t="str">
        <f>IF(MOV_CC_NACIONAL!C902="","",MOV_CC_NACIONAL!C902)</f>
        <v/>
      </c>
      <c r="E902" s="32" t="str">
        <f t="shared" si="1"/>
        <v/>
      </c>
      <c r="F902" s="32" t="str">
        <f>IFERROR(__xludf.DUMMYFUNCTION("IF(C902="""","""", OR(REGEXMATCH(LOWER(C902),""cuota""), REGEXMATCH(C902,""\d+\s*/\s*\d+"")))"),"")</f>
        <v/>
      </c>
      <c r="G902" s="32" t="str">
        <f>IFERROR(__xludf.DUMMYFUNCTION("IFERROR(VALUE(REGEXEXTRACT(C902,""(\d+)\s*/\s*\d+"")),"""")"),"")</f>
        <v/>
      </c>
      <c r="H902" s="32" t="str">
        <f>IFERROR(__xludf.DUMMYFUNCTION("IFERROR(VALUE(REGEXEXTRACT(C902,""\d+\s*/\s*(\d+)"")),"""")"),"")</f>
        <v/>
      </c>
      <c r="I902" s="32" t="str">
        <f t="shared" si="2"/>
        <v/>
      </c>
      <c r="J902" s="33" t="str">
        <f t="shared" si="3"/>
        <v/>
      </c>
    </row>
    <row r="903" ht="15.75" customHeight="1">
      <c r="A903" s="22" t="s">
        <v>113</v>
      </c>
      <c r="B903" s="22" t="str">
        <f>IF(MOV_CC_NACIONAL!A903="","",MOV_CC_NACIONAL!A903)</f>
        <v/>
      </c>
      <c r="C903" s="22" t="str">
        <f>IF(MOV_CC_NACIONAL!B903="","",MOV_CC_NACIONAL!B903)</f>
        <v/>
      </c>
      <c r="D903" s="34" t="str">
        <f>IF(MOV_CC_NACIONAL!C903="","",MOV_CC_NACIONAL!C903)</f>
        <v/>
      </c>
      <c r="E903" s="22" t="str">
        <f t="shared" si="1"/>
        <v/>
      </c>
      <c r="F903" s="22" t="str">
        <f>IFERROR(__xludf.DUMMYFUNCTION("IF(C903="""","""", OR(REGEXMATCH(LOWER(C903),""cuota""), REGEXMATCH(C903,""\d+\s*/\s*\d+"")))"),"")</f>
        <v/>
      </c>
      <c r="G903" s="22" t="str">
        <f>IFERROR(__xludf.DUMMYFUNCTION("IFERROR(VALUE(REGEXEXTRACT(C903,""(\d+)\s*/\s*\d+"")),"""")"),"")</f>
        <v/>
      </c>
      <c r="H903" s="22" t="str">
        <f>IFERROR(__xludf.DUMMYFUNCTION("IFERROR(VALUE(REGEXEXTRACT(C903,""\d+\s*/\s*(\d+)"")),"""")"),"")</f>
        <v/>
      </c>
      <c r="I903" s="22" t="str">
        <f t="shared" si="2"/>
        <v/>
      </c>
      <c r="J903" s="34" t="str">
        <f t="shared" si="3"/>
        <v/>
      </c>
    </row>
    <row r="904" ht="15.75" customHeight="1">
      <c r="A904" s="32" t="s">
        <v>113</v>
      </c>
      <c r="B904" s="32" t="str">
        <f>IF(MOV_CC_NACIONAL!A904="","",MOV_CC_NACIONAL!A904)</f>
        <v/>
      </c>
      <c r="C904" s="32" t="str">
        <f>IF(MOV_CC_NACIONAL!B904="","",MOV_CC_NACIONAL!B904)</f>
        <v/>
      </c>
      <c r="D904" s="33" t="str">
        <f>IF(MOV_CC_NACIONAL!C904="","",MOV_CC_NACIONAL!C904)</f>
        <v/>
      </c>
      <c r="E904" s="32" t="str">
        <f t="shared" si="1"/>
        <v/>
      </c>
      <c r="F904" s="32" t="str">
        <f>IFERROR(__xludf.DUMMYFUNCTION("IF(C904="""","""", OR(REGEXMATCH(LOWER(C904),""cuota""), REGEXMATCH(C904,""\d+\s*/\s*\d+"")))"),"")</f>
        <v/>
      </c>
      <c r="G904" s="32" t="str">
        <f>IFERROR(__xludf.DUMMYFUNCTION("IFERROR(VALUE(REGEXEXTRACT(C904,""(\d+)\s*/\s*\d+"")),"""")"),"")</f>
        <v/>
      </c>
      <c r="H904" s="32" t="str">
        <f>IFERROR(__xludf.DUMMYFUNCTION("IFERROR(VALUE(REGEXEXTRACT(C904,""\d+\s*/\s*(\d+)"")),"""")"),"")</f>
        <v/>
      </c>
      <c r="I904" s="32" t="str">
        <f t="shared" si="2"/>
        <v/>
      </c>
      <c r="J904" s="33" t="str">
        <f t="shared" si="3"/>
        <v/>
      </c>
    </row>
    <row r="905" ht="15.75" customHeight="1">
      <c r="A905" s="22" t="s">
        <v>113</v>
      </c>
      <c r="B905" s="22" t="str">
        <f>IF(MOV_CC_NACIONAL!A905="","",MOV_CC_NACIONAL!A905)</f>
        <v/>
      </c>
      <c r="C905" s="22" t="str">
        <f>IF(MOV_CC_NACIONAL!B905="","",MOV_CC_NACIONAL!B905)</f>
        <v/>
      </c>
      <c r="D905" s="34" t="str">
        <f>IF(MOV_CC_NACIONAL!C905="","",MOV_CC_NACIONAL!C905)</f>
        <v/>
      </c>
      <c r="E905" s="22" t="str">
        <f t="shared" si="1"/>
        <v/>
      </c>
      <c r="F905" s="22" t="str">
        <f>IFERROR(__xludf.DUMMYFUNCTION("IF(C905="""","""", OR(REGEXMATCH(LOWER(C905),""cuota""), REGEXMATCH(C905,""\d+\s*/\s*\d+"")))"),"")</f>
        <v/>
      </c>
      <c r="G905" s="22" t="str">
        <f>IFERROR(__xludf.DUMMYFUNCTION("IFERROR(VALUE(REGEXEXTRACT(C905,""(\d+)\s*/\s*\d+"")),"""")"),"")</f>
        <v/>
      </c>
      <c r="H905" s="22" t="str">
        <f>IFERROR(__xludf.DUMMYFUNCTION("IFERROR(VALUE(REGEXEXTRACT(C905,""\d+\s*/\s*(\d+)"")),"""")"),"")</f>
        <v/>
      </c>
      <c r="I905" s="22" t="str">
        <f t="shared" si="2"/>
        <v/>
      </c>
      <c r="J905" s="34" t="str">
        <f t="shared" si="3"/>
        <v/>
      </c>
    </row>
    <row r="906" ht="15.75" customHeight="1">
      <c r="A906" s="32" t="s">
        <v>113</v>
      </c>
      <c r="B906" s="32" t="str">
        <f>IF(MOV_CC_NACIONAL!A906="","",MOV_CC_NACIONAL!A906)</f>
        <v/>
      </c>
      <c r="C906" s="32" t="str">
        <f>IF(MOV_CC_NACIONAL!B906="","",MOV_CC_NACIONAL!B906)</f>
        <v/>
      </c>
      <c r="D906" s="33" t="str">
        <f>IF(MOV_CC_NACIONAL!C906="","",MOV_CC_NACIONAL!C906)</f>
        <v/>
      </c>
      <c r="E906" s="32" t="str">
        <f t="shared" si="1"/>
        <v/>
      </c>
      <c r="F906" s="32" t="str">
        <f>IFERROR(__xludf.DUMMYFUNCTION("IF(C906="""","""", OR(REGEXMATCH(LOWER(C906),""cuota""), REGEXMATCH(C906,""\d+\s*/\s*\d+"")))"),"")</f>
        <v/>
      </c>
      <c r="G906" s="32" t="str">
        <f>IFERROR(__xludf.DUMMYFUNCTION("IFERROR(VALUE(REGEXEXTRACT(C906,""(\d+)\s*/\s*\d+"")),"""")"),"")</f>
        <v/>
      </c>
      <c r="H906" s="32" t="str">
        <f>IFERROR(__xludf.DUMMYFUNCTION("IFERROR(VALUE(REGEXEXTRACT(C906,""\d+\s*/\s*(\d+)"")),"""")"),"")</f>
        <v/>
      </c>
      <c r="I906" s="32" t="str">
        <f t="shared" si="2"/>
        <v/>
      </c>
      <c r="J906" s="33" t="str">
        <f t="shared" si="3"/>
        <v/>
      </c>
    </row>
    <row r="907" ht="15.75" customHeight="1">
      <c r="A907" s="22" t="s">
        <v>113</v>
      </c>
      <c r="B907" s="22" t="str">
        <f>IF(MOV_CC_NACIONAL!A907="","",MOV_CC_NACIONAL!A907)</f>
        <v/>
      </c>
      <c r="C907" s="22" t="str">
        <f>IF(MOV_CC_NACIONAL!B907="","",MOV_CC_NACIONAL!B907)</f>
        <v/>
      </c>
      <c r="D907" s="34" t="str">
        <f>IF(MOV_CC_NACIONAL!C907="","",MOV_CC_NACIONAL!C907)</f>
        <v/>
      </c>
      <c r="E907" s="22" t="str">
        <f t="shared" si="1"/>
        <v/>
      </c>
      <c r="F907" s="22" t="str">
        <f>IFERROR(__xludf.DUMMYFUNCTION("IF(C907="""","""", OR(REGEXMATCH(LOWER(C907),""cuota""), REGEXMATCH(C907,""\d+\s*/\s*\d+"")))"),"")</f>
        <v/>
      </c>
      <c r="G907" s="22" t="str">
        <f>IFERROR(__xludf.DUMMYFUNCTION("IFERROR(VALUE(REGEXEXTRACT(C907,""(\d+)\s*/\s*\d+"")),"""")"),"")</f>
        <v/>
      </c>
      <c r="H907" s="22" t="str">
        <f>IFERROR(__xludf.DUMMYFUNCTION("IFERROR(VALUE(REGEXEXTRACT(C907,""\d+\s*/\s*(\d+)"")),"""")"),"")</f>
        <v/>
      </c>
      <c r="I907" s="22" t="str">
        <f t="shared" si="2"/>
        <v/>
      </c>
      <c r="J907" s="34" t="str">
        <f t="shared" si="3"/>
        <v/>
      </c>
    </row>
    <row r="908" ht="15.75" customHeight="1">
      <c r="A908" s="32" t="s">
        <v>113</v>
      </c>
      <c r="B908" s="32" t="str">
        <f>IF(MOV_CC_NACIONAL!A908="","",MOV_CC_NACIONAL!A908)</f>
        <v/>
      </c>
      <c r="C908" s="32" t="str">
        <f>IF(MOV_CC_NACIONAL!B908="","",MOV_CC_NACIONAL!B908)</f>
        <v/>
      </c>
      <c r="D908" s="33" t="str">
        <f>IF(MOV_CC_NACIONAL!C908="","",MOV_CC_NACIONAL!C908)</f>
        <v/>
      </c>
      <c r="E908" s="32" t="str">
        <f t="shared" si="1"/>
        <v/>
      </c>
      <c r="F908" s="32" t="str">
        <f>IFERROR(__xludf.DUMMYFUNCTION("IF(C908="""","""", OR(REGEXMATCH(LOWER(C908),""cuota""), REGEXMATCH(C908,""\d+\s*/\s*\d+"")))"),"")</f>
        <v/>
      </c>
      <c r="G908" s="32" t="str">
        <f>IFERROR(__xludf.DUMMYFUNCTION("IFERROR(VALUE(REGEXEXTRACT(C908,""(\d+)\s*/\s*\d+"")),"""")"),"")</f>
        <v/>
      </c>
      <c r="H908" s="32" t="str">
        <f>IFERROR(__xludf.DUMMYFUNCTION("IFERROR(VALUE(REGEXEXTRACT(C908,""\d+\s*/\s*(\d+)"")),"""")"),"")</f>
        <v/>
      </c>
      <c r="I908" s="32" t="str">
        <f t="shared" si="2"/>
        <v/>
      </c>
      <c r="J908" s="33" t="str">
        <f t="shared" si="3"/>
        <v/>
      </c>
    </row>
    <row r="909" ht="15.75" customHeight="1">
      <c r="A909" s="22" t="s">
        <v>113</v>
      </c>
      <c r="B909" s="22" t="str">
        <f>IF(MOV_CC_NACIONAL!A909="","",MOV_CC_NACIONAL!A909)</f>
        <v/>
      </c>
      <c r="C909" s="22" t="str">
        <f>IF(MOV_CC_NACIONAL!B909="","",MOV_CC_NACIONAL!B909)</f>
        <v/>
      </c>
      <c r="D909" s="34" t="str">
        <f>IF(MOV_CC_NACIONAL!C909="","",MOV_CC_NACIONAL!C909)</f>
        <v/>
      </c>
      <c r="E909" s="22" t="str">
        <f t="shared" si="1"/>
        <v/>
      </c>
      <c r="F909" s="22" t="str">
        <f>IFERROR(__xludf.DUMMYFUNCTION("IF(C909="""","""", OR(REGEXMATCH(LOWER(C909),""cuota""), REGEXMATCH(C909,""\d+\s*/\s*\d+"")))"),"")</f>
        <v/>
      </c>
      <c r="G909" s="22" t="str">
        <f>IFERROR(__xludf.DUMMYFUNCTION("IFERROR(VALUE(REGEXEXTRACT(C909,""(\d+)\s*/\s*\d+"")),"""")"),"")</f>
        <v/>
      </c>
      <c r="H909" s="22" t="str">
        <f>IFERROR(__xludf.DUMMYFUNCTION("IFERROR(VALUE(REGEXEXTRACT(C909,""\d+\s*/\s*(\d+)"")),"""")"),"")</f>
        <v/>
      </c>
      <c r="I909" s="22" t="str">
        <f t="shared" si="2"/>
        <v/>
      </c>
      <c r="J909" s="34" t="str">
        <f t="shared" si="3"/>
        <v/>
      </c>
    </row>
    <row r="910" ht="15.75" customHeight="1">
      <c r="A910" s="32" t="s">
        <v>113</v>
      </c>
      <c r="B910" s="32" t="str">
        <f>IF(MOV_CC_NACIONAL!A910="","",MOV_CC_NACIONAL!A910)</f>
        <v/>
      </c>
      <c r="C910" s="32" t="str">
        <f>IF(MOV_CC_NACIONAL!B910="","",MOV_CC_NACIONAL!B910)</f>
        <v/>
      </c>
      <c r="D910" s="33" t="str">
        <f>IF(MOV_CC_NACIONAL!C910="","",MOV_CC_NACIONAL!C910)</f>
        <v/>
      </c>
      <c r="E910" s="32" t="str">
        <f t="shared" si="1"/>
        <v/>
      </c>
      <c r="F910" s="32" t="str">
        <f>IFERROR(__xludf.DUMMYFUNCTION("IF(C910="""","""", OR(REGEXMATCH(LOWER(C910),""cuota""), REGEXMATCH(C910,""\d+\s*/\s*\d+"")))"),"")</f>
        <v/>
      </c>
      <c r="G910" s="32" t="str">
        <f>IFERROR(__xludf.DUMMYFUNCTION("IFERROR(VALUE(REGEXEXTRACT(C910,""(\d+)\s*/\s*\d+"")),"""")"),"")</f>
        <v/>
      </c>
      <c r="H910" s="32" t="str">
        <f>IFERROR(__xludf.DUMMYFUNCTION("IFERROR(VALUE(REGEXEXTRACT(C910,""\d+\s*/\s*(\d+)"")),"""")"),"")</f>
        <v/>
      </c>
      <c r="I910" s="32" t="str">
        <f t="shared" si="2"/>
        <v/>
      </c>
      <c r="J910" s="33" t="str">
        <f t="shared" si="3"/>
        <v/>
      </c>
    </row>
    <row r="911" ht="15.75" customHeight="1">
      <c r="A911" s="22" t="s">
        <v>113</v>
      </c>
      <c r="B911" s="22" t="str">
        <f>IF(MOV_CC_NACIONAL!A911="","",MOV_CC_NACIONAL!A911)</f>
        <v/>
      </c>
      <c r="C911" s="22" t="str">
        <f>IF(MOV_CC_NACIONAL!B911="","",MOV_CC_NACIONAL!B911)</f>
        <v/>
      </c>
      <c r="D911" s="34" t="str">
        <f>IF(MOV_CC_NACIONAL!C911="","",MOV_CC_NACIONAL!C911)</f>
        <v/>
      </c>
      <c r="E911" s="22" t="str">
        <f t="shared" si="1"/>
        <v/>
      </c>
      <c r="F911" s="22" t="str">
        <f>IFERROR(__xludf.DUMMYFUNCTION("IF(C911="""","""", OR(REGEXMATCH(LOWER(C911),""cuota""), REGEXMATCH(C911,""\d+\s*/\s*\d+"")))"),"")</f>
        <v/>
      </c>
      <c r="G911" s="22" t="str">
        <f>IFERROR(__xludf.DUMMYFUNCTION("IFERROR(VALUE(REGEXEXTRACT(C911,""(\d+)\s*/\s*\d+"")),"""")"),"")</f>
        <v/>
      </c>
      <c r="H911" s="22" t="str">
        <f>IFERROR(__xludf.DUMMYFUNCTION("IFERROR(VALUE(REGEXEXTRACT(C911,""\d+\s*/\s*(\d+)"")),"""")"),"")</f>
        <v/>
      </c>
      <c r="I911" s="22" t="str">
        <f t="shared" si="2"/>
        <v/>
      </c>
      <c r="J911" s="34" t="str">
        <f t="shared" si="3"/>
        <v/>
      </c>
    </row>
    <row r="912" ht="15.75" customHeight="1">
      <c r="A912" s="32" t="s">
        <v>113</v>
      </c>
      <c r="B912" s="32" t="str">
        <f>IF(MOV_CC_NACIONAL!A912="","",MOV_CC_NACIONAL!A912)</f>
        <v/>
      </c>
      <c r="C912" s="32" t="str">
        <f>IF(MOV_CC_NACIONAL!B912="","",MOV_CC_NACIONAL!B912)</f>
        <v/>
      </c>
      <c r="D912" s="33" t="str">
        <f>IF(MOV_CC_NACIONAL!C912="","",MOV_CC_NACIONAL!C912)</f>
        <v/>
      </c>
      <c r="E912" s="32" t="str">
        <f t="shared" si="1"/>
        <v/>
      </c>
      <c r="F912" s="32" t="str">
        <f>IFERROR(__xludf.DUMMYFUNCTION("IF(C912="""","""", OR(REGEXMATCH(LOWER(C912),""cuota""), REGEXMATCH(C912,""\d+\s*/\s*\d+"")))"),"")</f>
        <v/>
      </c>
      <c r="G912" s="32" t="str">
        <f>IFERROR(__xludf.DUMMYFUNCTION("IFERROR(VALUE(REGEXEXTRACT(C912,""(\d+)\s*/\s*\d+"")),"""")"),"")</f>
        <v/>
      </c>
      <c r="H912" s="32" t="str">
        <f>IFERROR(__xludf.DUMMYFUNCTION("IFERROR(VALUE(REGEXEXTRACT(C912,""\d+\s*/\s*(\d+)"")),"""")"),"")</f>
        <v/>
      </c>
      <c r="I912" s="32" t="str">
        <f t="shared" si="2"/>
        <v/>
      </c>
      <c r="J912" s="33" t="str">
        <f t="shared" si="3"/>
        <v/>
      </c>
    </row>
    <row r="913" ht="15.75" customHeight="1">
      <c r="A913" s="22" t="s">
        <v>113</v>
      </c>
      <c r="B913" s="22" t="str">
        <f>IF(MOV_CC_NACIONAL!A913="","",MOV_CC_NACIONAL!A913)</f>
        <v/>
      </c>
      <c r="C913" s="22" t="str">
        <f>IF(MOV_CC_NACIONAL!B913="","",MOV_CC_NACIONAL!B913)</f>
        <v/>
      </c>
      <c r="D913" s="34" t="str">
        <f>IF(MOV_CC_NACIONAL!C913="","",MOV_CC_NACIONAL!C913)</f>
        <v/>
      </c>
      <c r="E913" s="22" t="str">
        <f t="shared" si="1"/>
        <v/>
      </c>
      <c r="F913" s="22" t="str">
        <f>IFERROR(__xludf.DUMMYFUNCTION("IF(C913="""","""", OR(REGEXMATCH(LOWER(C913),""cuota""), REGEXMATCH(C913,""\d+\s*/\s*\d+"")))"),"")</f>
        <v/>
      </c>
      <c r="G913" s="22" t="str">
        <f>IFERROR(__xludf.DUMMYFUNCTION("IFERROR(VALUE(REGEXEXTRACT(C913,""(\d+)\s*/\s*\d+"")),"""")"),"")</f>
        <v/>
      </c>
      <c r="H913" s="22" t="str">
        <f>IFERROR(__xludf.DUMMYFUNCTION("IFERROR(VALUE(REGEXEXTRACT(C913,""\d+\s*/\s*(\d+)"")),"""")"),"")</f>
        <v/>
      </c>
      <c r="I913" s="22" t="str">
        <f t="shared" si="2"/>
        <v/>
      </c>
      <c r="J913" s="34" t="str">
        <f t="shared" si="3"/>
        <v/>
      </c>
    </row>
    <row r="914" ht="15.75" customHeight="1">
      <c r="A914" s="32" t="s">
        <v>113</v>
      </c>
      <c r="B914" s="32" t="str">
        <f>IF(MOV_CC_NACIONAL!A914="","",MOV_CC_NACIONAL!A914)</f>
        <v/>
      </c>
      <c r="C914" s="32" t="str">
        <f>IF(MOV_CC_NACIONAL!B914="","",MOV_CC_NACIONAL!B914)</f>
        <v/>
      </c>
      <c r="D914" s="33" t="str">
        <f>IF(MOV_CC_NACIONAL!C914="","",MOV_CC_NACIONAL!C914)</f>
        <v/>
      </c>
      <c r="E914" s="32" t="str">
        <f t="shared" si="1"/>
        <v/>
      </c>
      <c r="F914" s="32" t="str">
        <f>IFERROR(__xludf.DUMMYFUNCTION("IF(C914="""","""", OR(REGEXMATCH(LOWER(C914),""cuota""), REGEXMATCH(C914,""\d+\s*/\s*\d+"")))"),"")</f>
        <v/>
      </c>
      <c r="G914" s="32" t="str">
        <f>IFERROR(__xludf.DUMMYFUNCTION("IFERROR(VALUE(REGEXEXTRACT(C914,""(\d+)\s*/\s*\d+"")),"""")"),"")</f>
        <v/>
      </c>
      <c r="H914" s="32" t="str">
        <f>IFERROR(__xludf.DUMMYFUNCTION("IFERROR(VALUE(REGEXEXTRACT(C914,""\d+\s*/\s*(\d+)"")),"""")"),"")</f>
        <v/>
      </c>
      <c r="I914" s="32" t="str">
        <f t="shared" si="2"/>
        <v/>
      </c>
      <c r="J914" s="33" t="str">
        <f t="shared" si="3"/>
        <v/>
      </c>
    </row>
    <row r="915" ht="15.75" customHeight="1">
      <c r="A915" s="22" t="s">
        <v>113</v>
      </c>
      <c r="B915" s="22" t="str">
        <f>IF(MOV_CC_NACIONAL!A915="","",MOV_CC_NACIONAL!A915)</f>
        <v/>
      </c>
      <c r="C915" s="22" t="str">
        <f>IF(MOV_CC_NACIONAL!B915="","",MOV_CC_NACIONAL!B915)</f>
        <v/>
      </c>
      <c r="D915" s="34" t="str">
        <f>IF(MOV_CC_NACIONAL!C915="","",MOV_CC_NACIONAL!C915)</f>
        <v/>
      </c>
      <c r="E915" s="22" t="str">
        <f t="shared" si="1"/>
        <v/>
      </c>
      <c r="F915" s="22" t="str">
        <f>IFERROR(__xludf.DUMMYFUNCTION("IF(C915="""","""", OR(REGEXMATCH(LOWER(C915),""cuota""), REGEXMATCH(C915,""\d+\s*/\s*\d+"")))"),"")</f>
        <v/>
      </c>
      <c r="G915" s="22" t="str">
        <f>IFERROR(__xludf.DUMMYFUNCTION("IFERROR(VALUE(REGEXEXTRACT(C915,""(\d+)\s*/\s*\d+"")),"""")"),"")</f>
        <v/>
      </c>
      <c r="H915" s="22" t="str">
        <f>IFERROR(__xludf.DUMMYFUNCTION("IFERROR(VALUE(REGEXEXTRACT(C915,""\d+\s*/\s*(\d+)"")),"""")"),"")</f>
        <v/>
      </c>
      <c r="I915" s="22" t="str">
        <f t="shared" si="2"/>
        <v/>
      </c>
      <c r="J915" s="34" t="str">
        <f t="shared" si="3"/>
        <v/>
      </c>
    </row>
    <row r="916" ht="15.75" customHeight="1">
      <c r="A916" s="32" t="s">
        <v>113</v>
      </c>
      <c r="B916" s="32" t="str">
        <f>IF(MOV_CC_NACIONAL!A916="","",MOV_CC_NACIONAL!A916)</f>
        <v/>
      </c>
      <c r="C916" s="32" t="str">
        <f>IF(MOV_CC_NACIONAL!B916="","",MOV_CC_NACIONAL!B916)</f>
        <v/>
      </c>
      <c r="D916" s="33" t="str">
        <f>IF(MOV_CC_NACIONAL!C916="","",MOV_CC_NACIONAL!C916)</f>
        <v/>
      </c>
      <c r="E916" s="32" t="str">
        <f t="shared" si="1"/>
        <v/>
      </c>
      <c r="F916" s="32" t="str">
        <f>IFERROR(__xludf.DUMMYFUNCTION("IF(C916="""","""", OR(REGEXMATCH(LOWER(C916),""cuota""), REGEXMATCH(C916,""\d+\s*/\s*\d+"")))"),"")</f>
        <v/>
      </c>
      <c r="G916" s="32" t="str">
        <f>IFERROR(__xludf.DUMMYFUNCTION("IFERROR(VALUE(REGEXEXTRACT(C916,""(\d+)\s*/\s*\d+"")),"""")"),"")</f>
        <v/>
      </c>
      <c r="H916" s="32" t="str">
        <f>IFERROR(__xludf.DUMMYFUNCTION("IFERROR(VALUE(REGEXEXTRACT(C916,""\d+\s*/\s*(\d+)"")),"""")"),"")</f>
        <v/>
      </c>
      <c r="I916" s="32" t="str">
        <f t="shared" si="2"/>
        <v/>
      </c>
      <c r="J916" s="33" t="str">
        <f t="shared" si="3"/>
        <v/>
      </c>
    </row>
    <row r="917" ht="15.75" customHeight="1">
      <c r="A917" s="22" t="s">
        <v>113</v>
      </c>
      <c r="B917" s="22" t="str">
        <f>IF(MOV_CC_NACIONAL!A917="","",MOV_CC_NACIONAL!A917)</f>
        <v/>
      </c>
      <c r="C917" s="22" t="str">
        <f>IF(MOV_CC_NACIONAL!B917="","",MOV_CC_NACIONAL!B917)</f>
        <v/>
      </c>
      <c r="D917" s="34" t="str">
        <f>IF(MOV_CC_NACIONAL!C917="","",MOV_CC_NACIONAL!C917)</f>
        <v/>
      </c>
      <c r="E917" s="22" t="str">
        <f t="shared" si="1"/>
        <v/>
      </c>
      <c r="F917" s="22" t="str">
        <f>IFERROR(__xludf.DUMMYFUNCTION("IF(C917="""","""", OR(REGEXMATCH(LOWER(C917),""cuota""), REGEXMATCH(C917,""\d+\s*/\s*\d+"")))"),"")</f>
        <v/>
      </c>
      <c r="G917" s="22" t="str">
        <f>IFERROR(__xludf.DUMMYFUNCTION("IFERROR(VALUE(REGEXEXTRACT(C917,""(\d+)\s*/\s*\d+"")),"""")"),"")</f>
        <v/>
      </c>
      <c r="H917" s="22" t="str">
        <f>IFERROR(__xludf.DUMMYFUNCTION("IFERROR(VALUE(REGEXEXTRACT(C917,""\d+\s*/\s*(\d+)"")),"""")"),"")</f>
        <v/>
      </c>
      <c r="I917" s="22" t="str">
        <f t="shared" si="2"/>
        <v/>
      </c>
      <c r="J917" s="34" t="str">
        <f t="shared" si="3"/>
        <v/>
      </c>
    </row>
    <row r="918" ht="15.75" customHeight="1">
      <c r="A918" s="32" t="s">
        <v>113</v>
      </c>
      <c r="B918" s="32" t="str">
        <f>IF(MOV_CC_NACIONAL!A918="","",MOV_CC_NACIONAL!A918)</f>
        <v/>
      </c>
      <c r="C918" s="32" t="str">
        <f>IF(MOV_CC_NACIONAL!B918="","",MOV_CC_NACIONAL!B918)</f>
        <v/>
      </c>
      <c r="D918" s="33" t="str">
        <f>IF(MOV_CC_NACIONAL!C918="","",MOV_CC_NACIONAL!C918)</f>
        <v/>
      </c>
      <c r="E918" s="32" t="str">
        <f t="shared" si="1"/>
        <v/>
      </c>
      <c r="F918" s="32" t="str">
        <f>IFERROR(__xludf.DUMMYFUNCTION("IF(C918="""","""", OR(REGEXMATCH(LOWER(C918),""cuota""), REGEXMATCH(C918,""\d+\s*/\s*\d+"")))"),"")</f>
        <v/>
      </c>
      <c r="G918" s="32" t="str">
        <f>IFERROR(__xludf.DUMMYFUNCTION("IFERROR(VALUE(REGEXEXTRACT(C918,""(\d+)\s*/\s*\d+"")),"""")"),"")</f>
        <v/>
      </c>
      <c r="H918" s="32" t="str">
        <f>IFERROR(__xludf.DUMMYFUNCTION("IFERROR(VALUE(REGEXEXTRACT(C918,""\d+\s*/\s*(\d+)"")),"""")"),"")</f>
        <v/>
      </c>
      <c r="I918" s="32" t="str">
        <f t="shared" si="2"/>
        <v/>
      </c>
      <c r="J918" s="33" t="str">
        <f t="shared" si="3"/>
        <v/>
      </c>
    </row>
    <row r="919" ht="15.75" customHeight="1">
      <c r="A919" s="22" t="s">
        <v>113</v>
      </c>
      <c r="B919" s="22" t="str">
        <f>IF(MOV_CC_NACIONAL!A919="","",MOV_CC_NACIONAL!A919)</f>
        <v/>
      </c>
      <c r="C919" s="22" t="str">
        <f>IF(MOV_CC_NACIONAL!B919="","",MOV_CC_NACIONAL!B919)</f>
        <v/>
      </c>
      <c r="D919" s="34" t="str">
        <f>IF(MOV_CC_NACIONAL!C919="","",MOV_CC_NACIONAL!C919)</f>
        <v/>
      </c>
      <c r="E919" s="22" t="str">
        <f t="shared" si="1"/>
        <v/>
      </c>
      <c r="F919" s="22" t="str">
        <f>IFERROR(__xludf.DUMMYFUNCTION("IF(C919="""","""", OR(REGEXMATCH(LOWER(C919),""cuota""), REGEXMATCH(C919,""\d+\s*/\s*\d+"")))"),"")</f>
        <v/>
      </c>
      <c r="G919" s="22" t="str">
        <f>IFERROR(__xludf.DUMMYFUNCTION("IFERROR(VALUE(REGEXEXTRACT(C919,""(\d+)\s*/\s*\d+"")),"""")"),"")</f>
        <v/>
      </c>
      <c r="H919" s="22" t="str">
        <f>IFERROR(__xludf.DUMMYFUNCTION("IFERROR(VALUE(REGEXEXTRACT(C919,""\d+\s*/\s*(\d+)"")),"""")"),"")</f>
        <v/>
      </c>
      <c r="I919" s="22" t="str">
        <f t="shared" si="2"/>
        <v/>
      </c>
      <c r="J919" s="34" t="str">
        <f t="shared" si="3"/>
        <v/>
      </c>
    </row>
    <row r="920" ht="15.75" customHeight="1">
      <c r="A920" s="32" t="s">
        <v>113</v>
      </c>
      <c r="B920" s="32" t="str">
        <f>IF(MOV_CC_NACIONAL!A920="","",MOV_CC_NACIONAL!A920)</f>
        <v/>
      </c>
      <c r="C920" s="32" t="str">
        <f>IF(MOV_CC_NACIONAL!B920="","",MOV_CC_NACIONAL!B920)</f>
        <v/>
      </c>
      <c r="D920" s="33" t="str">
        <f>IF(MOV_CC_NACIONAL!C920="","",MOV_CC_NACIONAL!C920)</f>
        <v/>
      </c>
      <c r="E920" s="32" t="str">
        <f t="shared" si="1"/>
        <v/>
      </c>
      <c r="F920" s="32" t="str">
        <f>IFERROR(__xludf.DUMMYFUNCTION("IF(C920="""","""", OR(REGEXMATCH(LOWER(C920),""cuota""), REGEXMATCH(C920,""\d+\s*/\s*\d+"")))"),"")</f>
        <v/>
      </c>
      <c r="G920" s="32" t="str">
        <f>IFERROR(__xludf.DUMMYFUNCTION("IFERROR(VALUE(REGEXEXTRACT(C920,""(\d+)\s*/\s*\d+"")),"""")"),"")</f>
        <v/>
      </c>
      <c r="H920" s="32" t="str">
        <f>IFERROR(__xludf.DUMMYFUNCTION("IFERROR(VALUE(REGEXEXTRACT(C920,""\d+\s*/\s*(\d+)"")),"""")"),"")</f>
        <v/>
      </c>
      <c r="I920" s="32" t="str">
        <f t="shared" si="2"/>
        <v/>
      </c>
      <c r="J920" s="33" t="str">
        <f t="shared" si="3"/>
        <v/>
      </c>
    </row>
    <row r="921" ht="15.75" customHeight="1">
      <c r="A921" s="22" t="s">
        <v>113</v>
      </c>
      <c r="B921" s="22" t="str">
        <f>IF(MOV_CC_NACIONAL!A921="","",MOV_CC_NACIONAL!A921)</f>
        <v/>
      </c>
      <c r="C921" s="22" t="str">
        <f>IF(MOV_CC_NACIONAL!B921="","",MOV_CC_NACIONAL!B921)</f>
        <v/>
      </c>
      <c r="D921" s="34" t="str">
        <f>IF(MOV_CC_NACIONAL!C921="","",MOV_CC_NACIONAL!C921)</f>
        <v/>
      </c>
      <c r="E921" s="22" t="str">
        <f t="shared" si="1"/>
        <v/>
      </c>
      <c r="F921" s="22" t="str">
        <f>IFERROR(__xludf.DUMMYFUNCTION("IF(C921="""","""", OR(REGEXMATCH(LOWER(C921),""cuota""), REGEXMATCH(C921,""\d+\s*/\s*\d+"")))"),"")</f>
        <v/>
      </c>
      <c r="G921" s="22" t="str">
        <f>IFERROR(__xludf.DUMMYFUNCTION("IFERROR(VALUE(REGEXEXTRACT(C921,""(\d+)\s*/\s*\d+"")),"""")"),"")</f>
        <v/>
      </c>
      <c r="H921" s="22" t="str">
        <f>IFERROR(__xludf.DUMMYFUNCTION("IFERROR(VALUE(REGEXEXTRACT(C921,""\d+\s*/\s*(\d+)"")),"""")"),"")</f>
        <v/>
      </c>
      <c r="I921" s="22" t="str">
        <f t="shared" si="2"/>
        <v/>
      </c>
      <c r="J921" s="34" t="str">
        <f t="shared" si="3"/>
        <v/>
      </c>
    </row>
    <row r="922" ht="15.75" customHeight="1">
      <c r="A922" s="32" t="s">
        <v>113</v>
      </c>
      <c r="B922" s="32" t="str">
        <f>IF(MOV_CC_NACIONAL!A922="","",MOV_CC_NACIONAL!A922)</f>
        <v/>
      </c>
      <c r="C922" s="32" t="str">
        <f>IF(MOV_CC_NACIONAL!B922="","",MOV_CC_NACIONAL!B922)</f>
        <v/>
      </c>
      <c r="D922" s="33" t="str">
        <f>IF(MOV_CC_NACIONAL!C922="","",MOV_CC_NACIONAL!C922)</f>
        <v/>
      </c>
      <c r="E922" s="32" t="str">
        <f t="shared" si="1"/>
        <v/>
      </c>
      <c r="F922" s="32" t="str">
        <f>IFERROR(__xludf.DUMMYFUNCTION("IF(C922="""","""", OR(REGEXMATCH(LOWER(C922),""cuota""), REGEXMATCH(C922,""\d+\s*/\s*\d+"")))"),"")</f>
        <v/>
      </c>
      <c r="G922" s="32" t="str">
        <f>IFERROR(__xludf.DUMMYFUNCTION("IFERROR(VALUE(REGEXEXTRACT(C922,""(\d+)\s*/\s*\d+"")),"""")"),"")</f>
        <v/>
      </c>
      <c r="H922" s="32" t="str">
        <f>IFERROR(__xludf.DUMMYFUNCTION("IFERROR(VALUE(REGEXEXTRACT(C922,""\d+\s*/\s*(\d+)"")),"""")"),"")</f>
        <v/>
      </c>
      <c r="I922" s="32" t="str">
        <f t="shared" si="2"/>
        <v/>
      </c>
      <c r="J922" s="33" t="str">
        <f t="shared" si="3"/>
        <v/>
      </c>
    </row>
    <row r="923" ht="15.75" customHeight="1">
      <c r="A923" s="22" t="s">
        <v>113</v>
      </c>
      <c r="B923" s="22" t="str">
        <f>IF(MOV_CC_NACIONAL!A923="","",MOV_CC_NACIONAL!A923)</f>
        <v/>
      </c>
      <c r="C923" s="22" t="str">
        <f>IF(MOV_CC_NACIONAL!B923="","",MOV_CC_NACIONAL!B923)</f>
        <v/>
      </c>
      <c r="D923" s="34" t="str">
        <f>IF(MOV_CC_NACIONAL!C923="","",MOV_CC_NACIONAL!C923)</f>
        <v/>
      </c>
      <c r="E923" s="22" t="str">
        <f t="shared" si="1"/>
        <v/>
      </c>
      <c r="F923" s="22" t="str">
        <f>IFERROR(__xludf.DUMMYFUNCTION("IF(C923="""","""", OR(REGEXMATCH(LOWER(C923),""cuota""), REGEXMATCH(C923,""\d+\s*/\s*\d+"")))"),"")</f>
        <v/>
      </c>
      <c r="G923" s="22" t="str">
        <f>IFERROR(__xludf.DUMMYFUNCTION("IFERROR(VALUE(REGEXEXTRACT(C923,""(\d+)\s*/\s*\d+"")),"""")"),"")</f>
        <v/>
      </c>
      <c r="H923" s="22" t="str">
        <f>IFERROR(__xludf.DUMMYFUNCTION("IFERROR(VALUE(REGEXEXTRACT(C923,""\d+\s*/\s*(\d+)"")),"""")"),"")</f>
        <v/>
      </c>
      <c r="I923" s="22" t="str">
        <f t="shared" si="2"/>
        <v/>
      </c>
      <c r="J923" s="34" t="str">
        <f t="shared" si="3"/>
        <v/>
      </c>
    </row>
    <row r="924" ht="15.75" customHeight="1">
      <c r="A924" s="32" t="s">
        <v>113</v>
      </c>
      <c r="B924" s="32" t="str">
        <f>IF(MOV_CC_NACIONAL!A924="","",MOV_CC_NACIONAL!A924)</f>
        <v/>
      </c>
      <c r="C924" s="32" t="str">
        <f>IF(MOV_CC_NACIONAL!B924="","",MOV_CC_NACIONAL!B924)</f>
        <v/>
      </c>
      <c r="D924" s="33" t="str">
        <f>IF(MOV_CC_NACIONAL!C924="","",MOV_CC_NACIONAL!C924)</f>
        <v/>
      </c>
      <c r="E924" s="32" t="str">
        <f t="shared" si="1"/>
        <v/>
      </c>
      <c r="F924" s="32" t="str">
        <f>IFERROR(__xludf.DUMMYFUNCTION("IF(C924="""","""", OR(REGEXMATCH(LOWER(C924),""cuota""), REGEXMATCH(C924,""\d+\s*/\s*\d+"")))"),"")</f>
        <v/>
      </c>
      <c r="G924" s="32" t="str">
        <f>IFERROR(__xludf.DUMMYFUNCTION("IFERROR(VALUE(REGEXEXTRACT(C924,""(\d+)\s*/\s*\d+"")),"""")"),"")</f>
        <v/>
      </c>
      <c r="H924" s="32" t="str">
        <f>IFERROR(__xludf.DUMMYFUNCTION("IFERROR(VALUE(REGEXEXTRACT(C924,""\d+\s*/\s*(\d+)"")),"""")"),"")</f>
        <v/>
      </c>
      <c r="I924" s="32" t="str">
        <f t="shared" si="2"/>
        <v/>
      </c>
      <c r="J924" s="33" t="str">
        <f t="shared" si="3"/>
        <v/>
      </c>
    </row>
    <row r="925" ht="15.75" customHeight="1">
      <c r="A925" s="22" t="s">
        <v>113</v>
      </c>
      <c r="B925" s="22" t="str">
        <f>IF(MOV_CC_NACIONAL!A925="","",MOV_CC_NACIONAL!A925)</f>
        <v/>
      </c>
      <c r="C925" s="22" t="str">
        <f>IF(MOV_CC_NACIONAL!B925="","",MOV_CC_NACIONAL!B925)</f>
        <v/>
      </c>
      <c r="D925" s="34" t="str">
        <f>IF(MOV_CC_NACIONAL!C925="","",MOV_CC_NACIONAL!C925)</f>
        <v/>
      </c>
      <c r="E925" s="22" t="str">
        <f t="shared" si="1"/>
        <v/>
      </c>
      <c r="F925" s="22" t="str">
        <f>IFERROR(__xludf.DUMMYFUNCTION("IF(C925="""","""", OR(REGEXMATCH(LOWER(C925),""cuota""), REGEXMATCH(C925,""\d+\s*/\s*\d+"")))"),"")</f>
        <v/>
      </c>
      <c r="G925" s="22" t="str">
        <f>IFERROR(__xludf.DUMMYFUNCTION("IFERROR(VALUE(REGEXEXTRACT(C925,""(\d+)\s*/\s*\d+"")),"""")"),"")</f>
        <v/>
      </c>
      <c r="H925" s="22" t="str">
        <f>IFERROR(__xludf.DUMMYFUNCTION("IFERROR(VALUE(REGEXEXTRACT(C925,""\d+\s*/\s*(\d+)"")),"""")"),"")</f>
        <v/>
      </c>
      <c r="I925" s="22" t="str">
        <f t="shared" si="2"/>
        <v/>
      </c>
      <c r="J925" s="34" t="str">
        <f t="shared" si="3"/>
        <v/>
      </c>
    </row>
    <row r="926" ht="15.75" customHeight="1">
      <c r="A926" s="32" t="s">
        <v>113</v>
      </c>
      <c r="B926" s="32" t="str">
        <f>IF(MOV_CC_NACIONAL!A926="","",MOV_CC_NACIONAL!A926)</f>
        <v/>
      </c>
      <c r="C926" s="32" t="str">
        <f>IF(MOV_CC_NACIONAL!B926="","",MOV_CC_NACIONAL!B926)</f>
        <v/>
      </c>
      <c r="D926" s="33" t="str">
        <f>IF(MOV_CC_NACIONAL!C926="","",MOV_CC_NACIONAL!C926)</f>
        <v/>
      </c>
      <c r="E926" s="32" t="str">
        <f t="shared" si="1"/>
        <v/>
      </c>
      <c r="F926" s="32" t="str">
        <f>IFERROR(__xludf.DUMMYFUNCTION("IF(C926="""","""", OR(REGEXMATCH(LOWER(C926),""cuota""), REGEXMATCH(C926,""\d+\s*/\s*\d+"")))"),"")</f>
        <v/>
      </c>
      <c r="G926" s="32" t="str">
        <f>IFERROR(__xludf.DUMMYFUNCTION("IFERROR(VALUE(REGEXEXTRACT(C926,""(\d+)\s*/\s*\d+"")),"""")"),"")</f>
        <v/>
      </c>
      <c r="H926" s="32" t="str">
        <f>IFERROR(__xludf.DUMMYFUNCTION("IFERROR(VALUE(REGEXEXTRACT(C926,""\d+\s*/\s*(\d+)"")),"""")"),"")</f>
        <v/>
      </c>
      <c r="I926" s="32" t="str">
        <f t="shared" si="2"/>
        <v/>
      </c>
      <c r="J926" s="33" t="str">
        <f t="shared" si="3"/>
        <v/>
      </c>
    </row>
    <row r="927" ht="15.75" customHeight="1">
      <c r="A927" s="22" t="s">
        <v>113</v>
      </c>
      <c r="B927" s="22" t="str">
        <f>IF(MOV_CC_NACIONAL!A927="","",MOV_CC_NACIONAL!A927)</f>
        <v/>
      </c>
      <c r="C927" s="22" t="str">
        <f>IF(MOV_CC_NACIONAL!B927="","",MOV_CC_NACIONAL!B927)</f>
        <v/>
      </c>
      <c r="D927" s="34" t="str">
        <f>IF(MOV_CC_NACIONAL!C927="","",MOV_CC_NACIONAL!C927)</f>
        <v/>
      </c>
      <c r="E927" s="22" t="str">
        <f t="shared" si="1"/>
        <v/>
      </c>
      <c r="F927" s="22" t="str">
        <f>IFERROR(__xludf.DUMMYFUNCTION("IF(C927="""","""", OR(REGEXMATCH(LOWER(C927),""cuota""), REGEXMATCH(C927,""\d+\s*/\s*\d+"")))"),"")</f>
        <v/>
      </c>
      <c r="G927" s="22" t="str">
        <f>IFERROR(__xludf.DUMMYFUNCTION("IFERROR(VALUE(REGEXEXTRACT(C927,""(\d+)\s*/\s*\d+"")),"""")"),"")</f>
        <v/>
      </c>
      <c r="H927" s="22" t="str">
        <f>IFERROR(__xludf.DUMMYFUNCTION("IFERROR(VALUE(REGEXEXTRACT(C927,""\d+\s*/\s*(\d+)"")),"""")"),"")</f>
        <v/>
      </c>
      <c r="I927" s="22" t="str">
        <f t="shared" si="2"/>
        <v/>
      </c>
      <c r="J927" s="34" t="str">
        <f t="shared" si="3"/>
        <v/>
      </c>
    </row>
    <row r="928" ht="15.75" customHeight="1">
      <c r="A928" s="32" t="s">
        <v>113</v>
      </c>
      <c r="B928" s="32" t="str">
        <f>IF(MOV_CC_NACIONAL!A928="","",MOV_CC_NACIONAL!A928)</f>
        <v/>
      </c>
      <c r="C928" s="32" t="str">
        <f>IF(MOV_CC_NACIONAL!B928="","",MOV_CC_NACIONAL!B928)</f>
        <v/>
      </c>
      <c r="D928" s="33" t="str">
        <f>IF(MOV_CC_NACIONAL!C928="","",MOV_CC_NACIONAL!C928)</f>
        <v/>
      </c>
      <c r="E928" s="32" t="str">
        <f t="shared" si="1"/>
        <v/>
      </c>
      <c r="F928" s="32" t="str">
        <f>IFERROR(__xludf.DUMMYFUNCTION("IF(C928="""","""", OR(REGEXMATCH(LOWER(C928),""cuota""), REGEXMATCH(C928,""\d+\s*/\s*\d+"")))"),"")</f>
        <v/>
      </c>
      <c r="G928" s="32" t="str">
        <f>IFERROR(__xludf.DUMMYFUNCTION("IFERROR(VALUE(REGEXEXTRACT(C928,""(\d+)\s*/\s*\d+"")),"""")"),"")</f>
        <v/>
      </c>
      <c r="H928" s="32" t="str">
        <f>IFERROR(__xludf.DUMMYFUNCTION("IFERROR(VALUE(REGEXEXTRACT(C928,""\d+\s*/\s*(\d+)"")),"""")"),"")</f>
        <v/>
      </c>
      <c r="I928" s="32" t="str">
        <f t="shared" si="2"/>
        <v/>
      </c>
      <c r="J928" s="33" t="str">
        <f t="shared" si="3"/>
        <v/>
      </c>
    </row>
    <row r="929" ht="15.75" customHeight="1">
      <c r="A929" s="22" t="s">
        <v>113</v>
      </c>
      <c r="B929" s="22" t="str">
        <f>IF(MOV_CC_NACIONAL!A929="","",MOV_CC_NACIONAL!A929)</f>
        <v/>
      </c>
      <c r="C929" s="22" t="str">
        <f>IF(MOV_CC_NACIONAL!B929="","",MOV_CC_NACIONAL!B929)</f>
        <v/>
      </c>
      <c r="D929" s="34" t="str">
        <f>IF(MOV_CC_NACIONAL!C929="","",MOV_CC_NACIONAL!C929)</f>
        <v/>
      </c>
      <c r="E929" s="22" t="str">
        <f t="shared" si="1"/>
        <v/>
      </c>
      <c r="F929" s="22" t="str">
        <f>IFERROR(__xludf.DUMMYFUNCTION("IF(C929="""","""", OR(REGEXMATCH(LOWER(C929),""cuota""), REGEXMATCH(C929,""\d+\s*/\s*\d+"")))"),"")</f>
        <v/>
      </c>
      <c r="G929" s="22" t="str">
        <f>IFERROR(__xludf.DUMMYFUNCTION("IFERROR(VALUE(REGEXEXTRACT(C929,""(\d+)\s*/\s*\d+"")),"""")"),"")</f>
        <v/>
      </c>
      <c r="H929" s="22" t="str">
        <f>IFERROR(__xludf.DUMMYFUNCTION("IFERROR(VALUE(REGEXEXTRACT(C929,""\d+\s*/\s*(\d+)"")),"""")"),"")</f>
        <v/>
      </c>
      <c r="I929" s="22" t="str">
        <f t="shared" si="2"/>
        <v/>
      </c>
      <c r="J929" s="34" t="str">
        <f t="shared" si="3"/>
        <v/>
      </c>
    </row>
    <row r="930" ht="15.75" customHeight="1">
      <c r="A930" s="32" t="s">
        <v>113</v>
      </c>
      <c r="B930" s="32" t="str">
        <f>IF(MOV_CC_NACIONAL!A930="","",MOV_CC_NACIONAL!A930)</f>
        <v/>
      </c>
      <c r="C930" s="32" t="str">
        <f>IF(MOV_CC_NACIONAL!B930="","",MOV_CC_NACIONAL!B930)</f>
        <v/>
      </c>
      <c r="D930" s="33" t="str">
        <f>IF(MOV_CC_NACIONAL!C930="","",MOV_CC_NACIONAL!C930)</f>
        <v/>
      </c>
      <c r="E930" s="32" t="str">
        <f t="shared" si="1"/>
        <v/>
      </c>
      <c r="F930" s="32" t="str">
        <f>IFERROR(__xludf.DUMMYFUNCTION("IF(C930="""","""", OR(REGEXMATCH(LOWER(C930),""cuota""), REGEXMATCH(C930,""\d+\s*/\s*\d+"")))"),"")</f>
        <v/>
      </c>
      <c r="G930" s="32" t="str">
        <f>IFERROR(__xludf.DUMMYFUNCTION("IFERROR(VALUE(REGEXEXTRACT(C930,""(\d+)\s*/\s*\d+"")),"""")"),"")</f>
        <v/>
      </c>
      <c r="H930" s="32" t="str">
        <f>IFERROR(__xludf.DUMMYFUNCTION("IFERROR(VALUE(REGEXEXTRACT(C930,""\d+\s*/\s*(\d+)"")),"""")"),"")</f>
        <v/>
      </c>
      <c r="I930" s="32" t="str">
        <f t="shared" si="2"/>
        <v/>
      </c>
      <c r="J930" s="33" t="str">
        <f t="shared" si="3"/>
        <v/>
      </c>
    </row>
    <row r="931" ht="15.75" customHeight="1">
      <c r="A931" s="22" t="s">
        <v>113</v>
      </c>
      <c r="B931" s="22" t="str">
        <f>IF(MOV_CC_NACIONAL!A931="","",MOV_CC_NACIONAL!A931)</f>
        <v/>
      </c>
      <c r="C931" s="22" t="str">
        <f>IF(MOV_CC_NACIONAL!B931="","",MOV_CC_NACIONAL!B931)</f>
        <v/>
      </c>
      <c r="D931" s="34" t="str">
        <f>IF(MOV_CC_NACIONAL!C931="","",MOV_CC_NACIONAL!C931)</f>
        <v/>
      </c>
      <c r="E931" s="22" t="str">
        <f t="shared" si="1"/>
        <v/>
      </c>
      <c r="F931" s="22" t="str">
        <f>IFERROR(__xludf.DUMMYFUNCTION("IF(C931="""","""", OR(REGEXMATCH(LOWER(C931),""cuota""), REGEXMATCH(C931,""\d+\s*/\s*\d+"")))"),"")</f>
        <v/>
      </c>
      <c r="G931" s="22" t="str">
        <f>IFERROR(__xludf.DUMMYFUNCTION("IFERROR(VALUE(REGEXEXTRACT(C931,""(\d+)\s*/\s*\d+"")),"""")"),"")</f>
        <v/>
      </c>
      <c r="H931" s="22" t="str">
        <f>IFERROR(__xludf.DUMMYFUNCTION("IFERROR(VALUE(REGEXEXTRACT(C931,""\d+\s*/\s*(\d+)"")),"""")"),"")</f>
        <v/>
      </c>
      <c r="I931" s="22" t="str">
        <f t="shared" si="2"/>
        <v/>
      </c>
      <c r="J931" s="34" t="str">
        <f t="shared" si="3"/>
        <v/>
      </c>
    </row>
    <row r="932" ht="15.75" customHeight="1">
      <c r="A932" s="32" t="s">
        <v>113</v>
      </c>
      <c r="B932" s="32" t="str">
        <f>IF(MOV_CC_NACIONAL!A932="","",MOV_CC_NACIONAL!A932)</f>
        <v/>
      </c>
      <c r="C932" s="32" t="str">
        <f>IF(MOV_CC_NACIONAL!B932="","",MOV_CC_NACIONAL!B932)</f>
        <v/>
      </c>
      <c r="D932" s="33" t="str">
        <f>IF(MOV_CC_NACIONAL!C932="","",MOV_CC_NACIONAL!C932)</f>
        <v/>
      </c>
      <c r="E932" s="32" t="str">
        <f t="shared" si="1"/>
        <v/>
      </c>
      <c r="F932" s="32" t="str">
        <f>IFERROR(__xludf.DUMMYFUNCTION("IF(C932="""","""", OR(REGEXMATCH(LOWER(C932),""cuota""), REGEXMATCH(C932,""\d+\s*/\s*\d+"")))"),"")</f>
        <v/>
      </c>
      <c r="G932" s="32" t="str">
        <f>IFERROR(__xludf.DUMMYFUNCTION("IFERROR(VALUE(REGEXEXTRACT(C932,""(\d+)\s*/\s*\d+"")),"""")"),"")</f>
        <v/>
      </c>
      <c r="H932" s="32" t="str">
        <f>IFERROR(__xludf.DUMMYFUNCTION("IFERROR(VALUE(REGEXEXTRACT(C932,""\d+\s*/\s*(\d+)"")),"""")"),"")</f>
        <v/>
      </c>
      <c r="I932" s="32" t="str">
        <f t="shared" si="2"/>
        <v/>
      </c>
      <c r="J932" s="33" t="str">
        <f t="shared" si="3"/>
        <v/>
      </c>
    </row>
    <row r="933" ht="15.75" customHeight="1">
      <c r="A933" s="22" t="s">
        <v>113</v>
      </c>
      <c r="B933" s="22" t="str">
        <f>IF(MOV_CC_NACIONAL!A933="","",MOV_CC_NACIONAL!A933)</f>
        <v/>
      </c>
      <c r="C933" s="22" t="str">
        <f>IF(MOV_CC_NACIONAL!B933="","",MOV_CC_NACIONAL!B933)</f>
        <v/>
      </c>
      <c r="D933" s="34" t="str">
        <f>IF(MOV_CC_NACIONAL!C933="","",MOV_CC_NACIONAL!C933)</f>
        <v/>
      </c>
      <c r="E933" s="22" t="str">
        <f t="shared" si="1"/>
        <v/>
      </c>
      <c r="F933" s="22" t="str">
        <f>IFERROR(__xludf.DUMMYFUNCTION("IF(C933="""","""", OR(REGEXMATCH(LOWER(C933),""cuota""), REGEXMATCH(C933,""\d+\s*/\s*\d+"")))"),"")</f>
        <v/>
      </c>
      <c r="G933" s="22" t="str">
        <f>IFERROR(__xludf.DUMMYFUNCTION("IFERROR(VALUE(REGEXEXTRACT(C933,""(\d+)\s*/\s*\d+"")),"""")"),"")</f>
        <v/>
      </c>
      <c r="H933" s="22" t="str">
        <f>IFERROR(__xludf.DUMMYFUNCTION("IFERROR(VALUE(REGEXEXTRACT(C933,""\d+\s*/\s*(\d+)"")),"""")"),"")</f>
        <v/>
      </c>
      <c r="I933" s="22" t="str">
        <f t="shared" si="2"/>
        <v/>
      </c>
      <c r="J933" s="34" t="str">
        <f t="shared" si="3"/>
        <v/>
      </c>
    </row>
    <row r="934" ht="15.75" customHeight="1">
      <c r="A934" s="32" t="s">
        <v>113</v>
      </c>
      <c r="B934" s="32" t="str">
        <f>IF(MOV_CC_NACIONAL!A934="","",MOV_CC_NACIONAL!A934)</f>
        <v/>
      </c>
      <c r="C934" s="32" t="str">
        <f>IF(MOV_CC_NACIONAL!B934="","",MOV_CC_NACIONAL!B934)</f>
        <v/>
      </c>
      <c r="D934" s="33" t="str">
        <f>IF(MOV_CC_NACIONAL!C934="","",MOV_CC_NACIONAL!C934)</f>
        <v/>
      </c>
      <c r="E934" s="32" t="str">
        <f t="shared" si="1"/>
        <v/>
      </c>
      <c r="F934" s="32" t="str">
        <f>IFERROR(__xludf.DUMMYFUNCTION("IF(C934="""","""", OR(REGEXMATCH(LOWER(C934),""cuota""), REGEXMATCH(C934,""\d+\s*/\s*\d+"")))"),"")</f>
        <v/>
      </c>
      <c r="G934" s="32" t="str">
        <f>IFERROR(__xludf.DUMMYFUNCTION("IFERROR(VALUE(REGEXEXTRACT(C934,""(\d+)\s*/\s*\d+"")),"""")"),"")</f>
        <v/>
      </c>
      <c r="H934" s="32" t="str">
        <f>IFERROR(__xludf.DUMMYFUNCTION("IFERROR(VALUE(REGEXEXTRACT(C934,""\d+\s*/\s*(\d+)"")),"""")"),"")</f>
        <v/>
      </c>
      <c r="I934" s="32" t="str">
        <f t="shared" si="2"/>
        <v/>
      </c>
      <c r="J934" s="33" t="str">
        <f t="shared" si="3"/>
        <v/>
      </c>
    </row>
    <row r="935" ht="15.75" customHeight="1">
      <c r="A935" s="22" t="s">
        <v>113</v>
      </c>
      <c r="B935" s="22" t="str">
        <f>IF(MOV_CC_NACIONAL!A935="","",MOV_CC_NACIONAL!A935)</f>
        <v/>
      </c>
      <c r="C935" s="22" t="str">
        <f>IF(MOV_CC_NACIONAL!B935="","",MOV_CC_NACIONAL!B935)</f>
        <v/>
      </c>
      <c r="D935" s="34" t="str">
        <f>IF(MOV_CC_NACIONAL!C935="","",MOV_CC_NACIONAL!C935)</f>
        <v/>
      </c>
      <c r="E935" s="22" t="str">
        <f t="shared" si="1"/>
        <v/>
      </c>
      <c r="F935" s="22" t="str">
        <f>IFERROR(__xludf.DUMMYFUNCTION("IF(C935="""","""", OR(REGEXMATCH(LOWER(C935),""cuota""), REGEXMATCH(C935,""\d+\s*/\s*\d+"")))"),"")</f>
        <v/>
      </c>
      <c r="G935" s="22" t="str">
        <f>IFERROR(__xludf.DUMMYFUNCTION("IFERROR(VALUE(REGEXEXTRACT(C935,""(\d+)\s*/\s*\d+"")),"""")"),"")</f>
        <v/>
      </c>
      <c r="H935" s="22" t="str">
        <f>IFERROR(__xludf.DUMMYFUNCTION("IFERROR(VALUE(REGEXEXTRACT(C935,""\d+\s*/\s*(\d+)"")),"""")"),"")</f>
        <v/>
      </c>
      <c r="I935" s="22" t="str">
        <f t="shared" si="2"/>
        <v/>
      </c>
      <c r="J935" s="34" t="str">
        <f t="shared" si="3"/>
        <v/>
      </c>
    </row>
    <row r="936" ht="15.75" customHeight="1">
      <c r="A936" s="32" t="s">
        <v>113</v>
      </c>
      <c r="B936" s="32" t="str">
        <f>IF(MOV_CC_NACIONAL!A936="","",MOV_CC_NACIONAL!A936)</f>
        <v/>
      </c>
      <c r="C936" s="32" t="str">
        <f>IF(MOV_CC_NACIONAL!B936="","",MOV_CC_NACIONAL!B936)</f>
        <v/>
      </c>
      <c r="D936" s="33" t="str">
        <f>IF(MOV_CC_NACIONAL!C936="","",MOV_CC_NACIONAL!C936)</f>
        <v/>
      </c>
      <c r="E936" s="32" t="str">
        <f t="shared" si="1"/>
        <v/>
      </c>
      <c r="F936" s="32" t="str">
        <f>IFERROR(__xludf.DUMMYFUNCTION("IF(C936="""","""", OR(REGEXMATCH(LOWER(C936),""cuota""), REGEXMATCH(C936,""\d+\s*/\s*\d+"")))"),"")</f>
        <v/>
      </c>
      <c r="G936" s="32" t="str">
        <f>IFERROR(__xludf.DUMMYFUNCTION("IFERROR(VALUE(REGEXEXTRACT(C936,""(\d+)\s*/\s*\d+"")),"""")"),"")</f>
        <v/>
      </c>
      <c r="H936" s="32" t="str">
        <f>IFERROR(__xludf.DUMMYFUNCTION("IFERROR(VALUE(REGEXEXTRACT(C936,""\d+\s*/\s*(\d+)"")),"""")"),"")</f>
        <v/>
      </c>
      <c r="I936" s="32" t="str">
        <f t="shared" si="2"/>
        <v/>
      </c>
      <c r="J936" s="33" t="str">
        <f t="shared" si="3"/>
        <v/>
      </c>
    </row>
    <row r="937" ht="15.75" customHeight="1">
      <c r="A937" s="22" t="s">
        <v>113</v>
      </c>
      <c r="B937" s="22" t="str">
        <f>IF(MOV_CC_NACIONAL!A937="","",MOV_CC_NACIONAL!A937)</f>
        <v/>
      </c>
      <c r="C937" s="22" t="str">
        <f>IF(MOV_CC_NACIONAL!B937="","",MOV_CC_NACIONAL!B937)</f>
        <v/>
      </c>
      <c r="D937" s="34" t="str">
        <f>IF(MOV_CC_NACIONAL!C937="","",MOV_CC_NACIONAL!C937)</f>
        <v/>
      </c>
      <c r="E937" s="22" t="str">
        <f t="shared" si="1"/>
        <v/>
      </c>
      <c r="F937" s="22" t="str">
        <f>IFERROR(__xludf.DUMMYFUNCTION("IF(C937="""","""", OR(REGEXMATCH(LOWER(C937),""cuota""), REGEXMATCH(C937,""\d+\s*/\s*\d+"")))"),"")</f>
        <v/>
      </c>
      <c r="G937" s="22" t="str">
        <f>IFERROR(__xludf.DUMMYFUNCTION("IFERROR(VALUE(REGEXEXTRACT(C937,""(\d+)\s*/\s*\d+"")),"""")"),"")</f>
        <v/>
      </c>
      <c r="H937" s="22" t="str">
        <f>IFERROR(__xludf.DUMMYFUNCTION("IFERROR(VALUE(REGEXEXTRACT(C937,""\d+\s*/\s*(\d+)"")),"""")"),"")</f>
        <v/>
      </c>
      <c r="I937" s="22" t="str">
        <f t="shared" si="2"/>
        <v/>
      </c>
      <c r="J937" s="34" t="str">
        <f t="shared" si="3"/>
        <v/>
      </c>
    </row>
    <row r="938" ht="15.75" customHeight="1">
      <c r="A938" s="32" t="s">
        <v>113</v>
      </c>
      <c r="B938" s="32" t="str">
        <f>IF(MOV_CC_NACIONAL!A938="","",MOV_CC_NACIONAL!A938)</f>
        <v/>
      </c>
      <c r="C938" s="32" t="str">
        <f>IF(MOV_CC_NACIONAL!B938="","",MOV_CC_NACIONAL!B938)</f>
        <v/>
      </c>
      <c r="D938" s="33" t="str">
        <f>IF(MOV_CC_NACIONAL!C938="","",MOV_CC_NACIONAL!C938)</f>
        <v/>
      </c>
      <c r="E938" s="32" t="str">
        <f t="shared" si="1"/>
        <v/>
      </c>
      <c r="F938" s="32" t="str">
        <f>IFERROR(__xludf.DUMMYFUNCTION("IF(C938="""","""", OR(REGEXMATCH(LOWER(C938),""cuota""), REGEXMATCH(C938,""\d+\s*/\s*\d+"")))"),"")</f>
        <v/>
      </c>
      <c r="G938" s="32" t="str">
        <f>IFERROR(__xludf.DUMMYFUNCTION("IFERROR(VALUE(REGEXEXTRACT(C938,""(\d+)\s*/\s*\d+"")),"""")"),"")</f>
        <v/>
      </c>
      <c r="H938" s="32" t="str">
        <f>IFERROR(__xludf.DUMMYFUNCTION("IFERROR(VALUE(REGEXEXTRACT(C938,""\d+\s*/\s*(\d+)"")),"""")"),"")</f>
        <v/>
      </c>
      <c r="I938" s="32" t="str">
        <f t="shared" si="2"/>
        <v/>
      </c>
      <c r="J938" s="33" t="str">
        <f t="shared" si="3"/>
        <v/>
      </c>
    </row>
    <row r="939" ht="15.75" customHeight="1">
      <c r="A939" s="22" t="s">
        <v>113</v>
      </c>
      <c r="B939" s="22" t="str">
        <f>IF(MOV_CC_NACIONAL!A939="","",MOV_CC_NACIONAL!A939)</f>
        <v/>
      </c>
      <c r="C939" s="22" t="str">
        <f>IF(MOV_CC_NACIONAL!B939="","",MOV_CC_NACIONAL!B939)</f>
        <v/>
      </c>
      <c r="D939" s="34" t="str">
        <f>IF(MOV_CC_NACIONAL!C939="","",MOV_CC_NACIONAL!C939)</f>
        <v/>
      </c>
      <c r="E939" s="22" t="str">
        <f t="shared" si="1"/>
        <v/>
      </c>
      <c r="F939" s="22" t="str">
        <f>IFERROR(__xludf.DUMMYFUNCTION("IF(C939="""","""", OR(REGEXMATCH(LOWER(C939),""cuota""), REGEXMATCH(C939,""\d+\s*/\s*\d+"")))"),"")</f>
        <v/>
      </c>
      <c r="G939" s="22" t="str">
        <f>IFERROR(__xludf.DUMMYFUNCTION("IFERROR(VALUE(REGEXEXTRACT(C939,""(\d+)\s*/\s*\d+"")),"""")"),"")</f>
        <v/>
      </c>
      <c r="H939" s="22" t="str">
        <f>IFERROR(__xludf.DUMMYFUNCTION("IFERROR(VALUE(REGEXEXTRACT(C939,""\d+\s*/\s*(\d+)"")),"""")"),"")</f>
        <v/>
      </c>
      <c r="I939" s="22" t="str">
        <f t="shared" si="2"/>
        <v/>
      </c>
      <c r="J939" s="34" t="str">
        <f t="shared" si="3"/>
        <v/>
      </c>
    </row>
    <row r="940" ht="15.75" customHeight="1">
      <c r="A940" s="32" t="s">
        <v>113</v>
      </c>
      <c r="B940" s="32" t="str">
        <f>IF(MOV_CC_NACIONAL!A940="","",MOV_CC_NACIONAL!A940)</f>
        <v/>
      </c>
      <c r="C940" s="32" t="str">
        <f>IF(MOV_CC_NACIONAL!B940="","",MOV_CC_NACIONAL!B940)</f>
        <v/>
      </c>
      <c r="D940" s="33" t="str">
        <f>IF(MOV_CC_NACIONAL!C940="","",MOV_CC_NACIONAL!C940)</f>
        <v/>
      </c>
      <c r="E940" s="32" t="str">
        <f t="shared" si="1"/>
        <v/>
      </c>
      <c r="F940" s="32" t="str">
        <f>IFERROR(__xludf.DUMMYFUNCTION("IF(C940="""","""", OR(REGEXMATCH(LOWER(C940),""cuota""), REGEXMATCH(C940,""\d+\s*/\s*\d+"")))"),"")</f>
        <v/>
      </c>
      <c r="G940" s="32" t="str">
        <f>IFERROR(__xludf.DUMMYFUNCTION("IFERROR(VALUE(REGEXEXTRACT(C940,""(\d+)\s*/\s*\d+"")),"""")"),"")</f>
        <v/>
      </c>
      <c r="H940" s="32" t="str">
        <f>IFERROR(__xludf.DUMMYFUNCTION("IFERROR(VALUE(REGEXEXTRACT(C940,""\d+\s*/\s*(\d+)"")),"""")"),"")</f>
        <v/>
      </c>
      <c r="I940" s="32" t="str">
        <f t="shared" si="2"/>
        <v/>
      </c>
      <c r="J940" s="33" t="str">
        <f t="shared" si="3"/>
        <v/>
      </c>
    </row>
    <row r="941" ht="15.75" customHeight="1">
      <c r="A941" s="22" t="s">
        <v>113</v>
      </c>
      <c r="B941" s="22" t="str">
        <f>IF(MOV_CC_NACIONAL!A941="","",MOV_CC_NACIONAL!A941)</f>
        <v/>
      </c>
      <c r="C941" s="22" t="str">
        <f>IF(MOV_CC_NACIONAL!B941="","",MOV_CC_NACIONAL!B941)</f>
        <v/>
      </c>
      <c r="D941" s="34" t="str">
        <f>IF(MOV_CC_NACIONAL!C941="","",MOV_CC_NACIONAL!C941)</f>
        <v/>
      </c>
      <c r="E941" s="22" t="str">
        <f t="shared" si="1"/>
        <v/>
      </c>
      <c r="F941" s="22" t="str">
        <f>IFERROR(__xludf.DUMMYFUNCTION("IF(C941="""","""", OR(REGEXMATCH(LOWER(C941),""cuota""), REGEXMATCH(C941,""\d+\s*/\s*\d+"")))"),"")</f>
        <v/>
      </c>
      <c r="G941" s="22" t="str">
        <f>IFERROR(__xludf.DUMMYFUNCTION("IFERROR(VALUE(REGEXEXTRACT(C941,""(\d+)\s*/\s*\d+"")),"""")"),"")</f>
        <v/>
      </c>
      <c r="H941" s="22" t="str">
        <f>IFERROR(__xludf.DUMMYFUNCTION("IFERROR(VALUE(REGEXEXTRACT(C941,""\d+\s*/\s*(\d+)"")),"""")"),"")</f>
        <v/>
      </c>
      <c r="I941" s="22" t="str">
        <f t="shared" si="2"/>
        <v/>
      </c>
      <c r="J941" s="34" t="str">
        <f t="shared" si="3"/>
        <v/>
      </c>
    </row>
    <row r="942" ht="15.75" customHeight="1">
      <c r="A942" s="32" t="s">
        <v>113</v>
      </c>
      <c r="B942" s="32" t="str">
        <f>IF(MOV_CC_NACIONAL!A942="","",MOV_CC_NACIONAL!A942)</f>
        <v/>
      </c>
      <c r="C942" s="32" t="str">
        <f>IF(MOV_CC_NACIONAL!B942="","",MOV_CC_NACIONAL!B942)</f>
        <v/>
      </c>
      <c r="D942" s="33" t="str">
        <f>IF(MOV_CC_NACIONAL!C942="","",MOV_CC_NACIONAL!C942)</f>
        <v/>
      </c>
      <c r="E942" s="32" t="str">
        <f t="shared" si="1"/>
        <v/>
      </c>
      <c r="F942" s="32" t="str">
        <f>IFERROR(__xludf.DUMMYFUNCTION("IF(C942="""","""", OR(REGEXMATCH(LOWER(C942),""cuota""), REGEXMATCH(C942,""\d+\s*/\s*\d+"")))"),"")</f>
        <v/>
      </c>
      <c r="G942" s="32" t="str">
        <f>IFERROR(__xludf.DUMMYFUNCTION("IFERROR(VALUE(REGEXEXTRACT(C942,""(\d+)\s*/\s*\d+"")),"""")"),"")</f>
        <v/>
      </c>
      <c r="H942" s="32" t="str">
        <f>IFERROR(__xludf.DUMMYFUNCTION("IFERROR(VALUE(REGEXEXTRACT(C942,""\d+\s*/\s*(\d+)"")),"""")"),"")</f>
        <v/>
      </c>
      <c r="I942" s="32" t="str">
        <f t="shared" si="2"/>
        <v/>
      </c>
      <c r="J942" s="33" t="str">
        <f t="shared" si="3"/>
        <v/>
      </c>
    </row>
    <row r="943" ht="15.75" customHeight="1">
      <c r="A943" s="22" t="s">
        <v>113</v>
      </c>
      <c r="B943" s="22" t="str">
        <f>IF(MOV_CC_NACIONAL!A943="","",MOV_CC_NACIONAL!A943)</f>
        <v/>
      </c>
      <c r="C943" s="22" t="str">
        <f>IF(MOV_CC_NACIONAL!B943="","",MOV_CC_NACIONAL!B943)</f>
        <v/>
      </c>
      <c r="D943" s="34" t="str">
        <f>IF(MOV_CC_NACIONAL!C943="","",MOV_CC_NACIONAL!C943)</f>
        <v/>
      </c>
      <c r="E943" s="22" t="str">
        <f t="shared" si="1"/>
        <v/>
      </c>
      <c r="F943" s="22" t="str">
        <f>IFERROR(__xludf.DUMMYFUNCTION("IF(C943="""","""", OR(REGEXMATCH(LOWER(C943),""cuota""), REGEXMATCH(C943,""\d+\s*/\s*\d+"")))"),"")</f>
        <v/>
      </c>
      <c r="G943" s="22" t="str">
        <f>IFERROR(__xludf.DUMMYFUNCTION("IFERROR(VALUE(REGEXEXTRACT(C943,""(\d+)\s*/\s*\d+"")),"""")"),"")</f>
        <v/>
      </c>
      <c r="H943" s="22" t="str">
        <f>IFERROR(__xludf.DUMMYFUNCTION("IFERROR(VALUE(REGEXEXTRACT(C943,""\d+\s*/\s*(\d+)"")),"""")"),"")</f>
        <v/>
      </c>
      <c r="I943" s="22" t="str">
        <f t="shared" si="2"/>
        <v/>
      </c>
      <c r="J943" s="34" t="str">
        <f t="shared" si="3"/>
        <v/>
      </c>
    </row>
    <row r="944" ht="15.75" customHeight="1">
      <c r="A944" s="32" t="s">
        <v>113</v>
      </c>
      <c r="B944" s="32" t="str">
        <f>IF(MOV_CC_NACIONAL!A944="","",MOV_CC_NACIONAL!A944)</f>
        <v/>
      </c>
      <c r="C944" s="32" t="str">
        <f>IF(MOV_CC_NACIONAL!B944="","",MOV_CC_NACIONAL!B944)</f>
        <v/>
      </c>
      <c r="D944" s="33" t="str">
        <f>IF(MOV_CC_NACIONAL!C944="","",MOV_CC_NACIONAL!C944)</f>
        <v/>
      </c>
      <c r="E944" s="32" t="str">
        <f t="shared" si="1"/>
        <v/>
      </c>
      <c r="F944" s="32" t="str">
        <f>IFERROR(__xludf.DUMMYFUNCTION("IF(C944="""","""", OR(REGEXMATCH(LOWER(C944),""cuota""), REGEXMATCH(C944,""\d+\s*/\s*\d+"")))"),"")</f>
        <v/>
      </c>
      <c r="G944" s="32" t="str">
        <f>IFERROR(__xludf.DUMMYFUNCTION("IFERROR(VALUE(REGEXEXTRACT(C944,""(\d+)\s*/\s*\d+"")),"""")"),"")</f>
        <v/>
      </c>
      <c r="H944" s="32" t="str">
        <f>IFERROR(__xludf.DUMMYFUNCTION("IFERROR(VALUE(REGEXEXTRACT(C944,""\d+\s*/\s*(\d+)"")),"""")"),"")</f>
        <v/>
      </c>
      <c r="I944" s="32" t="str">
        <f t="shared" si="2"/>
        <v/>
      </c>
      <c r="J944" s="33" t="str">
        <f t="shared" si="3"/>
        <v/>
      </c>
    </row>
    <row r="945" ht="15.75" customHeight="1">
      <c r="A945" s="22" t="s">
        <v>113</v>
      </c>
      <c r="B945" s="22" t="str">
        <f>IF(MOV_CC_NACIONAL!A945="","",MOV_CC_NACIONAL!A945)</f>
        <v/>
      </c>
      <c r="C945" s="22" t="str">
        <f>IF(MOV_CC_NACIONAL!B945="","",MOV_CC_NACIONAL!B945)</f>
        <v/>
      </c>
      <c r="D945" s="34" t="str">
        <f>IF(MOV_CC_NACIONAL!C945="","",MOV_CC_NACIONAL!C945)</f>
        <v/>
      </c>
      <c r="E945" s="22" t="str">
        <f t="shared" si="1"/>
        <v/>
      </c>
      <c r="F945" s="22" t="str">
        <f>IFERROR(__xludf.DUMMYFUNCTION("IF(C945="""","""", OR(REGEXMATCH(LOWER(C945),""cuota""), REGEXMATCH(C945,""\d+\s*/\s*\d+"")))"),"")</f>
        <v/>
      </c>
      <c r="G945" s="22" t="str">
        <f>IFERROR(__xludf.DUMMYFUNCTION("IFERROR(VALUE(REGEXEXTRACT(C945,""(\d+)\s*/\s*\d+"")),"""")"),"")</f>
        <v/>
      </c>
      <c r="H945" s="22" t="str">
        <f>IFERROR(__xludf.DUMMYFUNCTION("IFERROR(VALUE(REGEXEXTRACT(C945,""\d+\s*/\s*(\d+)"")),"""")"),"")</f>
        <v/>
      </c>
      <c r="I945" s="22" t="str">
        <f t="shared" si="2"/>
        <v/>
      </c>
      <c r="J945" s="34" t="str">
        <f t="shared" si="3"/>
        <v/>
      </c>
    </row>
    <row r="946" ht="15.75" customHeight="1">
      <c r="A946" s="32" t="s">
        <v>113</v>
      </c>
      <c r="B946" s="32" t="str">
        <f>IF(MOV_CC_NACIONAL!A946="","",MOV_CC_NACIONAL!A946)</f>
        <v/>
      </c>
      <c r="C946" s="32" t="str">
        <f>IF(MOV_CC_NACIONAL!B946="","",MOV_CC_NACIONAL!B946)</f>
        <v/>
      </c>
      <c r="D946" s="33" t="str">
        <f>IF(MOV_CC_NACIONAL!C946="","",MOV_CC_NACIONAL!C946)</f>
        <v/>
      </c>
      <c r="E946" s="32" t="str">
        <f t="shared" si="1"/>
        <v/>
      </c>
      <c r="F946" s="32" t="str">
        <f>IFERROR(__xludf.DUMMYFUNCTION("IF(C946="""","""", OR(REGEXMATCH(LOWER(C946),""cuota""), REGEXMATCH(C946,""\d+\s*/\s*\d+"")))"),"")</f>
        <v/>
      </c>
      <c r="G946" s="32" t="str">
        <f>IFERROR(__xludf.DUMMYFUNCTION("IFERROR(VALUE(REGEXEXTRACT(C946,""(\d+)\s*/\s*\d+"")),"""")"),"")</f>
        <v/>
      </c>
      <c r="H946" s="32" t="str">
        <f>IFERROR(__xludf.DUMMYFUNCTION("IFERROR(VALUE(REGEXEXTRACT(C946,""\d+\s*/\s*(\d+)"")),"""")"),"")</f>
        <v/>
      </c>
      <c r="I946" s="32" t="str">
        <f t="shared" si="2"/>
        <v/>
      </c>
      <c r="J946" s="33" t="str">
        <f t="shared" si="3"/>
        <v/>
      </c>
    </row>
    <row r="947" ht="15.75" customHeight="1">
      <c r="A947" s="22" t="s">
        <v>113</v>
      </c>
      <c r="B947" s="22" t="str">
        <f>IF(MOV_CC_NACIONAL!A947="","",MOV_CC_NACIONAL!A947)</f>
        <v/>
      </c>
      <c r="C947" s="22" t="str">
        <f>IF(MOV_CC_NACIONAL!B947="","",MOV_CC_NACIONAL!B947)</f>
        <v/>
      </c>
      <c r="D947" s="34" t="str">
        <f>IF(MOV_CC_NACIONAL!C947="","",MOV_CC_NACIONAL!C947)</f>
        <v/>
      </c>
      <c r="E947" s="22" t="str">
        <f t="shared" si="1"/>
        <v/>
      </c>
      <c r="F947" s="22" t="str">
        <f>IFERROR(__xludf.DUMMYFUNCTION("IF(C947="""","""", OR(REGEXMATCH(LOWER(C947),""cuota""), REGEXMATCH(C947,""\d+\s*/\s*\d+"")))"),"")</f>
        <v/>
      </c>
      <c r="G947" s="22" t="str">
        <f>IFERROR(__xludf.DUMMYFUNCTION("IFERROR(VALUE(REGEXEXTRACT(C947,""(\d+)\s*/\s*\d+"")),"""")"),"")</f>
        <v/>
      </c>
      <c r="H947" s="22" t="str">
        <f>IFERROR(__xludf.DUMMYFUNCTION("IFERROR(VALUE(REGEXEXTRACT(C947,""\d+\s*/\s*(\d+)"")),"""")"),"")</f>
        <v/>
      </c>
      <c r="I947" s="22" t="str">
        <f t="shared" si="2"/>
        <v/>
      </c>
      <c r="J947" s="34" t="str">
        <f t="shared" si="3"/>
        <v/>
      </c>
    </row>
    <row r="948" ht="15.75" customHeight="1">
      <c r="A948" s="32" t="s">
        <v>113</v>
      </c>
      <c r="B948" s="32" t="str">
        <f>IF(MOV_CC_NACIONAL!A948="","",MOV_CC_NACIONAL!A948)</f>
        <v/>
      </c>
      <c r="C948" s="32" t="str">
        <f>IF(MOV_CC_NACIONAL!B948="","",MOV_CC_NACIONAL!B948)</f>
        <v/>
      </c>
      <c r="D948" s="33" t="str">
        <f>IF(MOV_CC_NACIONAL!C948="","",MOV_CC_NACIONAL!C948)</f>
        <v/>
      </c>
      <c r="E948" s="32" t="str">
        <f t="shared" si="1"/>
        <v/>
      </c>
      <c r="F948" s="32" t="str">
        <f>IFERROR(__xludf.DUMMYFUNCTION("IF(C948="""","""", OR(REGEXMATCH(LOWER(C948),""cuota""), REGEXMATCH(C948,""\d+\s*/\s*\d+"")))"),"")</f>
        <v/>
      </c>
      <c r="G948" s="32" t="str">
        <f>IFERROR(__xludf.DUMMYFUNCTION("IFERROR(VALUE(REGEXEXTRACT(C948,""(\d+)\s*/\s*\d+"")),"""")"),"")</f>
        <v/>
      </c>
      <c r="H948" s="32" t="str">
        <f>IFERROR(__xludf.DUMMYFUNCTION("IFERROR(VALUE(REGEXEXTRACT(C948,""\d+\s*/\s*(\d+)"")),"""")"),"")</f>
        <v/>
      </c>
      <c r="I948" s="32" t="str">
        <f t="shared" si="2"/>
        <v/>
      </c>
      <c r="J948" s="33" t="str">
        <f t="shared" si="3"/>
        <v/>
      </c>
    </row>
    <row r="949" ht="15.75" customHeight="1">
      <c r="A949" s="22" t="s">
        <v>113</v>
      </c>
      <c r="B949" s="22" t="str">
        <f>IF(MOV_CC_NACIONAL!A949="","",MOV_CC_NACIONAL!A949)</f>
        <v/>
      </c>
      <c r="C949" s="22" t="str">
        <f>IF(MOV_CC_NACIONAL!B949="","",MOV_CC_NACIONAL!B949)</f>
        <v/>
      </c>
      <c r="D949" s="34" t="str">
        <f>IF(MOV_CC_NACIONAL!C949="","",MOV_CC_NACIONAL!C949)</f>
        <v/>
      </c>
      <c r="E949" s="22" t="str">
        <f t="shared" si="1"/>
        <v/>
      </c>
      <c r="F949" s="22" t="str">
        <f>IFERROR(__xludf.DUMMYFUNCTION("IF(C949="""","""", OR(REGEXMATCH(LOWER(C949),""cuota""), REGEXMATCH(C949,""\d+\s*/\s*\d+"")))"),"")</f>
        <v/>
      </c>
      <c r="G949" s="22" t="str">
        <f>IFERROR(__xludf.DUMMYFUNCTION("IFERROR(VALUE(REGEXEXTRACT(C949,""(\d+)\s*/\s*\d+"")),"""")"),"")</f>
        <v/>
      </c>
      <c r="H949" s="22" t="str">
        <f>IFERROR(__xludf.DUMMYFUNCTION("IFERROR(VALUE(REGEXEXTRACT(C949,""\d+\s*/\s*(\d+)"")),"""")"),"")</f>
        <v/>
      </c>
      <c r="I949" s="22" t="str">
        <f t="shared" si="2"/>
        <v/>
      </c>
      <c r="J949" s="34" t="str">
        <f t="shared" si="3"/>
        <v/>
      </c>
    </row>
    <row r="950" ht="15.75" customHeight="1">
      <c r="A950" s="32" t="s">
        <v>113</v>
      </c>
      <c r="B950" s="32" t="str">
        <f>IF(MOV_CC_NACIONAL!A950="","",MOV_CC_NACIONAL!A950)</f>
        <v/>
      </c>
      <c r="C950" s="32" t="str">
        <f>IF(MOV_CC_NACIONAL!B950="","",MOV_CC_NACIONAL!B950)</f>
        <v/>
      </c>
      <c r="D950" s="33" t="str">
        <f>IF(MOV_CC_NACIONAL!C950="","",MOV_CC_NACIONAL!C950)</f>
        <v/>
      </c>
      <c r="E950" s="32" t="str">
        <f t="shared" si="1"/>
        <v/>
      </c>
      <c r="F950" s="32" t="str">
        <f>IFERROR(__xludf.DUMMYFUNCTION("IF(C950="""","""", OR(REGEXMATCH(LOWER(C950),""cuota""), REGEXMATCH(C950,""\d+\s*/\s*\d+"")))"),"")</f>
        <v/>
      </c>
      <c r="G950" s="32" t="str">
        <f>IFERROR(__xludf.DUMMYFUNCTION("IFERROR(VALUE(REGEXEXTRACT(C950,""(\d+)\s*/\s*\d+"")),"""")"),"")</f>
        <v/>
      </c>
      <c r="H950" s="32" t="str">
        <f>IFERROR(__xludf.DUMMYFUNCTION("IFERROR(VALUE(REGEXEXTRACT(C950,""\d+\s*/\s*(\d+)"")),"""")"),"")</f>
        <v/>
      </c>
      <c r="I950" s="32" t="str">
        <f t="shared" si="2"/>
        <v/>
      </c>
      <c r="J950" s="33" t="str">
        <f t="shared" si="3"/>
        <v/>
      </c>
    </row>
    <row r="951" ht="15.75" customHeight="1">
      <c r="A951" s="22" t="s">
        <v>113</v>
      </c>
      <c r="B951" s="22" t="str">
        <f>IF(MOV_CC_NACIONAL!A951="","",MOV_CC_NACIONAL!A951)</f>
        <v/>
      </c>
      <c r="C951" s="22" t="str">
        <f>IF(MOV_CC_NACIONAL!B951="","",MOV_CC_NACIONAL!B951)</f>
        <v/>
      </c>
      <c r="D951" s="34" t="str">
        <f>IF(MOV_CC_NACIONAL!C951="","",MOV_CC_NACIONAL!C951)</f>
        <v/>
      </c>
      <c r="E951" s="22" t="str">
        <f t="shared" si="1"/>
        <v/>
      </c>
      <c r="F951" s="22" t="str">
        <f>IFERROR(__xludf.DUMMYFUNCTION("IF(C951="""","""", OR(REGEXMATCH(LOWER(C951),""cuota""), REGEXMATCH(C951,""\d+\s*/\s*\d+"")))"),"")</f>
        <v/>
      </c>
      <c r="G951" s="22" t="str">
        <f>IFERROR(__xludf.DUMMYFUNCTION("IFERROR(VALUE(REGEXEXTRACT(C951,""(\d+)\s*/\s*\d+"")),"""")"),"")</f>
        <v/>
      </c>
      <c r="H951" s="22" t="str">
        <f>IFERROR(__xludf.DUMMYFUNCTION("IFERROR(VALUE(REGEXEXTRACT(C951,""\d+\s*/\s*(\d+)"")),"""")"),"")</f>
        <v/>
      </c>
      <c r="I951" s="22" t="str">
        <f t="shared" si="2"/>
        <v/>
      </c>
      <c r="J951" s="34" t="str">
        <f t="shared" si="3"/>
        <v/>
      </c>
    </row>
    <row r="952" ht="15.75" customHeight="1">
      <c r="A952" s="32" t="s">
        <v>113</v>
      </c>
      <c r="B952" s="32" t="str">
        <f>IF(MOV_CC_NACIONAL!A952="","",MOV_CC_NACIONAL!A952)</f>
        <v/>
      </c>
      <c r="C952" s="32" t="str">
        <f>IF(MOV_CC_NACIONAL!B952="","",MOV_CC_NACIONAL!B952)</f>
        <v/>
      </c>
      <c r="D952" s="33" t="str">
        <f>IF(MOV_CC_NACIONAL!C952="","",MOV_CC_NACIONAL!C952)</f>
        <v/>
      </c>
      <c r="E952" s="32" t="str">
        <f t="shared" si="1"/>
        <v/>
      </c>
      <c r="F952" s="32" t="str">
        <f>IFERROR(__xludf.DUMMYFUNCTION("IF(C952="""","""", OR(REGEXMATCH(LOWER(C952),""cuota""), REGEXMATCH(C952,""\d+\s*/\s*\d+"")))"),"")</f>
        <v/>
      </c>
      <c r="G952" s="32" t="str">
        <f>IFERROR(__xludf.DUMMYFUNCTION("IFERROR(VALUE(REGEXEXTRACT(C952,""(\d+)\s*/\s*\d+"")),"""")"),"")</f>
        <v/>
      </c>
      <c r="H952" s="32" t="str">
        <f>IFERROR(__xludf.DUMMYFUNCTION("IFERROR(VALUE(REGEXEXTRACT(C952,""\d+\s*/\s*(\d+)"")),"""")"),"")</f>
        <v/>
      </c>
      <c r="I952" s="32" t="str">
        <f t="shared" si="2"/>
        <v/>
      </c>
      <c r="J952" s="33" t="str">
        <f t="shared" si="3"/>
        <v/>
      </c>
    </row>
    <row r="953" ht="15.75" customHeight="1">
      <c r="A953" s="22" t="s">
        <v>113</v>
      </c>
      <c r="B953" s="22" t="str">
        <f>IF(MOV_CC_NACIONAL!A953="","",MOV_CC_NACIONAL!A953)</f>
        <v/>
      </c>
      <c r="C953" s="22" t="str">
        <f>IF(MOV_CC_NACIONAL!B953="","",MOV_CC_NACIONAL!B953)</f>
        <v/>
      </c>
      <c r="D953" s="34" t="str">
        <f>IF(MOV_CC_NACIONAL!C953="","",MOV_CC_NACIONAL!C953)</f>
        <v/>
      </c>
      <c r="E953" s="22" t="str">
        <f t="shared" si="1"/>
        <v/>
      </c>
      <c r="F953" s="22" t="str">
        <f>IFERROR(__xludf.DUMMYFUNCTION("IF(C953="""","""", OR(REGEXMATCH(LOWER(C953),""cuota""), REGEXMATCH(C953,""\d+\s*/\s*\d+"")))"),"")</f>
        <v/>
      </c>
      <c r="G953" s="22" t="str">
        <f>IFERROR(__xludf.DUMMYFUNCTION("IFERROR(VALUE(REGEXEXTRACT(C953,""(\d+)\s*/\s*\d+"")),"""")"),"")</f>
        <v/>
      </c>
      <c r="H953" s="22" t="str">
        <f>IFERROR(__xludf.DUMMYFUNCTION("IFERROR(VALUE(REGEXEXTRACT(C953,""\d+\s*/\s*(\d+)"")),"""")"),"")</f>
        <v/>
      </c>
      <c r="I953" s="22" t="str">
        <f t="shared" si="2"/>
        <v/>
      </c>
      <c r="J953" s="34" t="str">
        <f t="shared" si="3"/>
        <v/>
      </c>
    </row>
    <row r="954" ht="15.75" customHeight="1">
      <c r="A954" s="32" t="s">
        <v>113</v>
      </c>
      <c r="B954" s="32" t="str">
        <f>IF(MOV_CC_NACIONAL!A954="","",MOV_CC_NACIONAL!A954)</f>
        <v/>
      </c>
      <c r="C954" s="32" t="str">
        <f>IF(MOV_CC_NACIONAL!B954="","",MOV_CC_NACIONAL!B954)</f>
        <v/>
      </c>
      <c r="D954" s="33" t="str">
        <f>IF(MOV_CC_NACIONAL!C954="","",MOV_CC_NACIONAL!C954)</f>
        <v/>
      </c>
      <c r="E954" s="32" t="str">
        <f t="shared" si="1"/>
        <v/>
      </c>
      <c r="F954" s="32" t="str">
        <f>IFERROR(__xludf.DUMMYFUNCTION("IF(C954="""","""", OR(REGEXMATCH(LOWER(C954),""cuota""), REGEXMATCH(C954,""\d+\s*/\s*\d+"")))"),"")</f>
        <v/>
      </c>
      <c r="G954" s="32" t="str">
        <f>IFERROR(__xludf.DUMMYFUNCTION("IFERROR(VALUE(REGEXEXTRACT(C954,""(\d+)\s*/\s*\d+"")),"""")"),"")</f>
        <v/>
      </c>
      <c r="H954" s="32" t="str">
        <f>IFERROR(__xludf.DUMMYFUNCTION("IFERROR(VALUE(REGEXEXTRACT(C954,""\d+\s*/\s*(\d+)"")),"""")"),"")</f>
        <v/>
      </c>
      <c r="I954" s="32" t="str">
        <f t="shared" si="2"/>
        <v/>
      </c>
      <c r="J954" s="33" t="str">
        <f t="shared" si="3"/>
        <v/>
      </c>
    </row>
    <row r="955" ht="15.75" customHeight="1">
      <c r="A955" s="22" t="s">
        <v>113</v>
      </c>
      <c r="B955" s="22" t="str">
        <f>IF(MOV_CC_NACIONAL!A955="","",MOV_CC_NACIONAL!A955)</f>
        <v/>
      </c>
      <c r="C955" s="22" t="str">
        <f>IF(MOV_CC_NACIONAL!B955="","",MOV_CC_NACIONAL!B955)</f>
        <v/>
      </c>
      <c r="D955" s="34" t="str">
        <f>IF(MOV_CC_NACIONAL!C955="","",MOV_CC_NACIONAL!C955)</f>
        <v/>
      </c>
      <c r="E955" s="22" t="str">
        <f t="shared" si="1"/>
        <v/>
      </c>
      <c r="F955" s="22" t="str">
        <f>IFERROR(__xludf.DUMMYFUNCTION("IF(C955="""","""", OR(REGEXMATCH(LOWER(C955),""cuota""), REGEXMATCH(C955,""\d+\s*/\s*\d+"")))"),"")</f>
        <v/>
      </c>
      <c r="G955" s="22" t="str">
        <f>IFERROR(__xludf.DUMMYFUNCTION("IFERROR(VALUE(REGEXEXTRACT(C955,""(\d+)\s*/\s*\d+"")),"""")"),"")</f>
        <v/>
      </c>
      <c r="H955" s="22" t="str">
        <f>IFERROR(__xludf.DUMMYFUNCTION("IFERROR(VALUE(REGEXEXTRACT(C955,""\d+\s*/\s*(\d+)"")),"""")"),"")</f>
        <v/>
      </c>
      <c r="I955" s="22" t="str">
        <f t="shared" si="2"/>
        <v/>
      </c>
      <c r="J955" s="34" t="str">
        <f t="shared" si="3"/>
        <v/>
      </c>
    </row>
    <row r="956" ht="15.75" customHeight="1">
      <c r="A956" s="32" t="s">
        <v>113</v>
      </c>
      <c r="B956" s="32" t="str">
        <f>IF(MOV_CC_NACIONAL!A956="","",MOV_CC_NACIONAL!A956)</f>
        <v/>
      </c>
      <c r="C956" s="32" t="str">
        <f>IF(MOV_CC_NACIONAL!B956="","",MOV_CC_NACIONAL!B956)</f>
        <v/>
      </c>
      <c r="D956" s="33" t="str">
        <f>IF(MOV_CC_NACIONAL!C956="","",MOV_CC_NACIONAL!C956)</f>
        <v/>
      </c>
      <c r="E956" s="32" t="str">
        <f t="shared" si="1"/>
        <v/>
      </c>
      <c r="F956" s="32" t="str">
        <f>IFERROR(__xludf.DUMMYFUNCTION("IF(C956="""","""", OR(REGEXMATCH(LOWER(C956),""cuota""), REGEXMATCH(C956,""\d+\s*/\s*\d+"")))"),"")</f>
        <v/>
      </c>
      <c r="G956" s="32" t="str">
        <f>IFERROR(__xludf.DUMMYFUNCTION("IFERROR(VALUE(REGEXEXTRACT(C956,""(\d+)\s*/\s*\d+"")),"""")"),"")</f>
        <v/>
      </c>
      <c r="H956" s="32" t="str">
        <f>IFERROR(__xludf.DUMMYFUNCTION("IFERROR(VALUE(REGEXEXTRACT(C956,""\d+\s*/\s*(\d+)"")),"""")"),"")</f>
        <v/>
      </c>
      <c r="I956" s="32" t="str">
        <f t="shared" si="2"/>
        <v/>
      </c>
      <c r="J956" s="33" t="str">
        <f t="shared" si="3"/>
        <v/>
      </c>
    </row>
    <row r="957" ht="15.75" customHeight="1">
      <c r="A957" s="22" t="s">
        <v>113</v>
      </c>
      <c r="B957" s="22" t="str">
        <f>IF(MOV_CC_NACIONAL!A957="","",MOV_CC_NACIONAL!A957)</f>
        <v/>
      </c>
      <c r="C957" s="22" t="str">
        <f>IF(MOV_CC_NACIONAL!B957="","",MOV_CC_NACIONAL!B957)</f>
        <v/>
      </c>
      <c r="D957" s="34" t="str">
        <f>IF(MOV_CC_NACIONAL!C957="","",MOV_CC_NACIONAL!C957)</f>
        <v/>
      </c>
      <c r="E957" s="22" t="str">
        <f t="shared" si="1"/>
        <v/>
      </c>
      <c r="F957" s="22" t="str">
        <f>IFERROR(__xludf.DUMMYFUNCTION("IF(C957="""","""", OR(REGEXMATCH(LOWER(C957),""cuota""), REGEXMATCH(C957,""\d+\s*/\s*\d+"")))"),"")</f>
        <v/>
      </c>
      <c r="G957" s="22" t="str">
        <f>IFERROR(__xludf.DUMMYFUNCTION("IFERROR(VALUE(REGEXEXTRACT(C957,""(\d+)\s*/\s*\d+"")),"""")"),"")</f>
        <v/>
      </c>
      <c r="H957" s="22" t="str">
        <f>IFERROR(__xludf.DUMMYFUNCTION("IFERROR(VALUE(REGEXEXTRACT(C957,""\d+\s*/\s*(\d+)"")),"""")"),"")</f>
        <v/>
      </c>
      <c r="I957" s="22" t="str">
        <f t="shared" si="2"/>
        <v/>
      </c>
      <c r="J957" s="34" t="str">
        <f t="shared" si="3"/>
        <v/>
      </c>
    </row>
    <row r="958" ht="15.75" customHeight="1">
      <c r="A958" s="32" t="s">
        <v>113</v>
      </c>
      <c r="B958" s="32" t="str">
        <f>IF(MOV_CC_NACIONAL!A958="","",MOV_CC_NACIONAL!A958)</f>
        <v/>
      </c>
      <c r="C958" s="32" t="str">
        <f>IF(MOV_CC_NACIONAL!B958="","",MOV_CC_NACIONAL!B958)</f>
        <v/>
      </c>
      <c r="D958" s="33" t="str">
        <f>IF(MOV_CC_NACIONAL!C958="","",MOV_CC_NACIONAL!C958)</f>
        <v/>
      </c>
      <c r="E958" s="32" t="str">
        <f t="shared" si="1"/>
        <v/>
      </c>
      <c r="F958" s="32" t="str">
        <f>IFERROR(__xludf.DUMMYFUNCTION("IF(C958="""","""", OR(REGEXMATCH(LOWER(C958),""cuota""), REGEXMATCH(C958,""\d+\s*/\s*\d+"")))"),"")</f>
        <v/>
      </c>
      <c r="G958" s="32" t="str">
        <f>IFERROR(__xludf.DUMMYFUNCTION("IFERROR(VALUE(REGEXEXTRACT(C958,""(\d+)\s*/\s*\d+"")),"""")"),"")</f>
        <v/>
      </c>
      <c r="H958" s="32" t="str">
        <f>IFERROR(__xludf.DUMMYFUNCTION("IFERROR(VALUE(REGEXEXTRACT(C958,""\d+\s*/\s*(\d+)"")),"""")"),"")</f>
        <v/>
      </c>
      <c r="I958" s="32" t="str">
        <f t="shared" si="2"/>
        <v/>
      </c>
      <c r="J958" s="33" t="str">
        <f t="shared" si="3"/>
        <v/>
      </c>
    </row>
    <row r="959" ht="15.75" customHeight="1">
      <c r="A959" s="22" t="s">
        <v>113</v>
      </c>
      <c r="B959" s="22" t="str">
        <f>IF(MOV_CC_NACIONAL!A959="","",MOV_CC_NACIONAL!A959)</f>
        <v/>
      </c>
      <c r="C959" s="22" t="str">
        <f>IF(MOV_CC_NACIONAL!B959="","",MOV_CC_NACIONAL!B959)</f>
        <v/>
      </c>
      <c r="D959" s="34" t="str">
        <f>IF(MOV_CC_NACIONAL!C959="","",MOV_CC_NACIONAL!C959)</f>
        <v/>
      </c>
      <c r="E959" s="22" t="str">
        <f t="shared" si="1"/>
        <v/>
      </c>
      <c r="F959" s="22" t="str">
        <f>IFERROR(__xludf.DUMMYFUNCTION("IF(C959="""","""", OR(REGEXMATCH(LOWER(C959),""cuota""), REGEXMATCH(C959,""\d+\s*/\s*\d+"")))"),"")</f>
        <v/>
      </c>
      <c r="G959" s="22" t="str">
        <f>IFERROR(__xludf.DUMMYFUNCTION("IFERROR(VALUE(REGEXEXTRACT(C959,""(\d+)\s*/\s*\d+"")),"""")"),"")</f>
        <v/>
      </c>
      <c r="H959" s="22" t="str">
        <f>IFERROR(__xludf.DUMMYFUNCTION("IFERROR(VALUE(REGEXEXTRACT(C959,""\d+\s*/\s*(\d+)"")),"""")"),"")</f>
        <v/>
      </c>
      <c r="I959" s="22" t="str">
        <f t="shared" si="2"/>
        <v/>
      </c>
      <c r="J959" s="34" t="str">
        <f t="shared" si="3"/>
        <v/>
      </c>
    </row>
    <row r="960" ht="15.75" customHeight="1">
      <c r="A960" s="32" t="s">
        <v>113</v>
      </c>
      <c r="B960" s="32" t="str">
        <f>IF(MOV_CC_NACIONAL!A960="","",MOV_CC_NACIONAL!A960)</f>
        <v/>
      </c>
      <c r="C960" s="32" t="str">
        <f>IF(MOV_CC_NACIONAL!B960="","",MOV_CC_NACIONAL!B960)</f>
        <v/>
      </c>
      <c r="D960" s="33" t="str">
        <f>IF(MOV_CC_NACIONAL!C960="","",MOV_CC_NACIONAL!C960)</f>
        <v/>
      </c>
      <c r="E960" s="32" t="str">
        <f t="shared" si="1"/>
        <v/>
      </c>
      <c r="F960" s="32" t="str">
        <f>IFERROR(__xludf.DUMMYFUNCTION("IF(C960="""","""", OR(REGEXMATCH(LOWER(C960),""cuota""), REGEXMATCH(C960,""\d+\s*/\s*\d+"")))"),"")</f>
        <v/>
      </c>
      <c r="G960" s="32" t="str">
        <f>IFERROR(__xludf.DUMMYFUNCTION("IFERROR(VALUE(REGEXEXTRACT(C960,""(\d+)\s*/\s*\d+"")),"""")"),"")</f>
        <v/>
      </c>
      <c r="H960" s="32" t="str">
        <f>IFERROR(__xludf.DUMMYFUNCTION("IFERROR(VALUE(REGEXEXTRACT(C960,""\d+\s*/\s*(\d+)"")),"""")"),"")</f>
        <v/>
      </c>
      <c r="I960" s="32" t="str">
        <f t="shared" si="2"/>
        <v/>
      </c>
      <c r="J960" s="33" t="str">
        <f t="shared" si="3"/>
        <v/>
      </c>
    </row>
    <row r="961" ht="15.75" customHeight="1">
      <c r="A961" s="22" t="s">
        <v>113</v>
      </c>
      <c r="B961" s="22" t="str">
        <f>IF(MOV_CC_NACIONAL!A961="","",MOV_CC_NACIONAL!A961)</f>
        <v/>
      </c>
      <c r="C961" s="22" t="str">
        <f>IF(MOV_CC_NACIONAL!B961="","",MOV_CC_NACIONAL!B961)</f>
        <v/>
      </c>
      <c r="D961" s="34" t="str">
        <f>IF(MOV_CC_NACIONAL!C961="","",MOV_CC_NACIONAL!C961)</f>
        <v/>
      </c>
      <c r="E961" s="22" t="str">
        <f t="shared" si="1"/>
        <v/>
      </c>
      <c r="F961" s="22" t="str">
        <f>IFERROR(__xludf.DUMMYFUNCTION("IF(C961="""","""", OR(REGEXMATCH(LOWER(C961),""cuota""), REGEXMATCH(C961,""\d+\s*/\s*\d+"")))"),"")</f>
        <v/>
      </c>
      <c r="G961" s="22" t="str">
        <f>IFERROR(__xludf.DUMMYFUNCTION("IFERROR(VALUE(REGEXEXTRACT(C961,""(\d+)\s*/\s*\d+"")),"""")"),"")</f>
        <v/>
      </c>
      <c r="H961" s="22" t="str">
        <f>IFERROR(__xludf.DUMMYFUNCTION("IFERROR(VALUE(REGEXEXTRACT(C961,""\d+\s*/\s*(\d+)"")),"""")"),"")</f>
        <v/>
      </c>
      <c r="I961" s="22" t="str">
        <f t="shared" si="2"/>
        <v/>
      </c>
      <c r="J961" s="34" t="str">
        <f t="shared" si="3"/>
        <v/>
      </c>
    </row>
    <row r="962" ht="15.75" customHeight="1">
      <c r="A962" s="32" t="s">
        <v>113</v>
      </c>
      <c r="B962" s="32" t="str">
        <f>IF(MOV_CC_NACIONAL!A962="","",MOV_CC_NACIONAL!A962)</f>
        <v/>
      </c>
      <c r="C962" s="32" t="str">
        <f>IF(MOV_CC_NACIONAL!B962="","",MOV_CC_NACIONAL!B962)</f>
        <v/>
      </c>
      <c r="D962" s="33" t="str">
        <f>IF(MOV_CC_NACIONAL!C962="","",MOV_CC_NACIONAL!C962)</f>
        <v/>
      </c>
      <c r="E962" s="32" t="str">
        <f t="shared" si="1"/>
        <v/>
      </c>
      <c r="F962" s="32" t="str">
        <f>IFERROR(__xludf.DUMMYFUNCTION("IF(C962="""","""", OR(REGEXMATCH(LOWER(C962),""cuota""), REGEXMATCH(C962,""\d+\s*/\s*\d+"")))"),"")</f>
        <v/>
      </c>
      <c r="G962" s="32" t="str">
        <f>IFERROR(__xludf.DUMMYFUNCTION("IFERROR(VALUE(REGEXEXTRACT(C962,""(\d+)\s*/\s*\d+"")),"""")"),"")</f>
        <v/>
      </c>
      <c r="H962" s="32" t="str">
        <f>IFERROR(__xludf.DUMMYFUNCTION("IFERROR(VALUE(REGEXEXTRACT(C962,""\d+\s*/\s*(\d+)"")),"""")"),"")</f>
        <v/>
      </c>
      <c r="I962" s="32" t="str">
        <f t="shared" si="2"/>
        <v/>
      </c>
      <c r="J962" s="33" t="str">
        <f t="shared" si="3"/>
        <v/>
      </c>
    </row>
    <row r="963" ht="15.75" customHeight="1">
      <c r="A963" s="22" t="s">
        <v>113</v>
      </c>
      <c r="B963" s="22" t="str">
        <f>IF(MOV_CC_NACIONAL!A963="","",MOV_CC_NACIONAL!A963)</f>
        <v/>
      </c>
      <c r="C963" s="22" t="str">
        <f>IF(MOV_CC_NACIONAL!B963="","",MOV_CC_NACIONAL!B963)</f>
        <v/>
      </c>
      <c r="D963" s="34" t="str">
        <f>IF(MOV_CC_NACIONAL!C963="","",MOV_CC_NACIONAL!C963)</f>
        <v/>
      </c>
      <c r="E963" s="22" t="str">
        <f t="shared" si="1"/>
        <v/>
      </c>
      <c r="F963" s="22" t="str">
        <f>IFERROR(__xludf.DUMMYFUNCTION("IF(C963="""","""", OR(REGEXMATCH(LOWER(C963),""cuota""), REGEXMATCH(C963,""\d+\s*/\s*\d+"")))"),"")</f>
        <v/>
      </c>
      <c r="G963" s="22" t="str">
        <f>IFERROR(__xludf.DUMMYFUNCTION("IFERROR(VALUE(REGEXEXTRACT(C963,""(\d+)\s*/\s*\d+"")),"""")"),"")</f>
        <v/>
      </c>
      <c r="H963" s="22" t="str">
        <f>IFERROR(__xludf.DUMMYFUNCTION("IFERROR(VALUE(REGEXEXTRACT(C963,""\d+\s*/\s*(\d+)"")),"""")"),"")</f>
        <v/>
      </c>
      <c r="I963" s="22" t="str">
        <f t="shared" si="2"/>
        <v/>
      </c>
      <c r="J963" s="34" t="str">
        <f t="shared" si="3"/>
        <v/>
      </c>
    </row>
    <row r="964" ht="15.75" customHeight="1">
      <c r="A964" s="32" t="s">
        <v>113</v>
      </c>
      <c r="B964" s="32" t="str">
        <f>IF(MOV_CC_NACIONAL!A964="","",MOV_CC_NACIONAL!A964)</f>
        <v/>
      </c>
      <c r="C964" s="32" t="str">
        <f>IF(MOV_CC_NACIONAL!B964="","",MOV_CC_NACIONAL!B964)</f>
        <v/>
      </c>
      <c r="D964" s="33" t="str">
        <f>IF(MOV_CC_NACIONAL!C964="","",MOV_CC_NACIONAL!C964)</f>
        <v/>
      </c>
      <c r="E964" s="32" t="str">
        <f t="shared" si="1"/>
        <v/>
      </c>
      <c r="F964" s="32" t="str">
        <f>IFERROR(__xludf.DUMMYFUNCTION("IF(C964="""","""", OR(REGEXMATCH(LOWER(C964),""cuota""), REGEXMATCH(C964,""\d+\s*/\s*\d+"")))"),"")</f>
        <v/>
      </c>
      <c r="G964" s="32" t="str">
        <f>IFERROR(__xludf.DUMMYFUNCTION("IFERROR(VALUE(REGEXEXTRACT(C964,""(\d+)\s*/\s*\d+"")),"""")"),"")</f>
        <v/>
      </c>
      <c r="H964" s="32" t="str">
        <f>IFERROR(__xludf.DUMMYFUNCTION("IFERROR(VALUE(REGEXEXTRACT(C964,""\d+\s*/\s*(\d+)"")),"""")"),"")</f>
        <v/>
      </c>
      <c r="I964" s="32" t="str">
        <f t="shared" si="2"/>
        <v/>
      </c>
      <c r="J964" s="33" t="str">
        <f t="shared" si="3"/>
        <v/>
      </c>
    </row>
    <row r="965" ht="15.75" customHeight="1">
      <c r="A965" s="22" t="s">
        <v>113</v>
      </c>
      <c r="B965" s="22" t="str">
        <f>IF(MOV_CC_NACIONAL!A965="","",MOV_CC_NACIONAL!A965)</f>
        <v/>
      </c>
      <c r="C965" s="22" t="str">
        <f>IF(MOV_CC_NACIONAL!B965="","",MOV_CC_NACIONAL!B965)</f>
        <v/>
      </c>
      <c r="D965" s="34" t="str">
        <f>IF(MOV_CC_NACIONAL!C965="","",MOV_CC_NACIONAL!C965)</f>
        <v/>
      </c>
      <c r="E965" s="22" t="str">
        <f t="shared" si="1"/>
        <v/>
      </c>
      <c r="F965" s="22" t="str">
        <f>IFERROR(__xludf.DUMMYFUNCTION("IF(C965="""","""", OR(REGEXMATCH(LOWER(C965),""cuota""), REGEXMATCH(C965,""\d+\s*/\s*\d+"")))"),"")</f>
        <v/>
      </c>
      <c r="G965" s="22" t="str">
        <f>IFERROR(__xludf.DUMMYFUNCTION("IFERROR(VALUE(REGEXEXTRACT(C965,""(\d+)\s*/\s*\d+"")),"""")"),"")</f>
        <v/>
      </c>
      <c r="H965" s="22" t="str">
        <f>IFERROR(__xludf.DUMMYFUNCTION("IFERROR(VALUE(REGEXEXTRACT(C965,""\d+\s*/\s*(\d+)"")),"""")"),"")</f>
        <v/>
      </c>
      <c r="I965" s="22" t="str">
        <f t="shared" si="2"/>
        <v/>
      </c>
      <c r="J965" s="34" t="str">
        <f t="shared" si="3"/>
        <v/>
      </c>
    </row>
    <row r="966" ht="15.75" customHeight="1">
      <c r="A966" s="32" t="s">
        <v>113</v>
      </c>
      <c r="B966" s="32" t="str">
        <f>IF(MOV_CC_NACIONAL!A966="","",MOV_CC_NACIONAL!A966)</f>
        <v/>
      </c>
      <c r="C966" s="32" t="str">
        <f>IF(MOV_CC_NACIONAL!B966="","",MOV_CC_NACIONAL!B966)</f>
        <v/>
      </c>
      <c r="D966" s="33" t="str">
        <f>IF(MOV_CC_NACIONAL!C966="","",MOV_CC_NACIONAL!C966)</f>
        <v/>
      </c>
      <c r="E966" s="32" t="str">
        <f t="shared" si="1"/>
        <v/>
      </c>
      <c r="F966" s="32" t="str">
        <f>IFERROR(__xludf.DUMMYFUNCTION("IF(C966="""","""", OR(REGEXMATCH(LOWER(C966),""cuota""), REGEXMATCH(C966,""\d+\s*/\s*\d+"")))"),"")</f>
        <v/>
      </c>
      <c r="G966" s="32" t="str">
        <f>IFERROR(__xludf.DUMMYFUNCTION("IFERROR(VALUE(REGEXEXTRACT(C966,""(\d+)\s*/\s*\d+"")),"""")"),"")</f>
        <v/>
      </c>
      <c r="H966" s="32" t="str">
        <f>IFERROR(__xludf.DUMMYFUNCTION("IFERROR(VALUE(REGEXEXTRACT(C966,""\d+\s*/\s*(\d+)"")),"""")"),"")</f>
        <v/>
      </c>
      <c r="I966" s="32" t="str">
        <f t="shared" si="2"/>
        <v/>
      </c>
      <c r="J966" s="33" t="str">
        <f t="shared" si="3"/>
        <v/>
      </c>
    </row>
    <row r="967" ht="15.75" customHeight="1">
      <c r="A967" s="22" t="s">
        <v>113</v>
      </c>
      <c r="B967" s="22" t="str">
        <f>IF(MOV_CC_NACIONAL!A967="","",MOV_CC_NACIONAL!A967)</f>
        <v/>
      </c>
      <c r="C967" s="22" t="str">
        <f>IF(MOV_CC_NACIONAL!B967="","",MOV_CC_NACIONAL!B967)</f>
        <v/>
      </c>
      <c r="D967" s="34" t="str">
        <f>IF(MOV_CC_NACIONAL!C967="","",MOV_CC_NACIONAL!C967)</f>
        <v/>
      </c>
      <c r="E967" s="22" t="str">
        <f t="shared" si="1"/>
        <v/>
      </c>
      <c r="F967" s="22" t="str">
        <f>IFERROR(__xludf.DUMMYFUNCTION("IF(C967="""","""", OR(REGEXMATCH(LOWER(C967),""cuota""), REGEXMATCH(C967,""\d+\s*/\s*\d+"")))"),"")</f>
        <v/>
      </c>
      <c r="G967" s="22" t="str">
        <f>IFERROR(__xludf.DUMMYFUNCTION("IFERROR(VALUE(REGEXEXTRACT(C967,""(\d+)\s*/\s*\d+"")),"""")"),"")</f>
        <v/>
      </c>
      <c r="H967" s="22" t="str">
        <f>IFERROR(__xludf.DUMMYFUNCTION("IFERROR(VALUE(REGEXEXTRACT(C967,""\d+\s*/\s*(\d+)"")),"""")"),"")</f>
        <v/>
      </c>
      <c r="I967" s="22" t="str">
        <f t="shared" si="2"/>
        <v/>
      </c>
      <c r="J967" s="34" t="str">
        <f t="shared" si="3"/>
        <v/>
      </c>
    </row>
    <row r="968" ht="15.75" customHeight="1">
      <c r="A968" s="32" t="s">
        <v>113</v>
      </c>
      <c r="B968" s="32" t="str">
        <f>IF(MOV_CC_NACIONAL!A968="","",MOV_CC_NACIONAL!A968)</f>
        <v/>
      </c>
      <c r="C968" s="32" t="str">
        <f>IF(MOV_CC_NACIONAL!B968="","",MOV_CC_NACIONAL!B968)</f>
        <v/>
      </c>
      <c r="D968" s="33" t="str">
        <f>IF(MOV_CC_NACIONAL!C968="","",MOV_CC_NACIONAL!C968)</f>
        <v/>
      </c>
      <c r="E968" s="32" t="str">
        <f t="shared" si="1"/>
        <v/>
      </c>
      <c r="F968" s="32" t="str">
        <f>IFERROR(__xludf.DUMMYFUNCTION("IF(C968="""","""", OR(REGEXMATCH(LOWER(C968),""cuota""), REGEXMATCH(C968,""\d+\s*/\s*\d+"")))"),"")</f>
        <v/>
      </c>
      <c r="G968" s="32" t="str">
        <f>IFERROR(__xludf.DUMMYFUNCTION("IFERROR(VALUE(REGEXEXTRACT(C968,""(\d+)\s*/\s*\d+"")),"""")"),"")</f>
        <v/>
      </c>
      <c r="H968" s="32" t="str">
        <f>IFERROR(__xludf.DUMMYFUNCTION("IFERROR(VALUE(REGEXEXTRACT(C968,""\d+\s*/\s*(\d+)"")),"""")"),"")</f>
        <v/>
      </c>
      <c r="I968" s="32" t="str">
        <f t="shared" si="2"/>
        <v/>
      </c>
      <c r="J968" s="33" t="str">
        <f t="shared" si="3"/>
        <v/>
      </c>
    </row>
    <row r="969" ht="15.75" customHeight="1">
      <c r="A969" s="22" t="s">
        <v>113</v>
      </c>
      <c r="B969" s="22" t="str">
        <f>IF(MOV_CC_NACIONAL!A969="","",MOV_CC_NACIONAL!A969)</f>
        <v/>
      </c>
      <c r="C969" s="22" t="str">
        <f>IF(MOV_CC_NACIONAL!B969="","",MOV_CC_NACIONAL!B969)</f>
        <v/>
      </c>
      <c r="D969" s="34" t="str">
        <f>IF(MOV_CC_NACIONAL!C969="","",MOV_CC_NACIONAL!C969)</f>
        <v/>
      </c>
      <c r="E969" s="22" t="str">
        <f t="shared" si="1"/>
        <v/>
      </c>
      <c r="F969" s="22" t="str">
        <f>IFERROR(__xludf.DUMMYFUNCTION("IF(C969="""","""", OR(REGEXMATCH(LOWER(C969),""cuota""), REGEXMATCH(C969,""\d+\s*/\s*\d+"")))"),"")</f>
        <v/>
      </c>
      <c r="G969" s="22" t="str">
        <f>IFERROR(__xludf.DUMMYFUNCTION("IFERROR(VALUE(REGEXEXTRACT(C969,""(\d+)\s*/\s*\d+"")),"""")"),"")</f>
        <v/>
      </c>
      <c r="H969" s="22" t="str">
        <f>IFERROR(__xludf.DUMMYFUNCTION("IFERROR(VALUE(REGEXEXTRACT(C969,""\d+\s*/\s*(\d+)"")),"""")"),"")</f>
        <v/>
      </c>
      <c r="I969" s="22" t="str">
        <f t="shared" si="2"/>
        <v/>
      </c>
      <c r="J969" s="34" t="str">
        <f t="shared" si="3"/>
        <v/>
      </c>
    </row>
    <row r="970" ht="15.75" customHeight="1">
      <c r="A970" s="32" t="s">
        <v>113</v>
      </c>
      <c r="B970" s="32" t="str">
        <f>IF(MOV_CC_NACIONAL!A970="","",MOV_CC_NACIONAL!A970)</f>
        <v/>
      </c>
      <c r="C970" s="32" t="str">
        <f>IF(MOV_CC_NACIONAL!B970="","",MOV_CC_NACIONAL!B970)</f>
        <v/>
      </c>
      <c r="D970" s="33" t="str">
        <f>IF(MOV_CC_NACIONAL!C970="","",MOV_CC_NACIONAL!C970)</f>
        <v/>
      </c>
      <c r="E970" s="32" t="str">
        <f t="shared" si="1"/>
        <v/>
      </c>
      <c r="F970" s="32" t="str">
        <f>IFERROR(__xludf.DUMMYFUNCTION("IF(C970="""","""", OR(REGEXMATCH(LOWER(C970),""cuota""), REGEXMATCH(C970,""\d+\s*/\s*\d+"")))"),"")</f>
        <v/>
      </c>
      <c r="G970" s="32" t="str">
        <f>IFERROR(__xludf.DUMMYFUNCTION("IFERROR(VALUE(REGEXEXTRACT(C970,""(\d+)\s*/\s*\d+"")),"""")"),"")</f>
        <v/>
      </c>
      <c r="H970" s="32" t="str">
        <f>IFERROR(__xludf.DUMMYFUNCTION("IFERROR(VALUE(REGEXEXTRACT(C970,""\d+\s*/\s*(\d+)"")),"""")"),"")</f>
        <v/>
      </c>
      <c r="I970" s="32" t="str">
        <f t="shared" si="2"/>
        <v/>
      </c>
      <c r="J970" s="33" t="str">
        <f t="shared" si="3"/>
        <v/>
      </c>
    </row>
    <row r="971" ht="15.75" customHeight="1">
      <c r="A971" s="22" t="s">
        <v>113</v>
      </c>
      <c r="B971" s="22" t="str">
        <f>IF(MOV_CC_NACIONAL!A971="","",MOV_CC_NACIONAL!A971)</f>
        <v/>
      </c>
      <c r="C971" s="22" t="str">
        <f>IF(MOV_CC_NACIONAL!B971="","",MOV_CC_NACIONAL!B971)</f>
        <v/>
      </c>
      <c r="D971" s="34" t="str">
        <f>IF(MOV_CC_NACIONAL!C971="","",MOV_CC_NACIONAL!C971)</f>
        <v/>
      </c>
      <c r="E971" s="22" t="str">
        <f t="shared" si="1"/>
        <v/>
      </c>
      <c r="F971" s="22" t="str">
        <f>IFERROR(__xludf.DUMMYFUNCTION("IF(C971="""","""", OR(REGEXMATCH(LOWER(C971),""cuota""), REGEXMATCH(C971,""\d+\s*/\s*\d+"")))"),"")</f>
        <v/>
      </c>
      <c r="G971" s="22" t="str">
        <f>IFERROR(__xludf.DUMMYFUNCTION("IFERROR(VALUE(REGEXEXTRACT(C971,""(\d+)\s*/\s*\d+"")),"""")"),"")</f>
        <v/>
      </c>
      <c r="H971" s="22" t="str">
        <f>IFERROR(__xludf.DUMMYFUNCTION("IFERROR(VALUE(REGEXEXTRACT(C971,""\d+\s*/\s*(\d+)"")),"""")"),"")</f>
        <v/>
      </c>
      <c r="I971" s="22" t="str">
        <f t="shared" si="2"/>
        <v/>
      </c>
      <c r="J971" s="34" t="str">
        <f t="shared" si="3"/>
        <v/>
      </c>
    </row>
    <row r="972" ht="15.75" customHeight="1">
      <c r="A972" s="32" t="s">
        <v>113</v>
      </c>
      <c r="B972" s="32" t="str">
        <f>IF(MOV_CC_NACIONAL!A972="","",MOV_CC_NACIONAL!A972)</f>
        <v/>
      </c>
      <c r="C972" s="32" t="str">
        <f>IF(MOV_CC_NACIONAL!B972="","",MOV_CC_NACIONAL!B972)</f>
        <v/>
      </c>
      <c r="D972" s="33" t="str">
        <f>IF(MOV_CC_NACIONAL!C972="","",MOV_CC_NACIONAL!C972)</f>
        <v/>
      </c>
      <c r="E972" s="32" t="str">
        <f t="shared" si="1"/>
        <v/>
      </c>
      <c r="F972" s="32" t="str">
        <f>IFERROR(__xludf.DUMMYFUNCTION("IF(C972="""","""", OR(REGEXMATCH(LOWER(C972),""cuota""), REGEXMATCH(C972,""\d+\s*/\s*\d+"")))"),"")</f>
        <v/>
      </c>
      <c r="G972" s="32" t="str">
        <f>IFERROR(__xludf.DUMMYFUNCTION("IFERROR(VALUE(REGEXEXTRACT(C972,""(\d+)\s*/\s*\d+"")),"""")"),"")</f>
        <v/>
      </c>
      <c r="H972" s="32" t="str">
        <f>IFERROR(__xludf.DUMMYFUNCTION("IFERROR(VALUE(REGEXEXTRACT(C972,""\d+\s*/\s*(\d+)"")),"""")"),"")</f>
        <v/>
      </c>
      <c r="I972" s="32" t="str">
        <f t="shared" si="2"/>
        <v/>
      </c>
      <c r="J972" s="33" t="str">
        <f t="shared" si="3"/>
        <v/>
      </c>
    </row>
    <row r="973" ht="15.75" customHeight="1">
      <c r="A973" s="22" t="s">
        <v>113</v>
      </c>
      <c r="B973" s="22" t="str">
        <f>IF(MOV_CC_NACIONAL!A973="","",MOV_CC_NACIONAL!A973)</f>
        <v/>
      </c>
      <c r="C973" s="22" t="str">
        <f>IF(MOV_CC_NACIONAL!B973="","",MOV_CC_NACIONAL!B973)</f>
        <v/>
      </c>
      <c r="D973" s="34" t="str">
        <f>IF(MOV_CC_NACIONAL!C973="","",MOV_CC_NACIONAL!C973)</f>
        <v/>
      </c>
      <c r="E973" s="22" t="str">
        <f t="shared" si="1"/>
        <v/>
      </c>
      <c r="F973" s="22" t="str">
        <f>IFERROR(__xludf.DUMMYFUNCTION("IF(C973="""","""", OR(REGEXMATCH(LOWER(C973),""cuota""), REGEXMATCH(C973,""\d+\s*/\s*\d+"")))"),"")</f>
        <v/>
      </c>
      <c r="G973" s="22" t="str">
        <f>IFERROR(__xludf.DUMMYFUNCTION("IFERROR(VALUE(REGEXEXTRACT(C973,""(\d+)\s*/\s*\d+"")),"""")"),"")</f>
        <v/>
      </c>
      <c r="H973" s="22" t="str">
        <f>IFERROR(__xludf.DUMMYFUNCTION("IFERROR(VALUE(REGEXEXTRACT(C973,""\d+\s*/\s*(\d+)"")),"""")"),"")</f>
        <v/>
      </c>
      <c r="I973" s="22" t="str">
        <f t="shared" si="2"/>
        <v/>
      </c>
      <c r="J973" s="34" t="str">
        <f t="shared" si="3"/>
        <v/>
      </c>
    </row>
    <row r="974" ht="15.75" customHeight="1">
      <c r="A974" s="32" t="s">
        <v>113</v>
      </c>
      <c r="B974" s="32" t="str">
        <f>IF(MOV_CC_NACIONAL!A974="","",MOV_CC_NACIONAL!A974)</f>
        <v/>
      </c>
      <c r="C974" s="32" t="str">
        <f>IF(MOV_CC_NACIONAL!B974="","",MOV_CC_NACIONAL!B974)</f>
        <v/>
      </c>
      <c r="D974" s="33" t="str">
        <f>IF(MOV_CC_NACIONAL!C974="","",MOV_CC_NACIONAL!C974)</f>
        <v/>
      </c>
      <c r="E974" s="32" t="str">
        <f t="shared" si="1"/>
        <v/>
      </c>
      <c r="F974" s="32" t="str">
        <f>IFERROR(__xludf.DUMMYFUNCTION("IF(C974="""","""", OR(REGEXMATCH(LOWER(C974),""cuota""), REGEXMATCH(C974,""\d+\s*/\s*\d+"")))"),"")</f>
        <v/>
      </c>
      <c r="G974" s="32" t="str">
        <f>IFERROR(__xludf.DUMMYFUNCTION("IFERROR(VALUE(REGEXEXTRACT(C974,""(\d+)\s*/\s*\d+"")),"""")"),"")</f>
        <v/>
      </c>
      <c r="H974" s="32" t="str">
        <f>IFERROR(__xludf.DUMMYFUNCTION("IFERROR(VALUE(REGEXEXTRACT(C974,""\d+\s*/\s*(\d+)"")),"""")"),"")</f>
        <v/>
      </c>
      <c r="I974" s="32" t="str">
        <f t="shared" si="2"/>
        <v/>
      </c>
      <c r="J974" s="33" t="str">
        <f t="shared" si="3"/>
        <v/>
      </c>
    </row>
    <row r="975" ht="15.75" customHeight="1">
      <c r="A975" s="22" t="s">
        <v>113</v>
      </c>
      <c r="B975" s="22" t="str">
        <f>IF(MOV_CC_NACIONAL!A975="","",MOV_CC_NACIONAL!A975)</f>
        <v/>
      </c>
      <c r="C975" s="22" t="str">
        <f>IF(MOV_CC_NACIONAL!B975="","",MOV_CC_NACIONAL!B975)</f>
        <v/>
      </c>
      <c r="D975" s="34" t="str">
        <f>IF(MOV_CC_NACIONAL!C975="","",MOV_CC_NACIONAL!C975)</f>
        <v/>
      </c>
      <c r="E975" s="22" t="str">
        <f t="shared" si="1"/>
        <v/>
      </c>
      <c r="F975" s="22" t="str">
        <f>IFERROR(__xludf.DUMMYFUNCTION("IF(C975="""","""", OR(REGEXMATCH(LOWER(C975),""cuota""), REGEXMATCH(C975,""\d+\s*/\s*\d+"")))"),"")</f>
        <v/>
      </c>
      <c r="G975" s="22" t="str">
        <f>IFERROR(__xludf.DUMMYFUNCTION("IFERROR(VALUE(REGEXEXTRACT(C975,""(\d+)\s*/\s*\d+"")),"""")"),"")</f>
        <v/>
      </c>
      <c r="H975" s="22" t="str">
        <f>IFERROR(__xludf.DUMMYFUNCTION("IFERROR(VALUE(REGEXEXTRACT(C975,""\d+\s*/\s*(\d+)"")),"""")"),"")</f>
        <v/>
      </c>
      <c r="I975" s="22" t="str">
        <f t="shared" si="2"/>
        <v/>
      </c>
      <c r="J975" s="34" t="str">
        <f t="shared" si="3"/>
        <v/>
      </c>
    </row>
    <row r="976" ht="15.75" customHeight="1">
      <c r="A976" s="32" t="s">
        <v>113</v>
      </c>
      <c r="B976" s="32" t="str">
        <f>IF(MOV_CC_NACIONAL!A976="","",MOV_CC_NACIONAL!A976)</f>
        <v/>
      </c>
      <c r="C976" s="32" t="str">
        <f>IF(MOV_CC_NACIONAL!B976="","",MOV_CC_NACIONAL!B976)</f>
        <v/>
      </c>
      <c r="D976" s="33" t="str">
        <f>IF(MOV_CC_NACIONAL!C976="","",MOV_CC_NACIONAL!C976)</f>
        <v/>
      </c>
      <c r="E976" s="32" t="str">
        <f t="shared" si="1"/>
        <v/>
      </c>
      <c r="F976" s="32" t="str">
        <f>IFERROR(__xludf.DUMMYFUNCTION("IF(C976="""","""", OR(REGEXMATCH(LOWER(C976),""cuota""), REGEXMATCH(C976,""\d+\s*/\s*\d+"")))"),"")</f>
        <v/>
      </c>
      <c r="G976" s="32" t="str">
        <f>IFERROR(__xludf.DUMMYFUNCTION("IFERROR(VALUE(REGEXEXTRACT(C976,""(\d+)\s*/\s*\d+"")),"""")"),"")</f>
        <v/>
      </c>
      <c r="H976" s="32" t="str">
        <f>IFERROR(__xludf.DUMMYFUNCTION("IFERROR(VALUE(REGEXEXTRACT(C976,""\d+\s*/\s*(\d+)"")),"""")"),"")</f>
        <v/>
      </c>
      <c r="I976" s="32" t="str">
        <f t="shared" si="2"/>
        <v/>
      </c>
      <c r="J976" s="33" t="str">
        <f t="shared" si="3"/>
        <v/>
      </c>
    </row>
    <row r="977" ht="15.75" customHeight="1">
      <c r="A977" s="22" t="s">
        <v>113</v>
      </c>
      <c r="B977" s="22" t="str">
        <f>IF(MOV_CC_NACIONAL!A977="","",MOV_CC_NACIONAL!A977)</f>
        <v/>
      </c>
      <c r="C977" s="22" t="str">
        <f>IF(MOV_CC_NACIONAL!B977="","",MOV_CC_NACIONAL!B977)</f>
        <v/>
      </c>
      <c r="D977" s="34" t="str">
        <f>IF(MOV_CC_NACIONAL!C977="","",MOV_CC_NACIONAL!C977)</f>
        <v/>
      </c>
      <c r="E977" s="22" t="str">
        <f t="shared" si="1"/>
        <v/>
      </c>
      <c r="F977" s="22" t="str">
        <f>IFERROR(__xludf.DUMMYFUNCTION("IF(C977="""","""", OR(REGEXMATCH(LOWER(C977),""cuota""), REGEXMATCH(C977,""\d+\s*/\s*\d+"")))"),"")</f>
        <v/>
      </c>
      <c r="G977" s="22" t="str">
        <f>IFERROR(__xludf.DUMMYFUNCTION("IFERROR(VALUE(REGEXEXTRACT(C977,""(\d+)\s*/\s*\d+"")),"""")"),"")</f>
        <v/>
      </c>
      <c r="H977" s="22" t="str">
        <f>IFERROR(__xludf.DUMMYFUNCTION("IFERROR(VALUE(REGEXEXTRACT(C977,""\d+\s*/\s*(\d+)"")),"""")"),"")</f>
        <v/>
      </c>
      <c r="I977" s="22" t="str">
        <f t="shared" si="2"/>
        <v/>
      </c>
      <c r="J977" s="34" t="str">
        <f t="shared" si="3"/>
        <v/>
      </c>
    </row>
    <row r="978" ht="15.75" customHeight="1">
      <c r="A978" s="32" t="s">
        <v>113</v>
      </c>
      <c r="B978" s="32" t="str">
        <f>IF(MOV_CC_NACIONAL!A978="","",MOV_CC_NACIONAL!A978)</f>
        <v/>
      </c>
      <c r="C978" s="32" t="str">
        <f>IF(MOV_CC_NACIONAL!B978="","",MOV_CC_NACIONAL!B978)</f>
        <v/>
      </c>
      <c r="D978" s="33" t="str">
        <f>IF(MOV_CC_NACIONAL!C978="","",MOV_CC_NACIONAL!C978)</f>
        <v/>
      </c>
      <c r="E978" s="32" t="str">
        <f t="shared" si="1"/>
        <v/>
      </c>
      <c r="F978" s="32" t="str">
        <f>IFERROR(__xludf.DUMMYFUNCTION("IF(C978="""","""", OR(REGEXMATCH(LOWER(C978),""cuota""), REGEXMATCH(C978,""\d+\s*/\s*\d+"")))"),"")</f>
        <v/>
      </c>
      <c r="G978" s="32" t="str">
        <f>IFERROR(__xludf.DUMMYFUNCTION("IFERROR(VALUE(REGEXEXTRACT(C978,""(\d+)\s*/\s*\d+"")),"""")"),"")</f>
        <v/>
      </c>
      <c r="H978" s="32" t="str">
        <f>IFERROR(__xludf.DUMMYFUNCTION("IFERROR(VALUE(REGEXEXTRACT(C978,""\d+\s*/\s*(\d+)"")),"""")"),"")</f>
        <v/>
      </c>
      <c r="I978" s="32" t="str">
        <f t="shared" si="2"/>
        <v/>
      </c>
      <c r="J978" s="33" t="str">
        <f t="shared" si="3"/>
        <v/>
      </c>
    </row>
    <row r="979" ht="15.75" customHeight="1">
      <c r="A979" s="22" t="s">
        <v>113</v>
      </c>
      <c r="B979" s="22" t="str">
        <f>IF(MOV_CC_NACIONAL!A979="","",MOV_CC_NACIONAL!A979)</f>
        <v/>
      </c>
      <c r="C979" s="22" t="str">
        <f>IF(MOV_CC_NACIONAL!B979="","",MOV_CC_NACIONAL!B979)</f>
        <v/>
      </c>
      <c r="D979" s="34" t="str">
        <f>IF(MOV_CC_NACIONAL!C979="","",MOV_CC_NACIONAL!C979)</f>
        <v/>
      </c>
      <c r="E979" s="22" t="str">
        <f t="shared" si="1"/>
        <v/>
      </c>
      <c r="F979" s="22" t="str">
        <f>IFERROR(__xludf.DUMMYFUNCTION("IF(C979="""","""", OR(REGEXMATCH(LOWER(C979),""cuota""), REGEXMATCH(C979,""\d+\s*/\s*\d+"")))"),"")</f>
        <v/>
      </c>
      <c r="G979" s="22" t="str">
        <f>IFERROR(__xludf.DUMMYFUNCTION("IFERROR(VALUE(REGEXEXTRACT(C979,""(\d+)\s*/\s*\d+"")),"""")"),"")</f>
        <v/>
      </c>
      <c r="H979" s="22" t="str">
        <f>IFERROR(__xludf.DUMMYFUNCTION("IFERROR(VALUE(REGEXEXTRACT(C979,""\d+\s*/\s*(\d+)"")),"""")"),"")</f>
        <v/>
      </c>
      <c r="I979" s="22" t="str">
        <f t="shared" si="2"/>
        <v/>
      </c>
      <c r="J979" s="34" t="str">
        <f t="shared" si="3"/>
        <v/>
      </c>
    </row>
    <row r="980" ht="15.75" customHeight="1">
      <c r="A980" s="32" t="s">
        <v>113</v>
      </c>
      <c r="B980" s="32" t="str">
        <f>IF(MOV_CC_NACIONAL!A980="","",MOV_CC_NACIONAL!A980)</f>
        <v/>
      </c>
      <c r="C980" s="32" t="str">
        <f>IF(MOV_CC_NACIONAL!B980="","",MOV_CC_NACIONAL!B980)</f>
        <v/>
      </c>
      <c r="D980" s="33" t="str">
        <f>IF(MOV_CC_NACIONAL!C980="","",MOV_CC_NACIONAL!C980)</f>
        <v/>
      </c>
      <c r="E980" s="32" t="str">
        <f t="shared" si="1"/>
        <v/>
      </c>
      <c r="F980" s="32" t="str">
        <f>IFERROR(__xludf.DUMMYFUNCTION("IF(C980="""","""", OR(REGEXMATCH(LOWER(C980),""cuota""), REGEXMATCH(C980,""\d+\s*/\s*\d+"")))"),"")</f>
        <v/>
      </c>
      <c r="G980" s="32" t="str">
        <f>IFERROR(__xludf.DUMMYFUNCTION("IFERROR(VALUE(REGEXEXTRACT(C980,""(\d+)\s*/\s*\d+"")),"""")"),"")</f>
        <v/>
      </c>
      <c r="H980" s="32" t="str">
        <f>IFERROR(__xludf.DUMMYFUNCTION("IFERROR(VALUE(REGEXEXTRACT(C980,""\d+\s*/\s*(\d+)"")),"""")"),"")</f>
        <v/>
      </c>
      <c r="I980" s="32" t="str">
        <f t="shared" si="2"/>
        <v/>
      </c>
      <c r="J980" s="33" t="str">
        <f t="shared" si="3"/>
        <v/>
      </c>
    </row>
    <row r="981" ht="15.75" customHeight="1">
      <c r="A981" s="22" t="s">
        <v>113</v>
      </c>
      <c r="B981" s="22" t="str">
        <f>IF(MOV_CC_NACIONAL!A981="","",MOV_CC_NACIONAL!A981)</f>
        <v/>
      </c>
      <c r="C981" s="22" t="str">
        <f>IF(MOV_CC_NACIONAL!B981="","",MOV_CC_NACIONAL!B981)</f>
        <v/>
      </c>
      <c r="D981" s="34" t="str">
        <f>IF(MOV_CC_NACIONAL!C981="","",MOV_CC_NACIONAL!C981)</f>
        <v/>
      </c>
      <c r="E981" s="22" t="str">
        <f t="shared" si="1"/>
        <v/>
      </c>
      <c r="F981" s="22" t="str">
        <f>IFERROR(__xludf.DUMMYFUNCTION("IF(C981="""","""", OR(REGEXMATCH(LOWER(C981),""cuota""), REGEXMATCH(C981,""\d+\s*/\s*\d+"")))"),"")</f>
        <v/>
      </c>
      <c r="G981" s="22" t="str">
        <f>IFERROR(__xludf.DUMMYFUNCTION("IFERROR(VALUE(REGEXEXTRACT(C981,""(\d+)\s*/\s*\d+"")),"""")"),"")</f>
        <v/>
      </c>
      <c r="H981" s="22" t="str">
        <f>IFERROR(__xludf.DUMMYFUNCTION("IFERROR(VALUE(REGEXEXTRACT(C981,""\d+\s*/\s*(\d+)"")),"""")"),"")</f>
        <v/>
      </c>
      <c r="I981" s="22" t="str">
        <f t="shared" si="2"/>
        <v/>
      </c>
      <c r="J981" s="34" t="str">
        <f t="shared" si="3"/>
        <v/>
      </c>
    </row>
    <row r="982" ht="15.75" customHeight="1">
      <c r="A982" s="32" t="s">
        <v>113</v>
      </c>
      <c r="B982" s="32" t="str">
        <f>IF(MOV_CC_NACIONAL!A982="","",MOV_CC_NACIONAL!A982)</f>
        <v/>
      </c>
      <c r="C982" s="32" t="str">
        <f>IF(MOV_CC_NACIONAL!B982="","",MOV_CC_NACIONAL!B982)</f>
        <v/>
      </c>
      <c r="D982" s="33" t="str">
        <f>IF(MOV_CC_NACIONAL!C982="","",MOV_CC_NACIONAL!C982)</f>
        <v/>
      </c>
      <c r="E982" s="32" t="str">
        <f t="shared" si="1"/>
        <v/>
      </c>
      <c r="F982" s="32" t="str">
        <f>IFERROR(__xludf.DUMMYFUNCTION("IF(C982="""","""", OR(REGEXMATCH(LOWER(C982),""cuota""), REGEXMATCH(C982,""\d+\s*/\s*\d+"")))"),"")</f>
        <v/>
      </c>
      <c r="G982" s="32" t="str">
        <f>IFERROR(__xludf.DUMMYFUNCTION("IFERROR(VALUE(REGEXEXTRACT(C982,""(\d+)\s*/\s*\d+"")),"""")"),"")</f>
        <v/>
      </c>
      <c r="H982" s="32" t="str">
        <f>IFERROR(__xludf.DUMMYFUNCTION("IFERROR(VALUE(REGEXEXTRACT(C982,""\d+\s*/\s*(\d+)"")),"""")"),"")</f>
        <v/>
      </c>
      <c r="I982" s="32" t="str">
        <f t="shared" si="2"/>
        <v/>
      </c>
      <c r="J982" s="33" t="str">
        <f t="shared" si="3"/>
        <v/>
      </c>
    </row>
    <row r="983" ht="15.75" customHeight="1">
      <c r="A983" s="22" t="s">
        <v>113</v>
      </c>
      <c r="B983" s="22" t="str">
        <f>IF(MOV_CC_NACIONAL!A983="","",MOV_CC_NACIONAL!A983)</f>
        <v/>
      </c>
      <c r="C983" s="22" t="str">
        <f>IF(MOV_CC_NACIONAL!B983="","",MOV_CC_NACIONAL!B983)</f>
        <v/>
      </c>
      <c r="D983" s="34" t="str">
        <f>IF(MOV_CC_NACIONAL!C983="","",MOV_CC_NACIONAL!C983)</f>
        <v/>
      </c>
      <c r="E983" s="22" t="str">
        <f t="shared" si="1"/>
        <v/>
      </c>
      <c r="F983" s="22" t="str">
        <f>IFERROR(__xludf.DUMMYFUNCTION("IF(C983="""","""", OR(REGEXMATCH(LOWER(C983),""cuota""), REGEXMATCH(C983,""\d+\s*/\s*\d+"")))"),"")</f>
        <v/>
      </c>
      <c r="G983" s="22" t="str">
        <f>IFERROR(__xludf.DUMMYFUNCTION("IFERROR(VALUE(REGEXEXTRACT(C983,""(\d+)\s*/\s*\d+"")),"""")"),"")</f>
        <v/>
      </c>
      <c r="H983" s="22" t="str">
        <f>IFERROR(__xludf.DUMMYFUNCTION("IFERROR(VALUE(REGEXEXTRACT(C983,""\d+\s*/\s*(\d+)"")),"""")"),"")</f>
        <v/>
      </c>
      <c r="I983" s="22" t="str">
        <f t="shared" si="2"/>
        <v/>
      </c>
      <c r="J983" s="34" t="str">
        <f t="shared" si="3"/>
        <v/>
      </c>
    </row>
    <row r="984" ht="15.75" customHeight="1">
      <c r="A984" s="32" t="s">
        <v>113</v>
      </c>
      <c r="B984" s="32" t="str">
        <f>IF(MOV_CC_NACIONAL!A984="","",MOV_CC_NACIONAL!A984)</f>
        <v/>
      </c>
      <c r="C984" s="32" t="str">
        <f>IF(MOV_CC_NACIONAL!B984="","",MOV_CC_NACIONAL!B984)</f>
        <v/>
      </c>
      <c r="D984" s="33" t="str">
        <f>IF(MOV_CC_NACIONAL!C984="","",MOV_CC_NACIONAL!C984)</f>
        <v/>
      </c>
      <c r="E984" s="32" t="str">
        <f t="shared" si="1"/>
        <v/>
      </c>
      <c r="F984" s="32" t="str">
        <f>IFERROR(__xludf.DUMMYFUNCTION("IF(C984="""","""", OR(REGEXMATCH(LOWER(C984),""cuota""), REGEXMATCH(C984,""\d+\s*/\s*\d+"")))"),"")</f>
        <v/>
      </c>
      <c r="G984" s="32" t="str">
        <f>IFERROR(__xludf.DUMMYFUNCTION("IFERROR(VALUE(REGEXEXTRACT(C984,""(\d+)\s*/\s*\d+"")),"""")"),"")</f>
        <v/>
      </c>
      <c r="H984" s="32" t="str">
        <f>IFERROR(__xludf.DUMMYFUNCTION("IFERROR(VALUE(REGEXEXTRACT(C984,""\d+\s*/\s*(\d+)"")),"""")"),"")</f>
        <v/>
      </c>
      <c r="I984" s="32" t="str">
        <f t="shared" si="2"/>
        <v/>
      </c>
      <c r="J984" s="33" t="str">
        <f t="shared" si="3"/>
        <v/>
      </c>
    </row>
    <row r="985" ht="15.75" customHeight="1">
      <c r="A985" s="22" t="s">
        <v>113</v>
      </c>
      <c r="B985" s="22" t="str">
        <f>IF(MOV_CC_NACIONAL!A985="","",MOV_CC_NACIONAL!A985)</f>
        <v/>
      </c>
      <c r="C985" s="22" t="str">
        <f>IF(MOV_CC_NACIONAL!B985="","",MOV_CC_NACIONAL!B985)</f>
        <v/>
      </c>
      <c r="D985" s="34" t="str">
        <f>IF(MOV_CC_NACIONAL!C985="","",MOV_CC_NACIONAL!C985)</f>
        <v/>
      </c>
      <c r="E985" s="22" t="str">
        <f t="shared" si="1"/>
        <v/>
      </c>
      <c r="F985" s="22" t="str">
        <f>IFERROR(__xludf.DUMMYFUNCTION("IF(C985="""","""", OR(REGEXMATCH(LOWER(C985),""cuota""), REGEXMATCH(C985,""\d+\s*/\s*\d+"")))"),"")</f>
        <v/>
      </c>
      <c r="G985" s="22" t="str">
        <f>IFERROR(__xludf.DUMMYFUNCTION("IFERROR(VALUE(REGEXEXTRACT(C985,""(\d+)\s*/\s*\d+"")),"""")"),"")</f>
        <v/>
      </c>
      <c r="H985" s="22" t="str">
        <f>IFERROR(__xludf.DUMMYFUNCTION("IFERROR(VALUE(REGEXEXTRACT(C985,""\d+\s*/\s*(\d+)"")),"""")"),"")</f>
        <v/>
      </c>
      <c r="I985" s="22" t="str">
        <f t="shared" si="2"/>
        <v/>
      </c>
      <c r="J985" s="34" t="str">
        <f t="shared" si="3"/>
        <v/>
      </c>
    </row>
    <row r="986" ht="15.75" customHeight="1">
      <c r="A986" s="32" t="s">
        <v>113</v>
      </c>
      <c r="B986" s="32" t="str">
        <f>IF(MOV_CC_NACIONAL!A986="","",MOV_CC_NACIONAL!A986)</f>
        <v/>
      </c>
      <c r="C986" s="32" t="str">
        <f>IF(MOV_CC_NACIONAL!B986="","",MOV_CC_NACIONAL!B986)</f>
        <v/>
      </c>
      <c r="D986" s="33" t="str">
        <f>IF(MOV_CC_NACIONAL!C986="","",MOV_CC_NACIONAL!C986)</f>
        <v/>
      </c>
      <c r="E986" s="32" t="str">
        <f t="shared" si="1"/>
        <v/>
      </c>
      <c r="F986" s="32" t="str">
        <f>IFERROR(__xludf.DUMMYFUNCTION("IF(C986="""","""", OR(REGEXMATCH(LOWER(C986),""cuota""), REGEXMATCH(C986,""\d+\s*/\s*\d+"")))"),"")</f>
        <v/>
      </c>
      <c r="G986" s="32" t="str">
        <f>IFERROR(__xludf.DUMMYFUNCTION("IFERROR(VALUE(REGEXEXTRACT(C986,""(\d+)\s*/\s*\d+"")),"""")"),"")</f>
        <v/>
      </c>
      <c r="H986" s="32" t="str">
        <f>IFERROR(__xludf.DUMMYFUNCTION("IFERROR(VALUE(REGEXEXTRACT(C986,""\d+\s*/\s*(\d+)"")),"""")"),"")</f>
        <v/>
      </c>
      <c r="I986" s="32" t="str">
        <f t="shared" si="2"/>
        <v/>
      </c>
      <c r="J986" s="33" t="str">
        <f t="shared" si="3"/>
        <v/>
      </c>
    </row>
    <row r="987" ht="15.75" customHeight="1">
      <c r="A987" s="22" t="s">
        <v>113</v>
      </c>
      <c r="B987" s="22" t="str">
        <f>IF(MOV_CC_NACIONAL!A987="","",MOV_CC_NACIONAL!A987)</f>
        <v/>
      </c>
      <c r="C987" s="22" t="str">
        <f>IF(MOV_CC_NACIONAL!B987="","",MOV_CC_NACIONAL!B987)</f>
        <v/>
      </c>
      <c r="D987" s="34" t="str">
        <f>IF(MOV_CC_NACIONAL!C987="","",MOV_CC_NACIONAL!C987)</f>
        <v/>
      </c>
      <c r="E987" s="22" t="str">
        <f t="shared" si="1"/>
        <v/>
      </c>
      <c r="F987" s="22" t="str">
        <f>IFERROR(__xludf.DUMMYFUNCTION("IF(C987="""","""", OR(REGEXMATCH(LOWER(C987),""cuota""), REGEXMATCH(C987,""\d+\s*/\s*\d+"")))"),"")</f>
        <v/>
      </c>
      <c r="G987" s="22" t="str">
        <f>IFERROR(__xludf.DUMMYFUNCTION("IFERROR(VALUE(REGEXEXTRACT(C987,""(\d+)\s*/\s*\d+"")),"""")"),"")</f>
        <v/>
      </c>
      <c r="H987" s="22" t="str">
        <f>IFERROR(__xludf.DUMMYFUNCTION("IFERROR(VALUE(REGEXEXTRACT(C987,""\d+\s*/\s*(\d+)"")),"""")"),"")</f>
        <v/>
      </c>
      <c r="I987" s="22" t="str">
        <f t="shared" si="2"/>
        <v/>
      </c>
      <c r="J987" s="34" t="str">
        <f t="shared" si="3"/>
        <v/>
      </c>
    </row>
    <row r="988" ht="15.75" customHeight="1">
      <c r="A988" s="32" t="s">
        <v>113</v>
      </c>
      <c r="B988" s="32" t="str">
        <f>IF(MOV_CC_NACIONAL!A988="","",MOV_CC_NACIONAL!A988)</f>
        <v/>
      </c>
      <c r="C988" s="32" t="str">
        <f>IF(MOV_CC_NACIONAL!B988="","",MOV_CC_NACIONAL!B988)</f>
        <v/>
      </c>
      <c r="D988" s="33" t="str">
        <f>IF(MOV_CC_NACIONAL!C988="","",MOV_CC_NACIONAL!C988)</f>
        <v/>
      </c>
      <c r="E988" s="32" t="str">
        <f t="shared" si="1"/>
        <v/>
      </c>
      <c r="F988" s="32" t="str">
        <f>IFERROR(__xludf.DUMMYFUNCTION("IF(C988="""","""", OR(REGEXMATCH(LOWER(C988),""cuota""), REGEXMATCH(C988,""\d+\s*/\s*\d+"")))"),"")</f>
        <v/>
      </c>
      <c r="G988" s="32" t="str">
        <f>IFERROR(__xludf.DUMMYFUNCTION("IFERROR(VALUE(REGEXEXTRACT(C988,""(\d+)\s*/\s*\d+"")),"""")"),"")</f>
        <v/>
      </c>
      <c r="H988" s="32" t="str">
        <f>IFERROR(__xludf.DUMMYFUNCTION("IFERROR(VALUE(REGEXEXTRACT(C988,""\d+\s*/\s*(\d+)"")),"""")"),"")</f>
        <v/>
      </c>
      <c r="I988" s="32" t="str">
        <f t="shared" si="2"/>
        <v/>
      </c>
      <c r="J988" s="33" t="str">
        <f t="shared" si="3"/>
        <v/>
      </c>
    </row>
    <row r="989" ht="15.75" customHeight="1">
      <c r="A989" s="22" t="s">
        <v>113</v>
      </c>
      <c r="B989" s="22" t="str">
        <f>IF(MOV_CC_NACIONAL!A989="","",MOV_CC_NACIONAL!A989)</f>
        <v/>
      </c>
      <c r="C989" s="22" t="str">
        <f>IF(MOV_CC_NACIONAL!B989="","",MOV_CC_NACIONAL!B989)</f>
        <v/>
      </c>
      <c r="D989" s="34" t="str">
        <f>IF(MOV_CC_NACIONAL!C989="","",MOV_CC_NACIONAL!C989)</f>
        <v/>
      </c>
      <c r="E989" s="22" t="str">
        <f t="shared" si="1"/>
        <v/>
      </c>
      <c r="F989" s="22" t="str">
        <f>IFERROR(__xludf.DUMMYFUNCTION("IF(C989="""","""", OR(REGEXMATCH(LOWER(C989),""cuota""), REGEXMATCH(C989,""\d+\s*/\s*\d+"")))"),"")</f>
        <v/>
      </c>
      <c r="G989" s="22" t="str">
        <f>IFERROR(__xludf.DUMMYFUNCTION("IFERROR(VALUE(REGEXEXTRACT(C989,""(\d+)\s*/\s*\d+"")),"""")"),"")</f>
        <v/>
      </c>
      <c r="H989" s="22" t="str">
        <f>IFERROR(__xludf.DUMMYFUNCTION("IFERROR(VALUE(REGEXEXTRACT(C989,""\d+\s*/\s*(\d+)"")),"""")"),"")</f>
        <v/>
      </c>
      <c r="I989" s="22" t="str">
        <f t="shared" si="2"/>
        <v/>
      </c>
      <c r="J989" s="34" t="str">
        <f t="shared" si="3"/>
        <v/>
      </c>
    </row>
    <row r="990" ht="15.75" customHeight="1">
      <c r="A990" s="32" t="s">
        <v>113</v>
      </c>
      <c r="B990" s="32" t="str">
        <f>IF(MOV_CC_NACIONAL!A990="","",MOV_CC_NACIONAL!A990)</f>
        <v/>
      </c>
      <c r="C990" s="32" t="str">
        <f>IF(MOV_CC_NACIONAL!B990="","",MOV_CC_NACIONAL!B990)</f>
        <v/>
      </c>
      <c r="D990" s="33" t="str">
        <f>IF(MOV_CC_NACIONAL!C990="","",MOV_CC_NACIONAL!C990)</f>
        <v/>
      </c>
      <c r="E990" s="32" t="str">
        <f t="shared" si="1"/>
        <v/>
      </c>
      <c r="F990" s="32" t="str">
        <f>IFERROR(__xludf.DUMMYFUNCTION("IF(C990="""","""", OR(REGEXMATCH(LOWER(C990),""cuota""), REGEXMATCH(C990,""\d+\s*/\s*\d+"")))"),"")</f>
        <v/>
      </c>
      <c r="G990" s="32" t="str">
        <f>IFERROR(__xludf.DUMMYFUNCTION("IFERROR(VALUE(REGEXEXTRACT(C990,""(\d+)\s*/\s*\d+"")),"""")"),"")</f>
        <v/>
      </c>
      <c r="H990" s="32" t="str">
        <f>IFERROR(__xludf.DUMMYFUNCTION("IFERROR(VALUE(REGEXEXTRACT(C990,""\d+\s*/\s*(\d+)"")),"""")"),"")</f>
        <v/>
      </c>
      <c r="I990" s="32" t="str">
        <f t="shared" si="2"/>
        <v/>
      </c>
      <c r="J990" s="33" t="str">
        <f t="shared" si="3"/>
        <v/>
      </c>
    </row>
    <row r="991" ht="15.75" customHeight="1">
      <c r="A991" s="22" t="s">
        <v>113</v>
      </c>
      <c r="B991" s="22" t="str">
        <f>IF(MOV_CC_NACIONAL!A991="","",MOV_CC_NACIONAL!A991)</f>
        <v/>
      </c>
      <c r="C991" s="22" t="str">
        <f>IF(MOV_CC_NACIONAL!B991="","",MOV_CC_NACIONAL!B991)</f>
        <v/>
      </c>
      <c r="D991" s="34" t="str">
        <f>IF(MOV_CC_NACIONAL!C991="","",MOV_CC_NACIONAL!C991)</f>
        <v/>
      </c>
      <c r="E991" s="22" t="str">
        <f t="shared" si="1"/>
        <v/>
      </c>
      <c r="F991" s="22" t="str">
        <f>IFERROR(__xludf.DUMMYFUNCTION("IF(C991="""","""", OR(REGEXMATCH(LOWER(C991),""cuota""), REGEXMATCH(C991,""\d+\s*/\s*\d+"")))"),"")</f>
        <v/>
      </c>
      <c r="G991" s="22" t="str">
        <f>IFERROR(__xludf.DUMMYFUNCTION("IFERROR(VALUE(REGEXEXTRACT(C991,""(\d+)\s*/\s*\d+"")),"""")"),"")</f>
        <v/>
      </c>
      <c r="H991" s="22" t="str">
        <f>IFERROR(__xludf.DUMMYFUNCTION("IFERROR(VALUE(REGEXEXTRACT(C991,""\d+\s*/\s*(\d+)"")),"""")"),"")</f>
        <v/>
      </c>
      <c r="I991" s="22" t="str">
        <f t="shared" si="2"/>
        <v/>
      </c>
      <c r="J991" s="34" t="str">
        <f t="shared" si="3"/>
        <v/>
      </c>
    </row>
    <row r="992" ht="15.75" customHeight="1">
      <c r="A992" s="32" t="s">
        <v>113</v>
      </c>
      <c r="B992" s="32" t="str">
        <f>IF(MOV_CC_NACIONAL!A992="","",MOV_CC_NACIONAL!A992)</f>
        <v/>
      </c>
      <c r="C992" s="32" t="str">
        <f>IF(MOV_CC_NACIONAL!B992="","",MOV_CC_NACIONAL!B992)</f>
        <v/>
      </c>
      <c r="D992" s="33" t="str">
        <f>IF(MOV_CC_NACIONAL!C992="","",MOV_CC_NACIONAL!C992)</f>
        <v/>
      </c>
      <c r="E992" s="32" t="str">
        <f t="shared" si="1"/>
        <v/>
      </c>
      <c r="F992" s="32" t="str">
        <f>IFERROR(__xludf.DUMMYFUNCTION("IF(C992="""","""", OR(REGEXMATCH(LOWER(C992),""cuota""), REGEXMATCH(C992,""\d+\s*/\s*\d+"")))"),"")</f>
        <v/>
      </c>
      <c r="G992" s="32" t="str">
        <f>IFERROR(__xludf.DUMMYFUNCTION("IFERROR(VALUE(REGEXEXTRACT(C992,""(\d+)\s*/\s*\d+"")),"""")"),"")</f>
        <v/>
      </c>
      <c r="H992" s="32" t="str">
        <f>IFERROR(__xludf.DUMMYFUNCTION("IFERROR(VALUE(REGEXEXTRACT(C992,""\d+\s*/\s*(\d+)"")),"""")"),"")</f>
        <v/>
      </c>
      <c r="I992" s="32" t="str">
        <f t="shared" si="2"/>
        <v/>
      </c>
      <c r="J992" s="33" t="str">
        <f t="shared" si="3"/>
        <v/>
      </c>
    </row>
    <row r="993" ht="15.75" customHeight="1">
      <c r="A993" s="22" t="s">
        <v>113</v>
      </c>
      <c r="B993" s="22" t="str">
        <f>IF(MOV_CC_NACIONAL!A993="","",MOV_CC_NACIONAL!A993)</f>
        <v/>
      </c>
      <c r="C993" s="22" t="str">
        <f>IF(MOV_CC_NACIONAL!B993="","",MOV_CC_NACIONAL!B993)</f>
        <v/>
      </c>
      <c r="D993" s="34" t="str">
        <f>IF(MOV_CC_NACIONAL!C993="","",MOV_CC_NACIONAL!C993)</f>
        <v/>
      </c>
      <c r="E993" s="22" t="str">
        <f t="shared" si="1"/>
        <v/>
      </c>
      <c r="F993" s="22" t="str">
        <f>IFERROR(__xludf.DUMMYFUNCTION("IF(C993="""","""", OR(REGEXMATCH(LOWER(C993),""cuota""), REGEXMATCH(C993,""\d+\s*/\s*\d+"")))"),"")</f>
        <v/>
      </c>
      <c r="G993" s="22" t="str">
        <f>IFERROR(__xludf.DUMMYFUNCTION("IFERROR(VALUE(REGEXEXTRACT(C993,""(\d+)\s*/\s*\d+"")),"""")"),"")</f>
        <v/>
      </c>
      <c r="H993" s="22" t="str">
        <f>IFERROR(__xludf.DUMMYFUNCTION("IFERROR(VALUE(REGEXEXTRACT(C993,""\d+\s*/\s*(\d+)"")),"""")"),"")</f>
        <v/>
      </c>
      <c r="I993" s="22" t="str">
        <f t="shared" si="2"/>
        <v/>
      </c>
      <c r="J993" s="34" t="str">
        <f t="shared" si="3"/>
        <v/>
      </c>
    </row>
    <row r="994" ht="15.75" customHeight="1">
      <c r="A994" s="32" t="s">
        <v>113</v>
      </c>
      <c r="B994" s="32" t="str">
        <f>IF(MOV_CC_NACIONAL!A994="","",MOV_CC_NACIONAL!A994)</f>
        <v/>
      </c>
      <c r="C994" s="32" t="str">
        <f>IF(MOV_CC_NACIONAL!B994="","",MOV_CC_NACIONAL!B994)</f>
        <v/>
      </c>
      <c r="D994" s="33" t="str">
        <f>IF(MOV_CC_NACIONAL!C994="","",MOV_CC_NACIONAL!C994)</f>
        <v/>
      </c>
      <c r="E994" s="32" t="str">
        <f t="shared" si="1"/>
        <v/>
      </c>
      <c r="F994" s="32" t="str">
        <f>IFERROR(__xludf.DUMMYFUNCTION("IF(C994="""","""", OR(REGEXMATCH(LOWER(C994),""cuota""), REGEXMATCH(C994,""\d+\s*/\s*\d+"")))"),"")</f>
        <v/>
      </c>
      <c r="G994" s="32" t="str">
        <f>IFERROR(__xludf.DUMMYFUNCTION("IFERROR(VALUE(REGEXEXTRACT(C994,""(\d+)\s*/\s*\d+"")),"""")"),"")</f>
        <v/>
      </c>
      <c r="H994" s="32" t="str">
        <f>IFERROR(__xludf.DUMMYFUNCTION("IFERROR(VALUE(REGEXEXTRACT(C994,""\d+\s*/\s*(\d+)"")),"""")"),"")</f>
        <v/>
      </c>
      <c r="I994" s="32" t="str">
        <f t="shared" si="2"/>
        <v/>
      </c>
      <c r="J994" s="33" t="str">
        <f t="shared" si="3"/>
        <v/>
      </c>
    </row>
    <row r="995" ht="15.75" customHeight="1">
      <c r="A995" s="22" t="s">
        <v>113</v>
      </c>
      <c r="B995" s="22" t="str">
        <f>IF(MOV_CC_NACIONAL!A995="","",MOV_CC_NACIONAL!A995)</f>
        <v/>
      </c>
      <c r="C995" s="22" t="str">
        <f>IF(MOV_CC_NACIONAL!B995="","",MOV_CC_NACIONAL!B995)</f>
        <v/>
      </c>
      <c r="D995" s="34" t="str">
        <f>IF(MOV_CC_NACIONAL!C995="","",MOV_CC_NACIONAL!C995)</f>
        <v/>
      </c>
      <c r="E995" s="22" t="str">
        <f t="shared" si="1"/>
        <v/>
      </c>
      <c r="F995" s="22" t="str">
        <f>IFERROR(__xludf.DUMMYFUNCTION("IF(C995="""","""", OR(REGEXMATCH(LOWER(C995),""cuota""), REGEXMATCH(C995,""\d+\s*/\s*\d+"")))"),"")</f>
        <v/>
      </c>
      <c r="G995" s="22" t="str">
        <f>IFERROR(__xludf.DUMMYFUNCTION("IFERROR(VALUE(REGEXEXTRACT(C995,""(\d+)\s*/\s*\d+"")),"""")"),"")</f>
        <v/>
      </c>
      <c r="H995" s="22" t="str">
        <f>IFERROR(__xludf.DUMMYFUNCTION("IFERROR(VALUE(REGEXEXTRACT(C995,""\d+\s*/\s*(\d+)"")),"""")"),"")</f>
        <v/>
      </c>
      <c r="I995" s="22" t="str">
        <f t="shared" si="2"/>
        <v/>
      </c>
      <c r="J995" s="34" t="str">
        <f t="shared" si="3"/>
        <v/>
      </c>
    </row>
    <row r="996" ht="15.75" customHeight="1">
      <c r="A996" s="32" t="s">
        <v>113</v>
      </c>
      <c r="B996" s="32" t="str">
        <f>IF(MOV_CC_NACIONAL!A996="","",MOV_CC_NACIONAL!A996)</f>
        <v/>
      </c>
      <c r="C996" s="32" t="str">
        <f>IF(MOV_CC_NACIONAL!B996="","",MOV_CC_NACIONAL!B996)</f>
        <v/>
      </c>
      <c r="D996" s="33" t="str">
        <f>IF(MOV_CC_NACIONAL!C996="","",MOV_CC_NACIONAL!C996)</f>
        <v/>
      </c>
      <c r="E996" s="32" t="str">
        <f t="shared" si="1"/>
        <v/>
      </c>
      <c r="F996" s="32" t="str">
        <f>IFERROR(__xludf.DUMMYFUNCTION("IF(C996="""","""", OR(REGEXMATCH(LOWER(C996),""cuota""), REGEXMATCH(C996,""\d+\s*/\s*\d+"")))"),"")</f>
        <v/>
      </c>
      <c r="G996" s="32" t="str">
        <f>IFERROR(__xludf.DUMMYFUNCTION("IFERROR(VALUE(REGEXEXTRACT(C996,""(\d+)\s*/\s*\d+"")),"""")"),"")</f>
        <v/>
      </c>
      <c r="H996" s="32" t="str">
        <f>IFERROR(__xludf.DUMMYFUNCTION("IFERROR(VALUE(REGEXEXTRACT(C996,""\d+\s*/\s*(\d+)"")),"""")"),"")</f>
        <v/>
      </c>
      <c r="I996" s="32" t="str">
        <f t="shared" si="2"/>
        <v/>
      </c>
      <c r="J996" s="33" t="str">
        <f t="shared" si="3"/>
        <v/>
      </c>
    </row>
    <row r="997" ht="15.75" customHeight="1">
      <c r="A997" s="22" t="s">
        <v>113</v>
      </c>
      <c r="B997" s="22" t="str">
        <f>IF(MOV_CC_NACIONAL!A997="","",MOV_CC_NACIONAL!A997)</f>
        <v/>
      </c>
      <c r="C997" s="22" t="str">
        <f>IF(MOV_CC_NACIONAL!B997="","",MOV_CC_NACIONAL!B997)</f>
        <v/>
      </c>
      <c r="D997" s="34" t="str">
        <f>IF(MOV_CC_NACIONAL!C997="","",MOV_CC_NACIONAL!C997)</f>
        <v/>
      </c>
      <c r="E997" s="22" t="str">
        <f t="shared" si="1"/>
        <v/>
      </c>
      <c r="F997" s="22" t="str">
        <f>IFERROR(__xludf.DUMMYFUNCTION("IF(C997="""","""", OR(REGEXMATCH(LOWER(C997),""cuota""), REGEXMATCH(C997,""\d+\s*/\s*\d+"")))"),"")</f>
        <v/>
      </c>
      <c r="G997" s="22" t="str">
        <f>IFERROR(__xludf.DUMMYFUNCTION("IFERROR(VALUE(REGEXEXTRACT(C997,""(\d+)\s*/\s*\d+"")),"""")"),"")</f>
        <v/>
      </c>
      <c r="H997" s="22" t="str">
        <f>IFERROR(__xludf.DUMMYFUNCTION("IFERROR(VALUE(REGEXEXTRACT(C997,""\d+\s*/\s*(\d+)"")),"""")"),"")</f>
        <v/>
      </c>
      <c r="I997" s="22" t="str">
        <f t="shared" si="2"/>
        <v/>
      </c>
      <c r="J997" s="34" t="str">
        <f t="shared" si="3"/>
        <v/>
      </c>
    </row>
    <row r="998" ht="15.75" customHeight="1">
      <c r="A998" s="32" t="s">
        <v>113</v>
      </c>
      <c r="B998" s="32" t="str">
        <f>IF(MOV_CC_NACIONAL!A998="","",MOV_CC_NACIONAL!A998)</f>
        <v/>
      </c>
      <c r="C998" s="32" t="str">
        <f>IF(MOV_CC_NACIONAL!B998="","",MOV_CC_NACIONAL!B998)</f>
        <v/>
      </c>
      <c r="D998" s="33" t="str">
        <f>IF(MOV_CC_NACIONAL!C998="","",MOV_CC_NACIONAL!C998)</f>
        <v/>
      </c>
      <c r="E998" s="32" t="str">
        <f t="shared" si="1"/>
        <v/>
      </c>
      <c r="F998" s="32" t="str">
        <f>IFERROR(__xludf.DUMMYFUNCTION("IF(C998="""","""", OR(REGEXMATCH(LOWER(C998),""cuota""), REGEXMATCH(C998,""\d+\s*/\s*\d+"")))"),"")</f>
        <v/>
      </c>
      <c r="G998" s="32" t="str">
        <f>IFERROR(__xludf.DUMMYFUNCTION("IFERROR(VALUE(REGEXEXTRACT(C998,""(\d+)\s*/\s*\d+"")),"""")"),"")</f>
        <v/>
      </c>
      <c r="H998" s="32" t="str">
        <f>IFERROR(__xludf.DUMMYFUNCTION("IFERROR(VALUE(REGEXEXTRACT(C998,""\d+\s*/\s*(\d+)"")),"""")"),"")</f>
        <v/>
      </c>
      <c r="I998" s="32" t="str">
        <f t="shared" si="2"/>
        <v/>
      </c>
      <c r="J998" s="33" t="str">
        <f t="shared" si="3"/>
        <v/>
      </c>
    </row>
    <row r="999" ht="15.75" customHeight="1">
      <c r="A999" s="22" t="s">
        <v>113</v>
      </c>
      <c r="B999" s="22" t="str">
        <f>IF(MOV_CC_NACIONAL!A999="","",MOV_CC_NACIONAL!A999)</f>
        <v/>
      </c>
      <c r="C999" s="22" t="str">
        <f>IF(MOV_CC_NACIONAL!B999="","",MOV_CC_NACIONAL!B999)</f>
        <v/>
      </c>
      <c r="D999" s="34" t="str">
        <f>IF(MOV_CC_NACIONAL!C999="","",MOV_CC_NACIONAL!C999)</f>
        <v/>
      </c>
      <c r="E999" s="22" t="str">
        <f t="shared" si="1"/>
        <v/>
      </c>
      <c r="F999" s="22" t="str">
        <f>IFERROR(__xludf.DUMMYFUNCTION("IF(C999="""","""", OR(REGEXMATCH(LOWER(C999),""cuota""), REGEXMATCH(C999,""\d+\s*/\s*\d+"")))"),"")</f>
        <v/>
      </c>
      <c r="G999" s="22" t="str">
        <f>IFERROR(__xludf.DUMMYFUNCTION("IFERROR(VALUE(REGEXEXTRACT(C999,""(\d+)\s*/\s*\d+"")),"""")"),"")</f>
        <v/>
      </c>
      <c r="H999" s="22" t="str">
        <f>IFERROR(__xludf.DUMMYFUNCTION("IFERROR(VALUE(REGEXEXTRACT(C999,""\d+\s*/\s*(\d+)"")),"""")"),"")</f>
        <v/>
      </c>
      <c r="I999" s="22" t="str">
        <f t="shared" si="2"/>
        <v/>
      </c>
      <c r="J999" s="34" t="str">
        <f t="shared" si="3"/>
        <v/>
      </c>
    </row>
    <row r="1000" ht="15.75" customHeight="1">
      <c r="A1000" s="32" t="s">
        <v>113</v>
      </c>
      <c r="B1000" s="32" t="str">
        <f>IF(MOV_CC_NACIONAL!A1000="","",MOV_CC_NACIONAL!A1000)</f>
        <v/>
      </c>
      <c r="C1000" s="32" t="str">
        <f>IF(MOV_CC_NACIONAL!B1000="","",MOV_CC_NACIONAL!B1000)</f>
        <v/>
      </c>
      <c r="D1000" s="33" t="str">
        <f>IF(MOV_CC_NACIONAL!C1000="","",MOV_CC_NACIONAL!C1000)</f>
        <v/>
      </c>
      <c r="E1000" s="32" t="str">
        <f t="shared" si="1"/>
        <v/>
      </c>
      <c r="F1000" s="32" t="str">
        <f>IFERROR(__xludf.DUMMYFUNCTION("IF(C1000="""","""", OR(REGEXMATCH(LOWER(C1000),""cuota""), REGEXMATCH(C1000,""\d+\s*/\s*\d+"")))"),"")</f>
        <v/>
      </c>
      <c r="G1000" s="32" t="str">
        <f>IFERROR(__xludf.DUMMYFUNCTION("IFERROR(VALUE(REGEXEXTRACT(C1000,""(\d+)\s*/\s*\d+"")),"""")"),"")</f>
        <v/>
      </c>
      <c r="H1000" s="32" t="str">
        <f>IFERROR(__xludf.DUMMYFUNCTION("IFERROR(VALUE(REGEXEXTRACT(C1000,""\d+\s*/\s*(\d+)"")),"""")"),"")</f>
        <v/>
      </c>
      <c r="I1000" s="32" t="str">
        <f t="shared" si="2"/>
        <v/>
      </c>
      <c r="J1000" s="33" t="str">
        <f t="shared" si="3"/>
        <v/>
      </c>
    </row>
    <row r="1001" ht="15.75" customHeight="1">
      <c r="A1001" s="22" t="s">
        <v>113</v>
      </c>
      <c r="B1001" s="22" t="str">
        <f>IF(MOV_CC_NACIONAL!A1001="","",MOV_CC_NACIONAL!A1001)</f>
        <v/>
      </c>
      <c r="C1001" s="22" t="str">
        <f>IF(MOV_CC_NACIONAL!B1001="","",MOV_CC_NACIONAL!B1001)</f>
        <v/>
      </c>
      <c r="D1001" s="34" t="str">
        <f>IF(MOV_CC_NACIONAL!C1001="","",MOV_CC_NACIONAL!C1001)</f>
        <v/>
      </c>
      <c r="E1001" s="22" t="str">
        <f t="shared" si="1"/>
        <v/>
      </c>
      <c r="F1001" s="22" t="str">
        <f>IFERROR(__xludf.DUMMYFUNCTION("IF(C1001="""","""", OR(REGEXMATCH(LOWER(C1001),""cuota""), REGEXMATCH(C1001,""\d+\s*/\s*\d+"")))"),"")</f>
        <v/>
      </c>
      <c r="G1001" s="22" t="str">
        <f>IFERROR(__xludf.DUMMYFUNCTION("IFERROR(VALUE(REGEXEXTRACT(C1001,""(\d+)\s*/\s*\d+"")),"""")"),"")</f>
        <v/>
      </c>
      <c r="H1001" s="22" t="str">
        <f>IFERROR(__xludf.DUMMYFUNCTION("IFERROR(VALUE(REGEXEXTRACT(C1001,""\d+\s*/\s*(\d+)"")),"""")"),"")</f>
        <v/>
      </c>
      <c r="I1001" s="22" t="str">
        <f t="shared" si="2"/>
        <v/>
      </c>
      <c r="J1001" s="34" t="str">
        <f t="shared" si="3"/>
        <v/>
      </c>
    </row>
    <row r="1002" ht="15.75" customHeight="1">
      <c r="A1002" s="32" t="s">
        <v>113</v>
      </c>
      <c r="B1002" s="32" t="str">
        <f>IF(MOV_CC_NACIONAL!A1002="","",MOV_CC_NACIONAL!A1002)</f>
        <v/>
      </c>
      <c r="C1002" s="32" t="str">
        <f>IF(MOV_CC_NACIONAL!B1002="","",MOV_CC_NACIONAL!B1002)</f>
        <v/>
      </c>
      <c r="D1002" s="33" t="str">
        <f>IF(MOV_CC_NACIONAL!C1002="","",MOV_CC_NACIONAL!C1002)</f>
        <v/>
      </c>
      <c r="E1002" s="32" t="str">
        <f t="shared" si="1"/>
        <v/>
      </c>
      <c r="F1002" s="32" t="str">
        <f>IFERROR(__xludf.DUMMYFUNCTION("IF(C1002="""","""", OR(REGEXMATCH(LOWER(C1002),""cuota""), REGEXMATCH(C1002,""\d+\s*/\s*\d+"")))"),"")</f>
        <v/>
      </c>
      <c r="G1002" s="32" t="str">
        <f>IFERROR(__xludf.DUMMYFUNCTION("IFERROR(VALUE(REGEXEXTRACT(C1002,""(\d+)\s*/\s*\d+"")),"""")"),"")</f>
        <v/>
      </c>
      <c r="H1002" s="32" t="str">
        <f>IFERROR(__xludf.DUMMYFUNCTION("IFERROR(VALUE(REGEXEXTRACT(C1002,""\d+\s*/\s*(\d+)"")),"""")"),"")</f>
        <v/>
      </c>
      <c r="I1002" s="32" t="str">
        <f t="shared" si="2"/>
        <v/>
      </c>
      <c r="J1002" s="33" t="str">
        <f t="shared" si="3"/>
        <v/>
      </c>
    </row>
    <row r="1003" ht="15.75" customHeight="1">
      <c r="A1003" s="22" t="s">
        <v>113</v>
      </c>
      <c r="B1003" s="22" t="str">
        <f>IF(MOV_CC_NACIONAL!A1003="","",MOV_CC_NACIONAL!A1003)</f>
        <v/>
      </c>
      <c r="C1003" s="22" t="str">
        <f>IF(MOV_CC_NACIONAL!B1003="","",MOV_CC_NACIONAL!B1003)</f>
        <v/>
      </c>
      <c r="D1003" s="34" t="str">
        <f>IF(MOV_CC_NACIONAL!C1003="","",MOV_CC_NACIONAL!C1003)</f>
        <v/>
      </c>
      <c r="E1003" s="22" t="str">
        <f t="shared" si="1"/>
        <v/>
      </c>
      <c r="F1003" s="22" t="str">
        <f>IFERROR(__xludf.DUMMYFUNCTION("IF(C1003="""","""", OR(REGEXMATCH(LOWER(C1003),""cuota""), REGEXMATCH(C1003,""\d+\s*/\s*\d+"")))"),"")</f>
        <v/>
      </c>
      <c r="G1003" s="22" t="str">
        <f>IFERROR(__xludf.DUMMYFUNCTION("IFERROR(VALUE(REGEXEXTRACT(C1003,""(\d+)\s*/\s*\d+"")),"""")"),"")</f>
        <v/>
      </c>
      <c r="H1003" s="22" t="str">
        <f>IFERROR(__xludf.DUMMYFUNCTION("IFERROR(VALUE(REGEXEXTRACT(C1003,""\d+\s*/\s*(\d+)"")),"""")"),"")</f>
        <v/>
      </c>
      <c r="I1003" s="22" t="str">
        <f t="shared" si="2"/>
        <v/>
      </c>
      <c r="J1003" s="34" t="str">
        <f t="shared" si="3"/>
        <v/>
      </c>
    </row>
    <row r="1004" ht="15.75" customHeight="1">
      <c r="A1004" s="32" t="s">
        <v>113</v>
      </c>
      <c r="B1004" s="32" t="str">
        <f>IF(MOV_CC_NACIONAL!A1004="","",MOV_CC_NACIONAL!A1004)</f>
        <v/>
      </c>
      <c r="C1004" s="32" t="str">
        <f>IF(MOV_CC_NACIONAL!B1004="","",MOV_CC_NACIONAL!B1004)</f>
        <v/>
      </c>
      <c r="D1004" s="33" t="str">
        <f>IF(MOV_CC_NACIONAL!C1004="","",MOV_CC_NACIONAL!C1004)</f>
        <v/>
      </c>
      <c r="E1004" s="32" t="str">
        <f t="shared" si="1"/>
        <v/>
      </c>
      <c r="F1004" s="32" t="str">
        <f>IFERROR(__xludf.DUMMYFUNCTION("IF(C1004="""","""", OR(REGEXMATCH(LOWER(C1004),""cuota""), REGEXMATCH(C1004,""\d+\s*/\s*\d+"")))"),"")</f>
        <v/>
      </c>
      <c r="G1004" s="32" t="str">
        <f>IFERROR(__xludf.DUMMYFUNCTION("IFERROR(VALUE(REGEXEXTRACT(C1004,""(\d+)\s*/\s*\d+"")),"""")"),"")</f>
        <v/>
      </c>
      <c r="H1004" s="32" t="str">
        <f>IFERROR(__xludf.DUMMYFUNCTION("IFERROR(VALUE(REGEXEXTRACT(C1004,""\d+\s*/\s*(\d+)"")),"""")"),"")</f>
        <v/>
      </c>
      <c r="I1004" s="32" t="str">
        <f t="shared" si="2"/>
        <v/>
      </c>
      <c r="J1004" s="33" t="str">
        <f t="shared" si="3"/>
        <v/>
      </c>
    </row>
    <row r="1005" ht="15.75" customHeight="1">
      <c r="A1005" s="22" t="s">
        <v>113</v>
      </c>
      <c r="B1005" s="22" t="str">
        <f>IF(MOV_CC_NACIONAL!A1005="","",MOV_CC_NACIONAL!A1005)</f>
        <v/>
      </c>
      <c r="C1005" s="22" t="str">
        <f>IF(MOV_CC_NACIONAL!B1005="","",MOV_CC_NACIONAL!B1005)</f>
        <v/>
      </c>
      <c r="D1005" s="34" t="str">
        <f>IF(MOV_CC_NACIONAL!C1005="","",MOV_CC_NACIONAL!C1005)</f>
        <v/>
      </c>
      <c r="E1005" s="22" t="str">
        <f t="shared" si="1"/>
        <v/>
      </c>
      <c r="F1005" s="22" t="str">
        <f>IFERROR(__xludf.DUMMYFUNCTION("IF(C1005="""","""", OR(REGEXMATCH(LOWER(C1005),""cuota""), REGEXMATCH(C1005,""\d+\s*/\s*\d+"")))"),"")</f>
        <v/>
      </c>
      <c r="G1005" s="22" t="str">
        <f>IFERROR(__xludf.DUMMYFUNCTION("IFERROR(VALUE(REGEXEXTRACT(C1005,""(\d+)\s*/\s*\d+"")),"""")"),"")</f>
        <v/>
      </c>
      <c r="H1005" s="22" t="str">
        <f>IFERROR(__xludf.DUMMYFUNCTION("IFERROR(VALUE(REGEXEXTRACT(C1005,""\d+\s*/\s*(\d+)"")),"""")"),"")</f>
        <v/>
      </c>
      <c r="I1005" s="22" t="str">
        <f t="shared" si="2"/>
        <v/>
      </c>
      <c r="J1005" s="34" t="str">
        <f t="shared" si="3"/>
        <v/>
      </c>
    </row>
    <row r="1006" ht="15.75" customHeight="1">
      <c r="A1006" s="32" t="s">
        <v>113</v>
      </c>
      <c r="B1006" s="32" t="str">
        <f>IF(MOV_CC_NACIONAL!A1006="","",MOV_CC_NACIONAL!A1006)</f>
        <v/>
      </c>
      <c r="C1006" s="32" t="str">
        <f>IF(MOV_CC_NACIONAL!B1006="","",MOV_CC_NACIONAL!B1006)</f>
        <v/>
      </c>
      <c r="D1006" s="33" t="str">
        <f>IF(MOV_CC_NACIONAL!C1006="","",MOV_CC_NACIONAL!C1006)</f>
        <v/>
      </c>
      <c r="E1006" s="32" t="str">
        <f t="shared" si="1"/>
        <v/>
      </c>
      <c r="F1006" s="32" t="str">
        <f>IFERROR(__xludf.DUMMYFUNCTION("IF(C1006="""","""", OR(REGEXMATCH(LOWER(C1006),""cuota""), REGEXMATCH(C1006,""\d+\s*/\s*\d+"")))"),"")</f>
        <v/>
      </c>
      <c r="G1006" s="32" t="str">
        <f>IFERROR(__xludf.DUMMYFUNCTION("IFERROR(VALUE(REGEXEXTRACT(C1006,""(\d+)\s*/\s*\d+"")),"""")"),"")</f>
        <v/>
      </c>
      <c r="H1006" s="32" t="str">
        <f>IFERROR(__xludf.DUMMYFUNCTION("IFERROR(VALUE(REGEXEXTRACT(C1006,""\d+\s*/\s*(\d+)"")),"""")"),"")</f>
        <v/>
      </c>
      <c r="I1006" s="32" t="str">
        <f t="shared" si="2"/>
        <v/>
      </c>
      <c r="J1006" s="33" t="str">
        <f t="shared" si="3"/>
        <v/>
      </c>
    </row>
    <row r="1007" ht="15.75" customHeight="1">
      <c r="A1007" s="22" t="s">
        <v>113</v>
      </c>
      <c r="B1007" s="22" t="str">
        <f>IF(MOV_CC_NACIONAL!A1007="","",MOV_CC_NACIONAL!A1007)</f>
        <v/>
      </c>
      <c r="C1007" s="22" t="str">
        <f>IF(MOV_CC_NACIONAL!B1007="","",MOV_CC_NACIONAL!B1007)</f>
        <v/>
      </c>
      <c r="D1007" s="34" t="str">
        <f>IF(MOV_CC_NACIONAL!C1007="","",MOV_CC_NACIONAL!C1007)</f>
        <v/>
      </c>
      <c r="E1007" s="22" t="str">
        <f t="shared" si="1"/>
        <v/>
      </c>
      <c r="F1007" s="22" t="str">
        <f>IFERROR(__xludf.DUMMYFUNCTION("IF(C1007="""","""", OR(REGEXMATCH(LOWER(C1007),""cuota""), REGEXMATCH(C1007,""\d+\s*/\s*\d+"")))"),"")</f>
        <v/>
      </c>
      <c r="G1007" s="22" t="str">
        <f>IFERROR(__xludf.DUMMYFUNCTION("IFERROR(VALUE(REGEXEXTRACT(C1007,""(\d+)\s*/\s*\d+"")),"""")"),"")</f>
        <v/>
      </c>
      <c r="H1007" s="22" t="str">
        <f>IFERROR(__xludf.DUMMYFUNCTION("IFERROR(VALUE(REGEXEXTRACT(C1007,""\d+\s*/\s*(\d+)"")),"""")"),"")</f>
        <v/>
      </c>
      <c r="I1007" s="22" t="str">
        <f t="shared" si="2"/>
        <v/>
      </c>
      <c r="J1007" s="34" t="str">
        <f t="shared" si="3"/>
        <v/>
      </c>
    </row>
    <row r="1008" ht="15.75" customHeight="1">
      <c r="A1008" s="32" t="s">
        <v>113</v>
      </c>
      <c r="B1008" s="32" t="str">
        <f>IF(MOV_CC_NACIONAL!A1008="","",MOV_CC_NACIONAL!A1008)</f>
        <v/>
      </c>
      <c r="C1008" s="32" t="str">
        <f>IF(MOV_CC_NACIONAL!B1008="","",MOV_CC_NACIONAL!B1008)</f>
        <v/>
      </c>
      <c r="D1008" s="33" t="str">
        <f>IF(MOV_CC_NACIONAL!C1008="","",MOV_CC_NACIONAL!C1008)</f>
        <v/>
      </c>
      <c r="E1008" s="32" t="str">
        <f t="shared" si="1"/>
        <v/>
      </c>
      <c r="F1008" s="32" t="str">
        <f>IFERROR(__xludf.DUMMYFUNCTION("IF(C1008="""","""", OR(REGEXMATCH(LOWER(C1008),""cuota""), REGEXMATCH(C1008,""\d+\s*/\s*\d+"")))"),"")</f>
        <v/>
      </c>
      <c r="G1008" s="32" t="str">
        <f>IFERROR(__xludf.DUMMYFUNCTION("IFERROR(VALUE(REGEXEXTRACT(C1008,""(\d+)\s*/\s*\d+"")),"""")"),"")</f>
        <v/>
      </c>
      <c r="H1008" s="32" t="str">
        <f>IFERROR(__xludf.DUMMYFUNCTION("IFERROR(VALUE(REGEXEXTRACT(C1008,""\d+\s*/\s*(\d+)"")),"""")"),"")</f>
        <v/>
      </c>
      <c r="I1008" s="32" t="str">
        <f t="shared" si="2"/>
        <v/>
      </c>
      <c r="J1008" s="33" t="str">
        <f t="shared" si="3"/>
        <v/>
      </c>
    </row>
    <row r="1009" ht="15.75" customHeight="1">
      <c r="A1009" s="22" t="s">
        <v>113</v>
      </c>
      <c r="B1009" s="22" t="str">
        <f>IF(MOV_CC_NACIONAL!A1009="","",MOV_CC_NACIONAL!A1009)</f>
        <v/>
      </c>
      <c r="C1009" s="22" t="str">
        <f>IF(MOV_CC_NACIONAL!B1009="","",MOV_CC_NACIONAL!B1009)</f>
        <v/>
      </c>
      <c r="D1009" s="34" t="str">
        <f>IF(MOV_CC_NACIONAL!C1009="","",MOV_CC_NACIONAL!C1009)</f>
        <v/>
      </c>
      <c r="E1009" s="22" t="str">
        <f t="shared" si="1"/>
        <v/>
      </c>
      <c r="F1009" s="22" t="str">
        <f>IFERROR(__xludf.DUMMYFUNCTION("IF(C1009="""","""", OR(REGEXMATCH(LOWER(C1009),""cuota""), REGEXMATCH(C1009,""\d+\s*/\s*\d+"")))"),"")</f>
        <v/>
      </c>
      <c r="G1009" s="22" t="str">
        <f>IFERROR(__xludf.DUMMYFUNCTION("IFERROR(VALUE(REGEXEXTRACT(C1009,""(\d+)\s*/\s*\d+"")),"""")"),"")</f>
        <v/>
      </c>
      <c r="H1009" s="22" t="str">
        <f>IFERROR(__xludf.DUMMYFUNCTION("IFERROR(VALUE(REGEXEXTRACT(C1009,""\d+\s*/\s*(\d+)"")),"""")"),"")</f>
        <v/>
      </c>
      <c r="I1009" s="22" t="str">
        <f t="shared" si="2"/>
        <v/>
      </c>
      <c r="J1009" s="34" t="str">
        <f t="shared" si="3"/>
        <v/>
      </c>
    </row>
    <row r="1010" ht="15.75" customHeight="1">
      <c r="A1010" s="32" t="s">
        <v>113</v>
      </c>
      <c r="B1010" s="32" t="str">
        <f>IF(MOV_CC_NACIONAL!A1010="","",MOV_CC_NACIONAL!A1010)</f>
        <v/>
      </c>
      <c r="C1010" s="32" t="str">
        <f>IF(MOV_CC_NACIONAL!B1010="","",MOV_CC_NACIONAL!B1010)</f>
        <v/>
      </c>
      <c r="D1010" s="33" t="str">
        <f>IF(MOV_CC_NACIONAL!C1010="","",MOV_CC_NACIONAL!C1010)</f>
        <v/>
      </c>
      <c r="E1010" s="32" t="str">
        <f t="shared" si="1"/>
        <v/>
      </c>
      <c r="F1010" s="32" t="str">
        <f>IFERROR(__xludf.DUMMYFUNCTION("IF(C1010="""","""", OR(REGEXMATCH(LOWER(C1010),""cuota""), REGEXMATCH(C1010,""\d+\s*/\s*\d+"")))"),"")</f>
        <v/>
      </c>
      <c r="G1010" s="32" t="str">
        <f>IFERROR(__xludf.DUMMYFUNCTION("IFERROR(VALUE(REGEXEXTRACT(C1010,""(\d+)\s*/\s*\d+"")),"""")"),"")</f>
        <v/>
      </c>
      <c r="H1010" s="32" t="str">
        <f>IFERROR(__xludf.DUMMYFUNCTION("IFERROR(VALUE(REGEXEXTRACT(C1010,""\d+\s*/\s*(\d+)"")),"""")"),"")</f>
        <v/>
      </c>
      <c r="I1010" s="32" t="str">
        <f t="shared" si="2"/>
        <v/>
      </c>
      <c r="J1010" s="33" t="str">
        <f t="shared" si="3"/>
        <v/>
      </c>
    </row>
    <row r="1011" ht="15.75" customHeight="1">
      <c r="A1011" s="22" t="s">
        <v>113</v>
      </c>
      <c r="B1011" s="22" t="str">
        <f>IF(MOV_CC_NACIONAL!A1011="","",MOV_CC_NACIONAL!A1011)</f>
        <v/>
      </c>
      <c r="C1011" s="22" t="str">
        <f>IF(MOV_CC_NACIONAL!B1011="","",MOV_CC_NACIONAL!B1011)</f>
        <v/>
      </c>
      <c r="D1011" s="34" t="str">
        <f>IF(MOV_CC_NACIONAL!C1011="","",MOV_CC_NACIONAL!C1011)</f>
        <v/>
      </c>
      <c r="E1011" s="22" t="str">
        <f t="shared" si="1"/>
        <v/>
      </c>
      <c r="F1011" s="22" t="str">
        <f>IFERROR(__xludf.DUMMYFUNCTION("IF(C1011="""","""", OR(REGEXMATCH(LOWER(C1011),""cuota""), REGEXMATCH(C1011,""\d+\s*/\s*\d+"")))"),"")</f>
        <v/>
      </c>
      <c r="G1011" s="22" t="str">
        <f>IFERROR(__xludf.DUMMYFUNCTION("IFERROR(VALUE(REGEXEXTRACT(C1011,""(\d+)\s*/\s*\d+"")),"""")"),"")</f>
        <v/>
      </c>
      <c r="H1011" s="22" t="str">
        <f>IFERROR(__xludf.DUMMYFUNCTION("IFERROR(VALUE(REGEXEXTRACT(C1011,""\d+\s*/\s*(\d+)"")),"""")"),"")</f>
        <v/>
      </c>
      <c r="I1011" s="22" t="str">
        <f t="shared" si="2"/>
        <v/>
      </c>
      <c r="J1011" s="34" t="str">
        <f t="shared" si="3"/>
        <v/>
      </c>
    </row>
    <row r="1012" ht="15.75" customHeight="1">
      <c r="A1012" s="32" t="s">
        <v>113</v>
      </c>
      <c r="B1012" s="32" t="str">
        <f>IF(MOV_CC_NACIONAL!A1012="","",MOV_CC_NACIONAL!A1012)</f>
        <v/>
      </c>
      <c r="C1012" s="32" t="str">
        <f>IF(MOV_CC_NACIONAL!B1012="","",MOV_CC_NACIONAL!B1012)</f>
        <v/>
      </c>
      <c r="D1012" s="33" t="str">
        <f>IF(MOV_CC_NACIONAL!C1012="","",MOV_CC_NACIONAL!C1012)</f>
        <v/>
      </c>
      <c r="E1012" s="32" t="str">
        <f t="shared" si="1"/>
        <v/>
      </c>
      <c r="F1012" s="32" t="str">
        <f>IFERROR(__xludf.DUMMYFUNCTION("IF(C1012="""","""", OR(REGEXMATCH(LOWER(C1012),""cuota""), REGEXMATCH(C1012,""\d+\s*/\s*\d+"")))"),"")</f>
        <v/>
      </c>
      <c r="G1012" s="32" t="str">
        <f>IFERROR(__xludf.DUMMYFUNCTION("IFERROR(VALUE(REGEXEXTRACT(C1012,""(\d+)\s*/\s*\d+"")),"""")"),"")</f>
        <v/>
      </c>
      <c r="H1012" s="32" t="str">
        <f>IFERROR(__xludf.DUMMYFUNCTION("IFERROR(VALUE(REGEXEXTRACT(C1012,""\d+\s*/\s*(\d+)"")),"""")"),"")</f>
        <v/>
      </c>
      <c r="I1012" s="32" t="str">
        <f t="shared" si="2"/>
        <v/>
      </c>
      <c r="J1012" s="33" t="str">
        <f t="shared" si="3"/>
        <v/>
      </c>
    </row>
    <row r="1013" ht="15.75" customHeight="1">
      <c r="A1013" s="22" t="s">
        <v>113</v>
      </c>
      <c r="B1013" s="22" t="str">
        <f>IF(MOV_CC_NACIONAL!A1013="","",MOV_CC_NACIONAL!A1013)</f>
        <v/>
      </c>
      <c r="C1013" s="22" t="str">
        <f>IF(MOV_CC_NACIONAL!B1013="","",MOV_CC_NACIONAL!B1013)</f>
        <v/>
      </c>
      <c r="D1013" s="34" t="str">
        <f>IF(MOV_CC_NACIONAL!C1013="","",MOV_CC_NACIONAL!C1013)</f>
        <v/>
      </c>
      <c r="E1013" s="22" t="str">
        <f t="shared" si="1"/>
        <v/>
      </c>
      <c r="F1013" s="22" t="str">
        <f>IFERROR(__xludf.DUMMYFUNCTION("IF(C1013="""","""", OR(REGEXMATCH(LOWER(C1013),""cuota""), REGEXMATCH(C1013,""\d+\s*/\s*\d+"")))"),"")</f>
        <v/>
      </c>
      <c r="G1013" s="22" t="str">
        <f>IFERROR(__xludf.DUMMYFUNCTION("IFERROR(VALUE(REGEXEXTRACT(C1013,""(\d+)\s*/\s*\d+"")),"""")"),"")</f>
        <v/>
      </c>
      <c r="H1013" s="22" t="str">
        <f>IFERROR(__xludf.DUMMYFUNCTION("IFERROR(VALUE(REGEXEXTRACT(C1013,""\d+\s*/\s*(\d+)"")),"""")"),"")</f>
        <v/>
      </c>
      <c r="I1013" s="22" t="str">
        <f t="shared" si="2"/>
        <v/>
      </c>
      <c r="J1013" s="34" t="str">
        <f t="shared" si="3"/>
        <v/>
      </c>
    </row>
    <row r="1014" ht="15.75" customHeight="1">
      <c r="A1014" s="32" t="s">
        <v>113</v>
      </c>
      <c r="B1014" s="32" t="str">
        <f>IF(MOV_CC_NACIONAL!A1014="","",MOV_CC_NACIONAL!A1014)</f>
        <v/>
      </c>
      <c r="C1014" s="32" t="str">
        <f>IF(MOV_CC_NACIONAL!B1014="","",MOV_CC_NACIONAL!B1014)</f>
        <v/>
      </c>
      <c r="D1014" s="33" t="str">
        <f>IF(MOV_CC_NACIONAL!C1014="","",MOV_CC_NACIONAL!C1014)</f>
        <v/>
      </c>
      <c r="E1014" s="32" t="str">
        <f t="shared" si="1"/>
        <v/>
      </c>
      <c r="F1014" s="32" t="str">
        <f>IFERROR(__xludf.DUMMYFUNCTION("IF(C1014="""","""", OR(REGEXMATCH(LOWER(C1014),""cuota""), REGEXMATCH(C1014,""\d+\s*/\s*\d+"")))"),"")</f>
        <v/>
      </c>
      <c r="G1014" s="32" t="str">
        <f>IFERROR(__xludf.DUMMYFUNCTION("IFERROR(VALUE(REGEXEXTRACT(C1014,""(\d+)\s*/\s*\d+"")),"""")"),"")</f>
        <v/>
      </c>
      <c r="H1014" s="32" t="str">
        <f>IFERROR(__xludf.DUMMYFUNCTION("IFERROR(VALUE(REGEXEXTRACT(C1014,""\d+\s*/\s*(\d+)"")),"""")"),"")</f>
        <v/>
      </c>
      <c r="I1014" s="32" t="str">
        <f t="shared" si="2"/>
        <v/>
      </c>
      <c r="J1014" s="33" t="str">
        <f t="shared" si="3"/>
        <v/>
      </c>
    </row>
    <row r="1015" ht="15.75" customHeight="1">
      <c r="A1015" s="22" t="s">
        <v>113</v>
      </c>
      <c r="B1015" s="22" t="str">
        <f>IF(MOV_CC_NACIONAL!A1015="","",MOV_CC_NACIONAL!A1015)</f>
        <v/>
      </c>
      <c r="C1015" s="22" t="str">
        <f>IF(MOV_CC_NACIONAL!B1015="","",MOV_CC_NACIONAL!B1015)</f>
        <v/>
      </c>
      <c r="D1015" s="34" t="str">
        <f>IF(MOV_CC_NACIONAL!C1015="","",MOV_CC_NACIONAL!C1015)</f>
        <v/>
      </c>
      <c r="E1015" s="22" t="str">
        <f t="shared" si="1"/>
        <v/>
      </c>
      <c r="F1015" s="22" t="str">
        <f>IFERROR(__xludf.DUMMYFUNCTION("IF(C1015="""","""", OR(REGEXMATCH(LOWER(C1015),""cuota""), REGEXMATCH(C1015,""\d+\s*/\s*\d+"")))"),"")</f>
        <v/>
      </c>
      <c r="G1015" s="22" t="str">
        <f>IFERROR(__xludf.DUMMYFUNCTION("IFERROR(VALUE(REGEXEXTRACT(C1015,""(\d+)\s*/\s*\d+"")),"""")"),"")</f>
        <v/>
      </c>
      <c r="H1015" s="22" t="str">
        <f>IFERROR(__xludf.DUMMYFUNCTION("IFERROR(VALUE(REGEXEXTRACT(C1015,""\d+\s*/\s*(\d+)"")),"""")"),"")</f>
        <v/>
      </c>
      <c r="I1015" s="22" t="str">
        <f t="shared" si="2"/>
        <v/>
      </c>
      <c r="J1015" s="34" t="str">
        <f t="shared" si="3"/>
        <v/>
      </c>
    </row>
    <row r="1016" ht="15.75" customHeight="1">
      <c r="A1016" s="32" t="s">
        <v>113</v>
      </c>
      <c r="B1016" s="32" t="str">
        <f>IF(MOV_CC_NACIONAL!A1016="","",MOV_CC_NACIONAL!A1016)</f>
        <v/>
      </c>
      <c r="C1016" s="32" t="str">
        <f>IF(MOV_CC_NACIONAL!B1016="","",MOV_CC_NACIONAL!B1016)</f>
        <v/>
      </c>
      <c r="D1016" s="33" t="str">
        <f>IF(MOV_CC_NACIONAL!C1016="","",MOV_CC_NACIONAL!C1016)</f>
        <v/>
      </c>
      <c r="E1016" s="32" t="str">
        <f t="shared" si="1"/>
        <v/>
      </c>
      <c r="F1016" s="32" t="str">
        <f>IFERROR(__xludf.DUMMYFUNCTION("IF(C1016="""","""", OR(REGEXMATCH(LOWER(C1016),""cuota""), REGEXMATCH(C1016,""\d+\s*/\s*\d+"")))"),"")</f>
        <v/>
      </c>
      <c r="G1016" s="32" t="str">
        <f>IFERROR(__xludf.DUMMYFUNCTION("IFERROR(VALUE(REGEXEXTRACT(C1016,""(\d+)\s*/\s*\d+"")),"""")"),"")</f>
        <v/>
      </c>
      <c r="H1016" s="32" t="str">
        <f>IFERROR(__xludf.DUMMYFUNCTION("IFERROR(VALUE(REGEXEXTRACT(C1016,""\d+\s*/\s*(\d+)"")),"""")"),"")</f>
        <v/>
      </c>
      <c r="I1016" s="32" t="str">
        <f t="shared" si="2"/>
        <v/>
      </c>
      <c r="J1016" s="33" t="str">
        <f t="shared" si="3"/>
        <v/>
      </c>
    </row>
    <row r="1017" ht="15.75" customHeight="1">
      <c r="A1017" s="22" t="s">
        <v>113</v>
      </c>
      <c r="B1017" s="22" t="str">
        <f>IF(MOV_CC_NACIONAL!A1017="","",MOV_CC_NACIONAL!A1017)</f>
        <v/>
      </c>
      <c r="C1017" s="22" t="str">
        <f>IF(MOV_CC_NACIONAL!B1017="","",MOV_CC_NACIONAL!B1017)</f>
        <v/>
      </c>
      <c r="D1017" s="34" t="str">
        <f>IF(MOV_CC_NACIONAL!C1017="","",MOV_CC_NACIONAL!C1017)</f>
        <v/>
      </c>
      <c r="E1017" s="22" t="str">
        <f t="shared" si="1"/>
        <v/>
      </c>
      <c r="F1017" s="22" t="str">
        <f>IFERROR(__xludf.DUMMYFUNCTION("IF(C1017="""","""", OR(REGEXMATCH(LOWER(C1017),""cuota""), REGEXMATCH(C1017,""\d+\s*/\s*\d+"")))"),"")</f>
        <v/>
      </c>
      <c r="G1017" s="22" t="str">
        <f>IFERROR(__xludf.DUMMYFUNCTION("IFERROR(VALUE(REGEXEXTRACT(C1017,""(\d+)\s*/\s*\d+"")),"""")"),"")</f>
        <v/>
      </c>
      <c r="H1017" s="22" t="str">
        <f>IFERROR(__xludf.DUMMYFUNCTION("IFERROR(VALUE(REGEXEXTRACT(C1017,""\d+\s*/\s*(\d+)"")),"""")"),"")</f>
        <v/>
      </c>
      <c r="I1017" s="22" t="str">
        <f t="shared" si="2"/>
        <v/>
      </c>
      <c r="J1017" s="34" t="str">
        <f t="shared" si="3"/>
        <v/>
      </c>
    </row>
    <row r="1018" ht="15.75" customHeight="1">
      <c r="A1018" s="32" t="s">
        <v>113</v>
      </c>
      <c r="B1018" s="32" t="str">
        <f>IF(MOV_CC_NACIONAL!A1018="","",MOV_CC_NACIONAL!A1018)</f>
        <v/>
      </c>
      <c r="C1018" s="32" t="str">
        <f>IF(MOV_CC_NACIONAL!B1018="","",MOV_CC_NACIONAL!B1018)</f>
        <v/>
      </c>
      <c r="D1018" s="33" t="str">
        <f>IF(MOV_CC_NACIONAL!C1018="","",MOV_CC_NACIONAL!C1018)</f>
        <v/>
      </c>
      <c r="E1018" s="32" t="str">
        <f t="shared" si="1"/>
        <v/>
      </c>
      <c r="F1018" s="32" t="str">
        <f>IFERROR(__xludf.DUMMYFUNCTION("IF(C1018="""","""", OR(REGEXMATCH(LOWER(C1018),""cuota""), REGEXMATCH(C1018,""\d+\s*/\s*\d+"")))"),"")</f>
        <v/>
      </c>
      <c r="G1018" s="32" t="str">
        <f>IFERROR(__xludf.DUMMYFUNCTION("IFERROR(VALUE(REGEXEXTRACT(C1018,""(\d+)\s*/\s*\d+"")),"""")"),"")</f>
        <v/>
      </c>
      <c r="H1018" s="32" t="str">
        <f>IFERROR(__xludf.DUMMYFUNCTION("IFERROR(VALUE(REGEXEXTRACT(C1018,""\d+\s*/\s*(\d+)"")),"""")"),"")</f>
        <v/>
      </c>
      <c r="I1018" s="32" t="str">
        <f t="shared" si="2"/>
        <v/>
      </c>
      <c r="J1018" s="33" t="str">
        <f t="shared" si="3"/>
        <v/>
      </c>
    </row>
    <row r="1019" ht="15.75" customHeight="1">
      <c r="A1019" s="22" t="s">
        <v>113</v>
      </c>
      <c r="B1019" s="22" t="str">
        <f>IF(MOV_CC_NACIONAL!A1019="","",MOV_CC_NACIONAL!A1019)</f>
        <v/>
      </c>
      <c r="C1019" s="22" t="str">
        <f>IF(MOV_CC_NACIONAL!B1019="","",MOV_CC_NACIONAL!B1019)</f>
        <v/>
      </c>
      <c r="D1019" s="34" t="str">
        <f>IF(MOV_CC_NACIONAL!C1019="","",MOV_CC_NACIONAL!C1019)</f>
        <v/>
      </c>
      <c r="E1019" s="22" t="str">
        <f t="shared" si="1"/>
        <v/>
      </c>
      <c r="F1019" s="22" t="str">
        <f>IFERROR(__xludf.DUMMYFUNCTION("IF(C1019="""","""", OR(REGEXMATCH(LOWER(C1019),""cuota""), REGEXMATCH(C1019,""\d+\s*/\s*\d+"")))"),"")</f>
        <v/>
      </c>
      <c r="G1019" s="22" t="str">
        <f>IFERROR(__xludf.DUMMYFUNCTION("IFERROR(VALUE(REGEXEXTRACT(C1019,""(\d+)\s*/\s*\d+"")),"""")"),"")</f>
        <v/>
      </c>
      <c r="H1019" s="22" t="str">
        <f>IFERROR(__xludf.DUMMYFUNCTION("IFERROR(VALUE(REGEXEXTRACT(C1019,""\d+\s*/\s*(\d+)"")),"""")"),"")</f>
        <v/>
      </c>
      <c r="I1019" s="22" t="str">
        <f t="shared" si="2"/>
        <v/>
      </c>
      <c r="J1019" s="34" t="str">
        <f t="shared" si="3"/>
        <v/>
      </c>
    </row>
    <row r="1020" ht="15.75" customHeight="1">
      <c r="A1020" s="32" t="s">
        <v>113</v>
      </c>
      <c r="B1020" s="32" t="str">
        <f>IF(MOV_CC_NACIONAL!A1020="","",MOV_CC_NACIONAL!A1020)</f>
        <v/>
      </c>
      <c r="C1020" s="32" t="str">
        <f>IF(MOV_CC_NACIONAL!B1020="","",MOV_CC_NACIONAL!B1020)</f>
        <v/>
      </c>
      <c r="D1020" s="33" t="str">
        <f>IF(MOV_CC_NACIONAL!C1020="","",MOV_CC_NACIONAL!C1020)</f>
        <v/>
      </c>
      <c r="E1020" s="32" t="str">
        <f t="shared" si="1"/>
        <v/>
      </c>
      <c r="F1020" s="32" t="str">
        <f>IFERROR(__xludf.DUMMYFUNCTION("IF(C1020="""","""", OR(REGEXMATCH(LOWER(C1020),""cuota""), REGEXMATCH(C1020,""\d+\s*/\s*\d+"")))"),"")</f>
        <v/>
      </c>
      <c r="G1020" s="32" t="str">
        <f>IFERROR(__xludf.DUMMYFUNCTION("IFERROR(VALUE(REGEXEXTRACT(C1020,""(\d+)\s*/\s*\d+"")),"""")"),"")</f>
        <v/>
      </c>
      <c r="H1020" s="32" t="str">
        <f>IFERROR(__xludf.DUMMYFUNCTION("IFERROR(VALUE(REGEXEXTRACT(C1020,""\d+\s*/\s*(\d+)"")),"""")"),"")</f>
        <v/>
      </c>
      <c r="I1020" s="32" t="str">
        <f t="shared" si="2"/>
        <v/>
      </c>
      <c r="J1020" s="33" t="str">
        <f t="shared" si="3"/>
        <v/>
      </c>
    </row>
    <row r="1021" ht="15.75" customHeight="1">
      <c r="A1021" s="22" t="s">
        <v>113</v>
      </c>
      <c r="B1021" s="22" t="str">
        <f>IF(MOV_CC_NACIONAL!A1021="","",MOV_CC_NACIONAL!A1021)</f>
        <v/>
      </c>
      <c r="C1021" s="22" t="str">
        <f>IF(MOV_CC_NACIONAL!B1021="","",MOV_CC_NACIONAL!B1021)</f>
        <v/>
      </c>
      <c r="D1021" s="34" t="str">
        <f>IF(MOV_CC_NACIONAL!C1021="","",MOV_CC_NACIONAL!C1021)</f>
        <v/>
      </c>
      <c r="E1021" s="22" t="str">
        <f t="shared" si="1"/>
        <v/>
      </c>
      <c r="F1021" s="22" t="str">
        <f>IFERROR(__xludf.DUMMYFUNCTION("IF(C1021="""","""", OR(REGEXMATCH(LOWER(C1021),""cuota""), REGEXMATCH(C1021,""\d+\s*/\s*\d+"")))"),"")</f>
        <v/>
      </c>
      <c r="G1021" s="22" t="str">
        <f>IFERROR(__xludf.DUMMYFUNCTION("IFERROR(VALUE(REGEXEXTRACT(C1021,""(\d+)\s*/\s*\d+"")),"""")"),"")</f>
        <v/>
      </c>
      <c r="H1021" s="22" t="str">
        <f>IFERROR(__xludf.DUMMYFUNCTION("IFERROR(VALUE(REGEXEXTRACT(C1021,""\d+\s*/\s*(\d+)"")),"""")"),"")</f>
        <v/>
      </c>
      <c r="I1021" s="22" t="str">
        <f t="shared" si="2"/>
        <v/>
      </c>
      <c r="J1021" s="34" t="str">
        <f t="shared" si="3"/>
        <v/>
      </c>
    </row>
    <row r="1022" ht="15.75" customHeight="1">
      <c r="A1022" s="32" t="s">
        <v>113</v>
      </c>
      <c r="B1022" s="32" t="str">
        <f>IF(MOV_CC_NACIONAL!A1022="","",MOV_CC_NACIONAL!A1022)</f>
        <v/>
      </c>
      <c r="C1022" s="32" t="str">
        <f>IF(MOV_CC_NACIONAL!B1022="","",MOV_CC_NACIONAL!B1022)</f>
        <v/>
      </c>
      <c r="D1022" s="33" t="str">
        <f>IF(MOV_CC_NACIONAL!C1022="","",MOV_CC_NACIONAL!C1022)</f>
        <v/>
      </c>
      <c r="E1022" s="32" t="str">
        <f t="shared" si="1"/>
        <v/>
      </c>
      <c r="F1022" s="32" t="str">
        <f>IFERROR(__xludf.DUMMYFUNCTION("IF(C1022="""","""", OR(REGEXMATCH(LOWER(C1022),""cuota""), REGEXMATCH(C1022,""\d+\s*/\s*\d+"")))"),"")</f>
        <v/>
      </c>
      <c r="G1022" s="32" t="str">
        <f>IFERROR(__xludf.DUMMYFUNCTION("IFERROR(VALUE(REGEXEXTRACT(C1022,""(\d+)\s*/\s*\d+"")),"""")"),"")</f>
        <v/>
      </c>
      <c r="H1022" s="32" t="str">
        <f>IFERROR(__xludf.DUMMYFUNCTION("IFERROR(VALUE(REGEXEXTRACT(C1022,""\d+\s*/\s*(\d+)"")),"""")"),"")</f>
        <v/>
      </c>
      <c r="I1022" s="32" t="str">
        <f t="shared" si="2"/>
        <v/>
      </c>
      <c r="J1022" s="33" t="str">
        <f t="shared" si="3"/>
        <v/>
      </c>
    </row>
    <row r="1023" ht="15.75" customHeight="1">
      <c r="A1023" s="22" t="s">
        <v>113</v>
      </c>
      <c r="B1023" s="22" t="str">
        <f>IF(MOV_CC_NACIONAL!A1023="","",MOV_CC_NACIONAL!A1023)</f>
        <v/>
      </c>
      <c r="C1023" s="22" t="str">
        <f>IF(MOV_CC_NACIONAL!B1023="","",MOV_CC_NACIONAL!B1023)</f>
        <v/>
      </c>
      <c r="D1023" s="34" t="str">
        <f>IF(MOV_CC_NACIONAL!C1023="","",MOV_CC_NACIONAL!C1023)</f>
        <v/>
      </c>
      <c r="E1023" s="22" t="str">
        <f t="shared" si="1"/>
        <v/>
      </c>
      <c r="F1023" s="22" t="str">
        <f>IFERROR(__xludf.DUMMYFUNCTION("IF(C1023="""","""", OR(REGEXMATCH(LOWER(C1023),""cuota""), REGEXMATCH(C1023,""\d+\s*/\s*\d+"")))"),"")</f>
        <v/>
      </c>
      <c r="G1023" s="22" t="str">
        <f>IFERROR(__xludf.DUMMYFUNCTION("IFERROR(VALUE(REGEXEXTRACT(C1023,""(\d+)\s*/\s*\d+"")),"""")"),"")</f>
        <v/>
      </c>
      <c r="H1023" s="22" t="str">
        <f>IFERROR(__xludf.DUMMYFUNCTION("IFERROR(VALUE(REGEXEXTRACT(C1023,""\d+\s*/\s*(\d+)"")),"""")"),"")</f>
        <v/>
      </c>
      <c r="I1023" s="22" t="str">
        <f t="shared" si="2"/>
        <v/>
      </c>
      <c r="J1023" s="34" t="str">
        <f t="shared" si="3"/>
        <v/>
      </c>
    </row>
    <row r="1024" ht="15.75" customHeight="1">
      <c r="A1024" s="32" t="s">
        <v>113</v>
      </c>
      <c r="B1024" s="32" t="str">
        <f>IF(MOV_CC_NACIONAL!A1024="","",MOV_CC_NACIONAL!A1024)</f>
        <v/>
      </c>
      <c r="C1024" s="32" t="str">
        <f>IF(MOV_CC_NACIONAL!B1024="","",MOV_CC_NACIONAL!B1024)</f>
        <v/>
      </c>
      <c r="D1024" s="33" t="str">
        <f>IF(MOV_CC_NACIONAL!C1024="","",MOV_CC_NACIONAL!C1024)</f>
        <v/>
      </c>
      <c r="E1024" s="32" t="str">
        <f t="shared" si="1"/>
        <v/>
      </c>
      <c r="F1024" s="32" t="str">
        <f>IFERROR(__xludf.DUMMYFUNCTION("IF(C1024="""","""", OR(REGEXMATCH(LOWER(C1024),""cuota""), REGEXMATCH(C1024,""\d+\s*/\s*\d+"")))"),"")</f>
        <v/>
      </c>
      <c r="G1024" s="32" t="str">
        <f>IFERROR(__xludf.DUMMYFUNCTION("IFERROR(VALUE(REGEXEXTRACT(C1024,""(\d+)\s*/\s*\d+"")),"""")"),"")</f>
        <v/>
      </c>
      <c r="H1024" s="32" t="str">
        <f>IFERROR(__xludf.DUMMYFUNCTION("IFERROR(VALUE(REGEXEXTRACT(C1024,""\d+\s*/\s*(\d+)"")),"""")"),"")</f>
        <v/>
      </c>
      <c r="I1024" s="32" t="str">
        <f t="shared" si="2"/>
        <v/>
      </c>
      <c r="J1024" s="33" t="str">
        <f t="shared" si="3"/>
        <v/>
      </c>
    </row>
    <row r="1025" ht="15.75" customHeight="1">
      <c r="A1025" s="22" t="s">
        <v>113</v>
      </c>
      <c r="B1025" s="22" t="str">
        <f>IF(MOV_CC_NACIONAL!A1025="","",MOV_CC_NACIONAL!A1025)</f>
        <v/>
      </c>
      <c r="C1025" s="22" t="str">
        <f>IF(MOV_CC_NACIONAL!B1025="","",MOV_CC_NACIONAL!B1025)</f>
        <v/>
      </c>
      <c r="D1025" s="34" t="str">
        <f>IF(MOV_CC_NACIONAL!C1025="","",MOV_CC_NACIONAL!C1025)</f>
        <v/>
      </c>
      <c r="E1025" s="22" t="str">
        <f t="shared" si="1"/>
        <v/>
      </c>
      <c r="F1025" s="22" t="str">
        <f>IFERROR(__xludf.DUMMYFUNCTION("IF(C1025="""","""", OR(REGEXMATCH(LOWER(C1025),""cuota""), REGEXMATCH(C1025,""\d+\s*/\s*\d+"")))"),"")</f>
        <v/>
      </c>
      <c r="G1025" s="22" t="str">
        <f>IFERROR(__xludf.DUMMYFUNCTION("IFERROR(VALUE(REGEXEXTRACT(C1025,""(\d+)\s*/\s*\d+"")),"""")"),"")</f>
        <v/>
      </c>
      <c r="H1025" s="22" t="str">
        <f>IFERROR(__xludf.DUMMYFUNCTION("IFERROR(VALUE(REGEXEXTRACT(C1025,""\d+\s*/\s*(\d+)"")),"""")"),"")</f>
        <v/>
      </c>
      <c r="I1025" s="22" t="str">
        <f t="shared" si="2"/>
        <v/>
      </c>
      <c r="J1025" s="34" t="str">
        <f t="shared" si="3"/>
        <v/>
      </c>
    </row>
    <row r="1026" ht="15.75" customHeight="1">
      <c r="A1026" s="32" t="s">
        <v>113</v>
      </c>
      <c r="B1026" s="32" t="str">
        <f>IF(MOV_CC_NACIONAL!A1026="","",MOV_CC_NACIONAL!A1026)</f>
        <v/>
      </c>
      <c r="C1026" s="32" t="str">
        <f>IF(MOV_CC_NACIONAL!B1026="","",MOV_CC_NACIONAL!B1026)</f>
        <v/>
      </c>
      <c r="D1026" s="33" t="str">
        <f>IF(MOV_CC_NACIONAL!C1026="","",MOV_CC_NACIONAL!C1026)</f>
        <v/>
      </c>
      <c r="E1026" s="32" t="str">
        <f t="shared" si="1"/>
        <v/>
      </c>
      <c r="F1026" s="32" t="str">
        <f>IFERROR(__xludf.DUMMYFUNCTION("IF(C1026="""","""", OR(REGEXMATCH(LOWER(C1026),""cuota""), REGEXMATCH(C1026,""\d+\s*/\s*\d+"")))"),"")</f>
        <v/>
      </c>
      <c r="G1026" s="32" t="str">
        <f>IFERROR(__xludf.DUMMYFUNCTION("IFERROR(VALUE(REGEXEXTRACT(C1026,""(\d+)\s*/\s*\d+"")),"""")"),"")</f>
        <v/>
      </c>
      <c r="H1026" s="32" t="str">
        <f>IFERROR(__xludf.DUMMYFUNCTION("IFERROR(VALUE(REGEXEXTRACT(C1026,""\d+\s*/\s*(\d+)"")),"""")"),"")</f>
        <v/>
      </c>
      <c r="I1026" s="32" t="str">
        <f t="shared" si="2"/>
        <v/>
      </c>
      <c r="J1026" s="33" t="str">
        <f t="shared" si="3"/>
        <v/>
      </c>
    </row>
    <row r="1027" ht="15.75" customHeight="1">
      <c r="A1027" s="22" t="s">
        <v>113</v>
      </c>
      <c r="B1027" s="22" t="str">
        <f>IF(MOV_CC_NACIONAL!A1027="","",MOV_CC_NACIONAL!A1027)</f>
        <v/>
      </c>
      <c r="C1027" s="22" t="str">
        <f>IF(MOV_CC_NACIONAL!B1027="","",MOV_CC_NACIONAL!B1027)</f>
        <v/>
      </c>
      <c r="D1027" s="34" t="str">
        <f>IF(MOV_CC_NACIONAL!C1027="","",MOV_CC_NACIONAL!C1027)</f>
        <v/>
      </c>
      <c r="E1027" s="22" t="str">
        <f t="shared" si="1"/>
        <v/>
      </c>
      <c r="F1027" s="22" t="str">
        <f>IFERROR(__xludf.DUMMYFUNCTION("IF(C1027="""","""", OR(REGEXMATCH(LOWER(C1027),""cuota""), REGEXMATCH(C1027,""\d+\s*/\s*\d+"")))"),"")</f>
        <v/>
      </c>
      <c r="G1027" s="22" t="str">
        <f>IFERROR(__xludf.DUMMYFUNCTION("IFERROR(VALUE(REGEXEXTRACT(C1027,""(\d+)\s*/\s*\d+"")),"""")"),"")</f>
        <v/>
      </c>
      <c r="H1027" s="22" t="str">
        <f>IFERROR(__xludf.DUMMYFUNCTION("IFERROR(VALUE(REGEXEXTRACT(C1027,""\d+\s*/\s*(\d+)"")),"""")"),"")</f>
        <v/>
      </c>
      <c r="I1027" s="22" t="str">
        <f t="shared" si="2"/>
        <v/>
      </c>
      <c r="J1027" s="34" t="str">
        <f t="shared" si="3"/>
        <v/>
      </c>
    </row>
    <row r="1028" ht="15.75" customHeight="1">
      <c r="A1028" s="32" t="s">
        <v>113</v>
      </c>
      <c r="B1028" s="32" t="str">
        <f>IF(MOV_CC_NACIONAL!A1028="","",MOV_CC_NACIONAL!A1028)</f>
        <v/>
      </c>
      <c r="C1028" s="32" t="str">
        <f>IF(MOV_CC_NACIONAL!B1028="","",MOV_CC_NACIONAL!B1028)</f>
        <v/>
      </c>
      <c r="D1028" s="33" t="str">
        <f>IF(MOV_CC_NACIONAL!C1028="","",MOV_CC_NACIONAL!C1028)</f>
        <v/>
      </c>
      <c r="E1028" s="32" t="str">
        <f t="shared" si="1"/>
        <v/>
      </c>
      <c r="F1028" s="32" t="str">
        <f>IFERROR(__xludf.DUMMYFUNCTION("IF(C1028="""","""", OR(REGEXMATCH(LOWER(C1028),""cuota""), REGEXMATCH(C1028,""\d+\s*/\s*\d+"")))"),"")</f>
        <v/>
      </c>
      <c r="G1028" s="32" t="str">
        <f>IFERROR(__xludf.DUMMYFUNCTION("IFERROR(VALUE(REGEXEXTRACT(C1028,""(\d+)\s*/\s*\d+"")),"""")"),"")</f>
        <v/>
      </c>
      <c r="H1028" s="32" t="str">
        <f>IFERROR(__xludf.DUMMYFUNCTION("IFERROR(VALUE(REGEXEXTRACT(C1028,""\d+\s*/\s*(\d+)"")),"""")"),"")</f>
        <v/>
      </c>
      <c r="I1028" s="32" t="str">
        <f t="shared" si="2"/>
        <v/>
      </c>
      <c r="J1028" s="33" t="str">
        <f t="shared" si="3"/>
        <v/>
      </c>
    </row>
    <row r="1029" ht="15.75" customHeight="1">
      <c r="A1029" s="22" t="s">
        <v>113</v>
      </c>
      <c r="B1029" s="22" t="str">
        <f>IF(MOV_CC_NACIONAL!A1029="","",MOV_CC_NACIONAL!A1029)</f>
        <v/>
      </c>
      <c r="C1029" s="22" t="str">
        <f>IF(MOV_CC_NACIONAL!B1029="","",MOV_CC_NACIONAL!B1029)</f>
        <v/>
      </c>
      <c r="D1029" s="34" t="str">
        <f>IF(MOV_CC_NACIONAL!C1029="","",MOV_CC_NACIONAL!C1029)</f>
        <v/>
      </c>
      <c r="E1029" s="22" t="str">
        <f t="shared" si="1"/>
        <v/>
      </c>
      <c r="F1029" s="22" t="str">
        <f>IFERROR(__xludf.DUMMYFUNCTION("IF(C1029="""","""", OR(REGEXMATCH(LOWER(C1029),""cuota""), REGEXMATCH(C1029,""\d+\s*/\s*\d+"")))"),"")</f>
        <v/>
      </c>
      <c r="G1029" s="22" t="str">
        <f>IFERROR(__xludf.DUMMYFUNCTION("IFERROR(VALUE(REGEXEXTRACT(C1029,""(\d+)\s*/\s*\d+"")),"""")"),"")</f>
        <v/>
      </c>
      <c r="H1029" s="22" t="str">
        <f>IFERROR(__xludf.DUMMYFUNCTION("IFERROR(VALUE(REGEXEXTRACT(C1029,""\d+\s*/\s*(\d+)"")),"""")"),"")</f>
        <v/>
      </c>
      <c r="I1029" s="22" t="str">
        <f t="shared" si="2"/>
        <v/>
      </c>
      <c r="J1029" s="34" t="str">
        <f t="shared" si="3"/>
        <v/>
      </c>
    </row>
    <row r="1030" ht="15.75" customHeight="1">
      <c r="A1030" s="32" t="s">
        <v>113</v>
      </c>
      <c r="B1030" s="32" t="str">
        <f>IF(MOV_CC_NACIONAL!A1030="","",MOV_CC_NACIONAL!A1030)</f>
        <v/>
      </c>
      <c r="C1030" s="32" t="str">
        <f>IF(MOV_CC_NACIONAL!B1030="","",MOV_CC_NACIONAL!B1030)</f>
        <v/>
      </c>
      <c r="D1030" s="33" t="str">
        <f>IF(MOV_CC_NACIONAL!C1030="","",MOV_CC_NACIONAL!C1030)</f>
        <v/>
      </c>
      <c r="E1030" s="32" t="str">
        <f t="shared" si="1"/>
        <v/>
      </c>
      <c r="F1030" s="32" t="str">
        <f>IFERROR(__xludf.DUMMYFUNCTION("IF(C1030="""","""", OR(REGEXMATCH(LOWER(C1030),""cuota""), REGEXMATCH(C1030,""\d+\s*/\s*\d+"")))"),"")</f>
        <v/>
      </c>
      <c r="G1030" s="32" t="str">
        <f>IFERROR(__xludf.DUMMYFUNCTION("IFERROR(VALUE(REGEXEXTRACT(C1030,""(\d+)\s*/\s*\d+"")),"""")"),"")</f>
        <v/>
      </c>
      <c r="H1030" s="32" t="str">
        <f>IFERROR(__xludf.DUMMYFUNCTION("IFERROR(VALUE(REGEXEXTRACT(C1030,""\d+\s*/\s*(\d+)"")),"""")"),"")</f>
        <v/>
      </c>
      <c r="I1030" s="32" t="str">
        <f t="shared" si="2"/>
        <v/>
      </c>
      <c r="J1030" s="33" t="str">
        <f t="shared" si="3"/>
        <v/>
      </c>
    </row>
    <row r="1031" ht="15.75" customHeight="1">
      <c r="A1031" s="22" t="s">
        <v>113</v>
      </c>
      <c r="B1031" s="22" t="str">
        <f>IF(MOV_CC_NACIONAL!A1031="","",MOV_CC_NACIONAL!A1031)</f>
        <v/>
      </c>
      <c r="C1031" s="22" t="str">
        <f>IF(MOV_CC_NACIONAL!B1031="","",MOV_CC_NACIONAL!B1031)</f>
        <v/>
      </c>
      <c r="D1031" s="34" t="str">
        <f>IF(MOV_CC_NACIONAL!C1031="","",MOV_CC_NACIONAL!C1031)</f>
        <v/>
      </c>
      <c r="E1031" s="22" t="str">
        <f t="shared" si="1"/>
        <v/>
      </c>
      <c r="F1031" s="22" t="str">
        <f>IFERROR(__xludf.DUMMYFUNCTION("IF(C1031="""","""", OR(REGEXMATCH(LOWER(C1031),""cuota""), REGEXMATCH(C1031,""\d+\s*/\s*\d+"")))"),"")</f>
        <v/>
      </c>
      <c r="G1031" s="22" t="str">
        <f>IFERROR(__xludf.DUMMYFUNCTION("IFERROR(VALUE(REGEXEXTRACT(C1031,""(\d+)\s*/\s*\d+"")),"""")"),"")</f>
        <v/>
      </c>
      <c r="H1031" s="22" t="str">
        <f>IFERROR(__xludf.DUMMYFUNCTION("IFERROR(VALUE(REGEXEXTRACT(C1031,""\d+\s*/\s*(\d+)"")),"""")"),"")</f>
        <v/>
      </c>
      <c r="I1031" s="22" t="str">
        <f t="shared" si="2"/>
        <v/>
      </c>
      <c r="J1031" s="34" t="str">
        <f t="shared" si="3"/>
        <v/>
      </c>
    </row>
    <row r="1032" ht="15.75" customHeight="1">
      <c r="A1032" s="32" t="s">
        <v>113</v>
      </c>
      <c r="B1032" s="32" t="str">
        <f>IF(MOV_CC_NACIONAL!A1032="","",MOV_CC_NACIONAL!A1032)</f>
        <v/>
      </c>
      <c r="C1032" s="32" t="str">
        <f>IF(MOV_CC_NACIONAL!B1032="","",MOV_CC_NACIONAL!B1032)</f>
        <v/>
      </c>
      <c r="D1032" s="33" t="str">
        <f>IF(MOV_CC_NACIONAL!C1032="","",MOV_CC_NACIONAL!C1032)</f>
        <v/>
      </c>
      <c r="E1032" s="32" t="str">
        <f t="shared" si="1"/>
        <v/>
      </c>
      <c r="F1032" s="32" t="str">
        <f>IFERROR(__xludf.DUMMYFUNCTION("IF(C1032="""","""", OR(REGEXMATCH(LOWER(C1032),""cuota""), REGEXMATCH(C1032,""\d+\s*/\s*\d+"")))"),"")</f>
        <v/>
      </c>
      <c r="G1032" s="32" t="str">
        <f>IFERROR(__xludf.DUMMYFUNCTION("IFERROR(VALUE(REGEXEXTRACT(C1032,""(\d+)\s*/\s*\d+"")),"""")"),"")</f>
        <v/>
      </c>
      <c r="H1032" s="32" t="str">
        <f>IFERROR(__xludf.DUMMYFUNCTION("IFERROR(VALUE(REGEXEXTRACT(C1032,""\d+\s*/\s*(\d+)"")),"""")"),"")</f>
        <v/>
      </c>
      <c r="I1032" s="32" t="str">
        <f t="shared" si="2"/>
        <v/>
      </c>
      <c r="J1032" s="33" t="str">
        <f t="shared" si="3"/>
        <v/>
      </c>
    </row>
    <row r="1033" ht="15.75" customHeight="1">
      <c r="A1033" s="22" t="s">
        <v>113</v>
      </c>
      <c r="B1033" s="22" t="str">
        <f>IF(MOV_CC_NACIONAL!A1033="","",MOV_CC_NACIONAL!A1033)</f>
        <v/>
      </c>
      <c r="C1033" s="22" t="str">
        <f>IF(MOV_CC_NACIONAL!B1033="","",MOV_CC_NACIONAL!B1033)</f>
        <v/>
      </c>
      <c r="D1033" s="34" t="str">
        <f>IF(MOV_CC_NACIONAL!C1033="","",MOV_CC_NACIONAL!C1033)</f>
        <v/>
      </c>
      <c r="E1033" s="22" t="str">
        <f t="shared" si="1"/>
        <v/>
      </c>
      <c r="F1033" s="22" t="str">
        <f>IFERROR(__xludf.DUMMYFUNCTION("IF(C1033="""","""", OR(REGEXMATCH(LOWER(C1033),""cuota""), REGEXMATCH(C1033,""\d+\s*/\s*\d+"")))"),"")</f>
        <v/>
      </c>
      <c r="G1033" s="22" t="str">
        <f>IFERROR(__xludf.DUMMYFUNCTION("IFERROR(VALUE(REGEXEXTRACT(C1033,""(\d+)\s*/\s*\d+"")),"""")"),"")</f>
        <v/>
      </c>
      <c r="H1033" s="22" t="str">
        <f>IFERROR(__xludf.DUMMYFUNCTION("IFERROR(VALUE(REGEXEXTRACT(C1033,""\d+\s*/\s*(\d+)"")),"""")"),"")</f>
        <v/>
      </c>
      <c r="I1033" s="22" t="str">
        <f t="shared" si="2"/>
        <v/>
      </c>
      <c r="J1033" s="34" t="str">
        <f t="shared" si="3"/>
        <v/>
      </c>
    </row>
    <row r="1034" ht="15.75" customHeight="1">
      <c r="A1034" s="32" t="s">
        <v>113</v>
      </c>
      <c r="B1034" s="32" t="str">
        <f>IF(MOV_CC_NACIONAL!A1034="","",MOV_CC_NACIONAL!A1034)</f>
        <v/>
      </c>
      <c r="C1034" s="32" t="str">
        <f>IF(MOV_CC_NACIONAL!B1034="","",MOV_CC_NACIONAL!B1034)</f>
        <v/>
      </c>
      <c r="D1034" s="33" t="str">
        <f>IF(MOV_CC_NACIONAL!C1034="","",MOV_CC_NACIONAL!C1034)</f>
        <v/>
      </c>
      <c r="E1034" s="32" t="str">
        <f t="shared" si="1"/>
        <v/>
      </c>
      <c r="F1034" s="32" t="str">
        <f>IFERROR(__xludf.DUMMYFUNCTION("IF(C1034="""","""", OR(REGEXMATCH(LOWER(C1034),""cuota""), REGEXMATCH(C1034,""\d+\s*/\s*\d+"")))"),"")</f>
        <v/>
      </c>
      <c r="G1034" s="32" t="str">
        <f>IFERROR(__xludf.DUMMYFUNCTION("IFERROR(VALUE(REGEXEXTRACT(C1034,""(\d+)\s*/\s*\d+"")),"""")"),"")</f>
        <v/>
      </c>
      <c r="H1034" s="32" t="str">
        <f>IFERROR(__xludf.DUMMYFUNCTION("IFERROR(VALUE(REGEXEXTRACT(C1034,""\d+\s*/\s*(\d+)"")),"""")"),"")</f>
        <v/>
      </c>
      <c r="I1034" s="32" t="str">
        <f t="shared" si="2"/>
        <v/>
      </c>
      <c r="J1034" s="33" t="str">
        <f t="shared" si="3"/>
        <v/>
      </c>
    </row>
    <row r="1035" ht="15.75" customHeight="1">
      <c r="A1035" s="22" t="s">
        <v>113</v>
      </c>
      <c r="B1035" s="22" t="str">
        <f>IF(MOV_CC_NACIONAL!A1035="","",MOV_CC_NACIONAL!A1035)</f>
        <v/>
      </c>
      <c r="C1035" s="22" t="str">
        <f>IF(MOV_CC_NACIONAL!B1035="","",MOV_CC_NACIONAL!B1035)</f>
        <v/>
      </c>
      <c r="D1035" s="34" t="str">
        <f>IF(MOV_CC_NACIONAL!C1035="","",MOV_CC_NACIONAL!C1035)</f>
        <v/>
      </c>
      <c r="E1035" s="22" t="str">
        <f t="shared" si="1"/>
        <v/>
      </c>
      <c r="F1035" s="22" t="str">
        <f>IFERROR(__xludf.DUMMYFUNCTION("IF(C1035="""","""", OR(REGEXMATCH(LOWER(C1035),""cuota""), REGEXMATCH(C1035,""\d+\s*/\s*\d+"")))"),"")</f>
        <v/>
      </c>
      <c r="G1035" s="22" t="str">
        <f>IFERROR(__xludf.DUMMYFUNCTION("IFERROR(VALUE(REGEXEXTRACT(C1035,""(\d+)\s*/\s*\d+"")),"""")"),"")</f>
        <v/>
      </c>
      <c r="H1035" s="22" t="str">
        <f>IFERROR(__xludf.DUMMYFUNCTION("IFERROR(VALUE(REGEXEXTRACT(C1035,""\d+\s*/\s*(\d+)"")),"""")"),"")</f>
        <v/>
      </c>
      <c r="I1035" s="22" t="str">
        <f t="shared" si="2"/>
        <v/>
      </c>
      <c r="J1035" s="34" t="str">
        <f t="shared" si="3"/>
        <v/>
      </c>
    </row>
    <row r="1036" ht="15.75" customHeight="1">
      <c r="A1036" s="32" t="s">
        <v>113</v>
      </c>
      <c r="B1036" s="32" t="str">
        <f>IF(MOV_CC_NACIONAL!A1036="","",MOV_CC_NACIONAL!A1036)</f>
        <v/>
      </c>
      <c r="C1036" s="32" t="str">
        <f>IF(MOV_CC_NACIONAL!B1036="","",MOV_CC_NACIONAL!B1036)</f>
        <v/>
      </c>
      <c r="D1036" s="33" t="str">
        <f>IF(MOV_CC_NACIONAL!C1036="","",MOV_CC_NACIONAL!C1036)</f>
        <v/>
      </c>
      <c r="E1036" s="32" t="str">
        <f t="shared" si="1"/>
        <v/>
      </c>
      <c r="F1036" s="32" t="str">
        <f>IFERROR(__xludf.DUMMYFUNCTION("IF(C1036="""","""", OR(REGEXMATCH(LOWER(C1036),""cuota""), REGEXMATCH(C1036,""\d+\s*/\s*\d+"")))"),"")</f>
        <v/>
      </c>
      <c r="G1036" s="32" t="str">
        <f>IFERROR(__xludf.DUMMYFUNCTION("IFERROR(VALUE(REGEXEXTRACT(C1036,""(\d+)\s*/\s*\d+"")),"""")"),"")</f>
        <v/>
      </c>
      <c r="H1036" s="32" t="str">
        <f>IFERROR(__xludf.DUMMYFUNCTION("IFERROR(VALUE(REGEXEXTRACT(C1036,""\d+\s*/\s*(\d+)"")),"""")"),"")</f>
        <v/>
      </c>
      <c r="I1036" s="32" t="str">
        <f t="shared" si="2"/>
        <v/>
      </c>
      <c r="J1036" s="33" t="str">
        <f t="shared" si="3"/>
        <v/>
      </c>
    </row>
    <row r="1037" ht="15.75" customHeight="1">
      <c r="A1037" s="22" t="s">
        <v>113</v>
      </c>
      <c r="B1037" s="22" t="str">
        <f>IF(MOV_CC_NACIONAL!A1037="","",MOV_CC_NACIONAL!A1037)</f>
        <v/>
      </c>
      <c r="C1037" s="22" t="str">
        <f>IF(MOV_CC_NACIONAL!B1037="","",MOV_CC_NACIONAL!B1037)</f>
        <v/>
      </c>
      <c r="D1037" s="34" t="str">
        <f>IF(MOV_CC_NACIONAL!C1037="","",MOV_CC_NACIONAL!C1037)</f>
        <v/>
      </c>
      <c r="E1037" s="22" t="str">
        <f t="shared" si="1"/>
        <v/>
      </c>
      <c r="F1037" s="22" t="str">
        <f>IFERROR(__xludf.DUMMYFUNCTION("IF(C1037="""","""", OR(REGEXMATCH(LOWER(C1037),""cuota""), REGEXMATCH(C1037,""\d+\s*/\s*\d+"")))"),"")</f>
        <v/>
      </c>
      <c r="G1037" s="22" t="str">
        <f>IFERROR(__xludf.DUMMYFUNCTION("IFERROR(VALUE(REGEXEXTRACT(C1037,""(\d+)\s*/\s*\d+"")),"""")"),"")</f>
        <v/>
      </c>
      <c r="H1037" s="22" t="str">
        <f>IFERROR(__xludf.DUMMYFUNCTION("IFERROR(VALUE(REGEXEXTRACT(C1037,""\d+\s*/\s*(\d+)"")),"""")"),"")</f>
        <v/>
      </c>
      <c r="I1037" s="22" t="str">
        <f t="shared" si="2"/>
        <v/>
      </c>
      <c r="J1037" s="34" t="str">
        <f t="shared" si="3"/>
        <v/>
      </c>
    </row>
    <row r="1038" ht="15.75" customHeight="1">
      <c r="A1038" s="32" t="s">
        <v>113</v>
      </c>
      <c r="B1038" s="32" t="str">
        <f>IF(MOV_CC_NACIONAL!A1038="","",MOV_CC_NACIONAL!A1038)</f>
        <v/>
      </c>
      <c r="C1038" s="32" t="str">
        <f>IF(MOV_CC_NACIONAL!B1038="","",MOV_CC_NACIONAL!B1038)</f>
        <v/>
      </c>
      <c r="D1038" s="33" t="str">
        <f>IF(MOV_CC_NACIONAL!C1038="","",MOV_CC_NACIONAL!C1038)</f>
        <v/>
      </c>
      <c r="E1038" s="32" t="str">
        <f t="shared" si="1"/>
        <v/>
      </c>
      <c r="F1038" s="32" t="str">
        <f>IFERROR(__xludf.DUMMYFUNCTION("IF(C1038="""","""", OR(REGEXMATCH(LOWER(C1038),""cuota""), REGEXMATCH(C1038,""\d+\s*/\s*\d+"")))"),"")</f>
        <v/>
      </c>
      <c r="G1038" s="32" t="str">
        <f>IFERROR(__xludf.DUMMYFUNCTION("IFERROR(VALUE(REGEXEXTRACT(C1038,""(\d+)\s*/\s*\d+"")),"""")"),"")</f>
        <v/>
      </c>
      <c r="H1038" s="32" t="str">
        <f>IFERROR(__xludf.DUMMYFUNCTION("IFERROR(VALUE(REGEXEXTRACT(C1038,""\d+\s*/\s*(\d+)"")),"""")"),"")</f>
        <v/>
      </c>
      <c r="I1038" s="32" t="str">
        <f t="shared" si="2"/>
        <v/>
      </c>
      <c r="J1038" s="33" t="str">
        <f t="shared" si="3"/>
        <v/>
      </c>
    </row>
    <row r="1039" ht="15.75" customHeight="1">
      <c r="A1039" s="22" t="s">
        <v>113</v>
      </c>
      <c r="B1039" s="22" t="str">
        <f>IF(MOV_CC_NACIONAL!A1039="","",MOV_CC_NACIONAL!A1039)</f>
        <v/>
      </c>
      <c r="C1039" s="22" t="str">
        <f>IF(MOV_CC_NACIONAL!B1039="","",MOV_CC_NACIONAL!B1039)</f>
        <v/>
      </c>
      <c r="D1039" s="34" t="str">
        <f>IF(MOV_CC_NACIONAL!C1039="","",MOV_CC_NACIONAL!C1039)</f>
        <v/>
      </c>
      <c r="E1039" s="22" t="str">
        <f t="shared" si="1"/>
        <v/>
      </c>
      <c r="F1039" s="22" t="str">
        <f>IFERROR(__xludf.DUMMYFUNCTION("IF(C1039="""","""", OR(REGEXMATCH(LOWER(C1039),""cuota""), REGEXMATCH(C1039,""\d+\s*/\s*\d+"")))"),"")</f>
        <v/>
      </c>
      <c r="G1039" s="22" t="str">
        <f>IFERROR(__xludf.DUMMYFUNCTION("IFERROR(VALUE(REGEXEXTRACT(C1039,""(\d+)\s*/\s*\d+"")),"""")"),"")</f>
        <v/>
      </c>
      <c r="H1039" s="22" t="str">
        <f>IFERROR(__xludf.DUMMYFUNCTION("IFERROR(VALUE(REGEXEXTRACT(C1039,""\d+\s*/\s*(\d+)"")),"""")"),"")</f>
        <v/>
      </c>
      <c r="I1039" s="22" t="str">
        <f t="shared" si="2"/>
        <v/>
      </c>
      <c r="J1039" s="34" t="str">
        <f t="shared" si="3"/>
        <v/>
      </c>
    </row>
    <row r="1040" ht="15.75" customHeight="1">
      <c r="A1040" s="32" t="s">
        <v>113</v>
      </c>
      <c r="B1040" s="32" t="str">
        <f>IF(MOV_CC_NACIONAL!A1040="","",MOV_CC_NACIONAL!A1040)</f>
        <v/>
      </c>
      <c r="C1040" s="32" t="str">
        <f>IF(MOV_CC_NACIONAL!B1040="","",MOV_CC_NACIONAL!B1040)</f>
        <v/>
      </c>
      <c r="D1040" s="33" t="str">
        <f>IF(MOV_CC_NACIONAL!C1040="","",MOV_CC_NACIONAL!C1040)</f>
        <v/>
      </c>
      <c r="E1040" s="32" t="str">
        <f t="shared" si="1"/>
        <v/>
      </c>
      <c r="F1040" s="32" t="str">
        <f>IFERROR(__xludf.DUMMYFUNCTION("IF(C1040="""","""", OR(REGEXMATCH(LOWER(C1040),""cuota""), REGEXMATCH(C1040,""\d+\s*/\s*\d+"")))"),"")</f>
        <v/>
      </c>
      <c r="G1040" s="32" t="str">
        <f>IFERROR(__xludf.DUMMYFUNCTION("IFERROR(VALUE(REGEXEXTRACT(C1040,""(\d+)\s*/\s*\d+"")),"""")"),"")</f>
        <v/>
      </c>
      <c r="H1040" s="32" t="str">
        <f>IFERROR(__xludf.DUMMYFUNCTION("IFERROR(VALUE(REGEXEXTRACT(C1040,""\d+\s*/\s*(\d+)"")),"""")"),"")</f>
        <v/>
      </c>
      <c r="I1040" s="32" t="str">
        <f t="shared" si="2"/>
        <v/>
      </c>
      <c r="J1040" s="33" t="str">
        <f t="shared" si="3"/>
        <v/>
      </c>
    </row>
    <row r="1041" ht="15.75" customHeight="1">
      <c r="A1041" s="22" t="s">
        <v>113</v>
      </c>
      <c r="B1041" s="22" t="str">
        <f>IF(MOV_CC_NACIONAL!A1041="","",MOV_CC_NACIONAL!A1041)</f>
        <v/>
      </c>
      <c r="C1041" s="22" t="str">
        <f>IF(MOV_CC_NACIONAL!B1041="","",MOV_CC_NACIONAL!B1041)</f>
        <v/>
      </c>
      <c r="D1041" s="34" t="str">
        <f>IF(MOV_CC_NACIONAL!C1041="","",MOV_CC_NACIONAL!C1041)</f>
        <v/>
      </c>
      <c r="E1041" s="22" t="str">
        <f t="shared" si="1"/>
        <v/>
      </c>
      <c r="F1041" s="22" t="str">
        <f>IFERROR(__xludf.DUMMYFUNCTION("IF(C1041="""","""", OR(REGEXMATCH(LOWER(C1041),""cuota""), REGEXMATCH(C1041,""\d+\s*/\s*\d+"")))"),"")</f>
        <v/>
      </c>
      <c r="G1041" s="22" t="str">
        <f>IFERROR(__xludf.DUMMYFUNCTION("IFERROR(VALUE(REGEXEXTRACT(C1041,""(\d+)\s*/\s*\d+"")),"""")"),"")</f>
        <v/>
      </c>
      <c r="H1041" s="22" t="str">
        <f>IFERROR(__xludf.DUMMYFUNCTION("IFERROR(VALUE(REGEXEXTRACT(C1041,""\d+\s*/\s*(\d+)"")),"""")"),"")</f>
        <v/>
      </c>
      <c r="I1041" s="22" t="str">
        <f t="shared" si="2"/>
        <v/>
      </c>
      <c r="J1041" s="34" t="str">
        <f t="shared" si="3"/>
        <v/>
      </c>
    </row>
    <row r="1042" ht="15.75" customHeight="1">
      <c r="A1042" s="32" t="s">
        <v>113</v>
      </c>
      <c r="B1042" s="32" t="str">
        <f>IF(MOV_CC_NACIONAL!A1042="","",MOV_CC_NACIONAL!A1042)</f>
        <v/>
      </c>
      <c r="C1042" s="32" t="str">
        <f>IF(MOV_CC_NACIONAL!B1042="","",MOV_CC_NACIONAL!B1042)</f>
        <v/>
      </c>
      <c r="D1042" s="33" t="str">
        <f>IF(MOV_CC_NACIONAL!C1042="","",MOV_CC_NACIONAL!C1042)</f>
        <v/>
      </c>
      <c r="E1042" s="32" t="str">
        <f t="shared" si="1"/>
        <v/>
      </c>
      <c r="F1042" s="32" t="str">
        <f>IFERROR(__xludf.DUMMYFUNCTION("IF(C1042="""","""", OR(REGEXMATCH(LOWER(C1042),""cuota""), REGEXMATCH(C1042,""\d+\s*/\s*\d+"")))"),"")</f>
        <v/>
      </c>
      <c r="G1042" s="32" t="str">
        <f>IFERROR(__xludf.DUMMYFUNCTION("IFERROR(VALUE(REGEXEXTRACT(C1042,""(\d+)\s*/\s*\d+"")),"""")"),"")</f>
        <v/>
      </c>
      <c r="H1042" s="32" t="str">
        <f>IFERROR(__xludf.DUMMYFUNCTION("IFERROR(VALUE(REGEXEXTRACT(C1042,""\d+\s*/\s*(\d+)"")),"""")"),"")</f>
        <v/>
      </c>
      <c r="I1042" s="32" t="str">
        <f t="shared" si="2"/>
        <v/>
      </c>
      <c r="J1042" s="33" t="str">
        <f t="shared" si="3"/>
        <v/>
      </c>
    </row>
    <row r="1043" ht="15.75" customHeight="1">
      <c r="A1043" s="22" t="s">
        <v>113</v>
      </c>
      <c r="B1043" s="22" t="str">
        <f>IF(MOV_CC_NACIONAL!A1043="","",MOV_CC_NACIONAL!A1043)</f>
        <v/>
      </c>
      <c r="C1043" s="22" t="str">
        <f>IF(MOV_CC_NACIONAL!B1043="","",MOV_CC_NACIONAL!B1043)</f>
        <v/>
      </c>
      <c r="D1043" s="34" t="str">
        <f>IF(MOV_CC_NACIONAL!C1043="","",MOV_CC_NACIONAL!C1043)</f>
        <v/>
      </c>
      <c r="E1043" s="22" t="str">
        <f t="shared" si="1"/>
        <v/>
      </c>
      <c r="F1043" s="22" t="str">
        <f>IFERROR(__xludf.DUMMYFUNCTION("IF(C1043="""","""", OR(REGEXMATCH(LOWER(C1043),""cuota""), REGEXMATCH(C1043,""\d+\s*/\s*\d+"")))"),"")</f>
        <v/>
      </c>
      <c r="G1043" s="22" t="str">
        <f>IFERROR(__xludf.DUMMYFUNCTION("IFERROR(VALUE(REGEXEXTRACT(C1043,""(\d+)\s*/\s*\d+"")),"""")"),"")</f>
        <v/>
      </c>
      <c r="H1043" s="22" t="str">
        <f>IFERROR(__xludf.DUMMYFUNCTION("IFERROR(VALUE(REGEXEXTRACT(C1043,""\d+\s*/\s*(\d+)"")),"""")"),"")</f>
        <v/>
      </c>
      <c r="I1043" s="22" t="str">
        <f t="shared" si="2"/>
        <v/>
      </c>
      <c r="J1043" s="34" t="str">
        <f t="shared" si="3"/>
        <v/>
      </c>
    </row>
    <row r="1044" ht="15.75" customHeight="1">
      <c r="A1044" s="32" t="s">
        <v>113</v>
      </c>
      <c r="B1044" s="32" t="str">
        <f>IF(MOV_CC_NACIONAL!A1044="","",MOV_CC_NACIONAL!A1044)</f>
        <v/>
      </c>
      <c r="C1044" s="32" t="str">
        <f>IF(MOV_CC_NACIONAL!B1044="","",MOV_CC_NACIONAL!B1044)</f>
        <v/>
      </c>
      <c r="D1044" s="33" t="str">
        <f>IF(MOV_CC_NACIONAL!C1044="","",MOV_CC_NACIONAL!C1044)</f>
        <v/>
      </c>
      <c r="E1044" s="32" t="str">
        <f t="shared" si="1"/>
        <v/>
      </c>
      <c r="F1044" s="32" t="str">
        <f>IFERROR(__xludf.DUMMYFUNCTION("IF(C1044="""","""", OR(REGEXMATCH(LOWER(C1044),""cuota""), REGEXMATCH(C1044,""\d+\s*/\s*\d+"")))"),"")</f>
        <v/>
      </c>
      <c r="G1044" s="32" t="str">
        <f>IFERROR(__xludf.DUMMYFUNCTION("IFERROR(VALUE(REGEXEXTRACT(C1044,""(\d+)\s*/\s*\d+"")),"""")"),"")</f>
        <v/>
      </c>
      <c r="H1044" s="32" t="str">
        <f>IFERROR(__xludf.DUMMYFUNCTION("IFERROR(VALUE(REGEXEXTRACT(C1044,""\d+\s*/\s*(\d+)"")),"""")"),"")</f>
        <v/>
      </c>
      <c r="I1044" s="32" t="str">
        <f t="shared" si="2"/>
        <v/>
      </c>
      <c r="J1044" s="33" t="str">
        <f t="shared" si="3"/>
        <v/>
      </c>
    </row>
    <row r="1045" ht="15.75" customHeight="1">
      <c r="A1045" s="22" t="s">
        <v>113</v>
      </c>
      <c r="B1045" s="22" t="str">
        <f>IF(MOV_CC_NACIONAL!A1045="","",MOV_CC_NACIONAL!A1045)</f>
        <v/>
      </c>
      <c r="C1045" s="22" t="str">
        <f>IF(MOV_CC_NACIONAL!B1045="","",MOV_CC_NACIONAL!B1045)</f>
        <v/>
      </c>
      <c r="D1045" s="34" t="str">
        <f>IF(MOV_CC_NACIONAL!C1045="","",MOV_CC_NACIONAL!C1045)</f>
        <v/>
      </c>
      <c r="E1045" s="22" t="str">
        <f t="shared" si="1"/>
        <v/>
      </c>
      <c r="F1045" s="22" t="str">
        <f>IFERROR(__xludf.DUMMYFUNCTION("IF(C1045="""","""", OR(REGEXMATCH(LOWER(C1045),""cuota""), REGEXMATCH(C1045,""\d+\s*/\s*\d+"")))"),"")</f>
        <v/>
      </c>
      <c r="G1045" s="22" t="str">
        <f>IFERROR(__xludf.DUMMYFUNCTION("IFERROR(VALUE(REGEXEXTRACT(C1045,""(\d+)\s*/\s*\d+"")),"""")"),"")</f>
        <v/>
      </c>
      <c r="H1045" s="22" t="str">
        <f>IFERROR(__xludf.DUMMYFUNCTION("IFERROR(VALUE(REGEXEXTRACT(C1045,""\d+\s*/\s*(\d+)"")),"""")"),"")</f>
        <v/>
      </c>
      <c r="I1045" s="22" t="str">
        <f t="shared" si="2"/>
        <v/>
      </c>
      <c r="J1045" s="34" t="str">
        <f t="shared" si="3"/>
        <v/>
      </c>
    </row>
    <row r="1046" ht="15.75" customHeight="1">
      <c r="A1046" s="32" t="s">
        <v>113</v>
      </c>
      <c r="B1046" s="32" t="str">
        <f>IF(MOV_CC_NACIONAL!A1046="","",MOV_CC_NACIONAL!A1046)</f>
        <v/>
      </c>
      <c r="C1046" s="32" t="str">
        <f>IF(MOV_CC_NACIONAL!B1046="","",MOV_CC_NACIONAL!B1046)</f>
        <v/>
      </c>
      <c r="D1046" s="33" t="str">
        <f>IF(MOV_CC_NACIONAL!C1046="","",MOV_CC_NACIONAL!C1046)</f>
        <v/>
      </c>
      <c r="E1046" s="32" t="str">
        <f t="shared" si="1"/>
        <v/>
      </c>
      <c r="F1046" s="32" t="str">
        <f>IFERROR(__xludf.DUMMYFUNCTION("IF(C1046="""","""", OR(REGEXMATCH(LOWER(C1046),""cuota""), REGEXMATCH(C1046,""\d+\s*/\s*\d+"")))"),"")</f>
        <v/>
      </c>
      <c r="G1046" s="32" t="str">
        <f>IFERROR(__xludf.DUMMYFUNCTION("IFERROR(VALUE(REGEXEXTRACT(C1046,""(\d+)\s*/\s*\d+"")),"""")"),"")</f>
        <v/>
      </c>
      <c r="H1046" s="32" t="str">
        <f>IFERROR(__xludf.DUMMYFUNCTION("IFERROR(VALUE(REGEXEXTRACT(C1046,""\d+\s*/\s*(\d+)"")),"""")"),"")</f>
        <v/>
      </c>
      <c r="I1046" s="32" t="str">
        <f t="shared" si="2"/>
        <v/>
      </c>
      <c r="J1046" s="33" t="str">
        <f t="shared" si="3"/>
        <v/>
      </c>
    </row>
    <row r="1047" ht="15.75" customHeight="1">
      <c r="A1047" s="22" t="s">
        <v>113</v>
      </c>
      <c r="B1047" s="22" t="str">
        <f>IF(MOV_CC_NACIONAL!A1047="","",MOV_CC_NACIONAL!A1047)</f>
        <v/>
      </c>
      <c r="C1047" s="22" t="str">
        <f>IF(MOV_CC_NACIONAL!B1047="","",MOV_CC_NACIONAL!B1047)</f>
        <v/>
      </c>
      <c r="D1047" s="34" t="str">
        <f>IF(MOV_CC_NACIONAL!C1047="","",MOV_CC_NACIONAL!C1047)</f>
        <v/>
      </c>
      <c r="E1047" s="22" t="str">
        <f t="shared" si="1"/>
        <v/>
      </c>
      <c r="F1047" s="22" t="str">
        <f>IFERROR(__xludf.DUMMYFUNCTION("IF(C1047="""","""", OR(REGEXMATCH(LOWER(C1047),""cuota""), REGEXMATCH(C1047,""\d+\s*/\s*\d+"")))"),"")</f>
        <v/>
      </c>
      <c r="G1047" s="22" t="str">
        <f>IFERROR(__xludf.DUMMYFUNCTION("IFERROR(VALUE(REGEXEXTRACT(C1047,""(\d+)\s*/\s*\d+"")),"""")"),"")</f>
        <v/>
      </c>
      <c r="H1047" s="22" t="str">
        <f>IFERROR(__xludf.DUMMYFUNCTION("IFERROR(VALUE(REGEXEXTRACT(C1047,""\d+\s*/\s*(\d+)"")),"""")"),"")</f>
        <v/>
      </c>
      <c r="I1047" s="22" t="str">
        <f t="shared" si="2"/>
        <v/>
      </c>
      <c r="J1047" s="34" t="str">
        <f t="shared" si="3"/>
        <v/>
      </c>
    </row>
    <row r="1048" ht="15.75" customHeight="1">
      <c r="A1048" s="32" t="s">
        <v>113</v>
      </c>
      <c r="B1048" s="32" t="str">
        <f>IF(MOV_CC_NACIONAL!A1048="","",MOV_CC_NACIONAL!A1048)</f>
        <v/>
      </c>
      <c r="C1048" s="32" t="str">
        <f>IF(MOV_CC_NACIONAL!B1048="","",MOV_CC_NACIONAL!B1048)</f>
        <v/>
      </c>
      <c r="D1048" s="33" t="str">
        <f>IF(MOV_CC_NACIONAL!C1048="","",MOV_CC_NACIONAL!C1048)</f>
        <v/>
      </c>
      <c r="E1048" s="32" t="str">
        <f t="shared" si="1"/>
        <v/>
      </c>
      <c r="F1048" s="32" t="str">
        <f>IFERROR(__xludf.DUMMYFUNCTION("IF(C1048="""","""", OR(REGEXMATCH(LOWER(C1048),""cuota""), REGEXMATCH(C1048,""\d+\s*/\s*\d+"")))"),"")</f>
        <v/>
      </c>
      <c r="G1048" s="32" t="str">
        <f>IFERROR(__xludf.DUMMYFUNCTION("IFERROR(VALUE(REGEXEXTRACT(C1048,""(\d+)\s*/\s*\d+"")),"""")"),"")</f>
        <v/>
      </c>
      <c r="H1048" s="32" t="str">
        <f>IFERROR(__xludf.DUMMYFUNCTION("IFERROR(VALUE(REGEXEXTRACT(C1048,""\d+\s*/\s*(\d+)"")),"""")"),"")</f>
        <v/>
      </c>
      <c r="I1048" s="32" t="str">
        <f t="shared" si="2"/>
        <v/>
      </c>
      <c r="J1048" s="33" t="str">
        <f t="shared" si="3"/>
        <v/>
      </c>
    </row>
    <row r="1049" ht="15.75" customHeight="1">
      <c r="A1049" s="22" t="s">
        <v>113</v>
      </c>
      <c r="B1049" s="22" t="str">
        <f>IF(MOV_CC_NACIONAL!A1049="","",MOV_CC_NACIONAL!A1049)</f>
        <v/>
      </c>
      <c r="C1049" s="22" t="str">
        <f>IF(MOV_CC_NACIONAL!B1049="","",MOV_CC_NACIONAL!B1049)</f>
        <v/>
      </c>
      <c r="D1049" s="34" t="str">
        <f>IF(MOV_CC_NACIONAL!C1049="","",MOV_CC_NACIONAL!C1049)</f>
        <v/>
      </c>
      <c r="E1049" s="22" t="str">
        <f t="shared" si="1"/>
        <v/>
      </c>
      <c r="F1049" s="22" t="str">
        <f>IFERROR(__xludf.DUMMYFUNCTION("IF(C1049="""","""", OR(REGEXMATCH(LOWER(C1049),""cuota""), REGEXMATCH(C1049,""\d+\s*/\s*\d+"")))"),"")</f>
        <v/>
      </c>
      <c r="G1049" s="22" t="str">
        <f>IFERROR(__xludf.DUMMYFUNCTION("IFERROR(VALUE(REGEXEXTRACT(C1049,""(\d+)\s*/\s*\d+"")),"""")"),"")</f>
        <v/>
      </c>
      <c r="H1049" s="22" t="str">
        <f>IFERROR(__xludf.DUMMYFUNCTION("IFERROR(VALUE(REGEXEXTRACT(C1049,""\d+\s*/\s*(\d+)"")),"""")"),"")</f>
        <v/>
      </c>
      <c r="I1049" s="22" t="str">
        <f t="shared" si="2"/>
        <v/>
      </c>
      <c r="J1049" s="34" t="str">
        <f t="shared" si="3"/>
        <v/>
      </c>
    </row>
    <row r="1050" ht="15.75" customHeight="1">
      <c r="A1050" s="32" t="s">
        <v>113</v>
      </c>
      <c r="B1050" s="32" t="str">
        <f>IF(MOV_CC_NACIONAL!A1050="","",MOV_CC_NACIONAL!A1050)</f>
        <v/>
      </c>
      <c r="C1050" s="32" t="str">
        <f>IF(MOV_CC_NACIONAL!B1050="","",MOV_CC_NACIONAL!B1050)</f>
        <v/>
      </c>
      <c r="D1050" s="33" t="str">
        <f>IF(MOV_CC_NACIONAL!C1050="","",MOV_CC_NACIONAL!C1050)</f>
        <v/>
      </c>
      <c r="E1050" s="32" t="str">
        <f t="shared" si="1"/>
        <v/>
      </c>
      <c r="F1050" s="32" t="str">
        <f>IFERROR(__xludf.DUMMYFUNCTION("IF(C1050="""","""", OR(REGEXMATCH(LOWER(C1050),""cuota""), REGEXMATCH(C1050,""\d+\s*/\s*\d+"")))"),"")</f>
        <v/>
      </c>
      <c r="G1050" s="32" t="str">
        <f>IFERROR(__xludf.DUMMYFUNCTION("IFERROR(VALUE(REGEXEXTRACT(C1050,""(\d+)\s*/\s*\d+"")),"""")"),"")</f>
        <v/>
      </c>
      <c r="H1050" s="32" t="str">
        <f>IFERROR(__xludf.DUMMYFUNCTION("IFERROR(VALUE(REGEXEXTRACT(C1050,""\d+\s*/\s*(\d+)"")),"""")"),"")</f>
        <v/>
      </c>
      <c r="I1050" s="32" t="str">
        <f t="shared" si="2"/>
        <v/>
      </c>
      <c r="J1050" s="33" t="str">
        <f t="shared" si="3"/>
        <v/>
      </c>
    </row>
    <row r="1051" ht="15.75" customHeight="1">
      <c r="A1051" s="22" t="s">
        <v>113</v>
      </c>
      <c r="B1051" s="22" t="str">
        <f>IF(MOV_CC_NACIONAL!A1051="","",MOV_CC_NACIONAL!A1051)</f>
        <v/>
      </c>
      <c r="C1051" s="22" t="str">
        <f>IF(MOV_CC_NACIONAL!B1051="","",MOV_CC_NACIONAL!B1051)</f>
        <v/>
      </c>
      <c r="D1051" s="34" t="str">
        <f>IF(MOV_CC_NACIONAL!C1051="","",MOV_CC_NACIONAL!C1051)</f>
        <v/>
      </c>
      <c r="E1051" s="22" t="str">
        <f t="shared" si="1"/>
        <v/>
      </c>
      <c r="F1051" s="22" t="str">
        <f>IFERROR(__xludf.DUMMYFUNCTION("IF(C1051="""","""", OR(REGEXMATCH(LOWER(C1051),""cuota""), REGEXMATCH(C1051,""\d+\s*/\s*\d+"")))"),"")</f>
        <v/>
      </c>
      <c r="G1051" s="22" t="str">
        <f>IFERROR(__xludf.DUMMYFUNCTION("IFERROR(VALUE(REGEXEXTRACT(C1051,""(\d+)\s*/\s*\d+"")),"""")"),"")</f>
        <v/>
      </c>
      <c r="H1051" s="22" t="str">
        <f>IFERROR(__xludf.DUMMYFUNCTION("IFERROR(VALUE(REGEXEXTRACT(C1051,""\d+\s*/\s*(\d+)"")),"""")"),"")</f>
        <v/>
      </c>
      <c r="I1051" s="22" t="str">
        <f t="shared" si="2"/>
        <v/>
      </c>
      <c r="J1051" s="34" t="str">
        <f t="shared" si="3"/>
        <v/>
      </c>
    </row>
    <row r="1052" ht="15.75" customHeight="1">
      <c r="A1052" s="32" t="s">
        <v>113</v>
      </c>
      <c r="B1052" s="32" t="str">
        <f>IF(MOV_CC_NACIONAL!A1052="","",MOV_CC_NACIONAL!A1052)</f>
        <v/>
      </c>
      <c r="C1052" s="32" t="str">
        <f>IF(MOV_CC_NACIONAL!B1052="","",MOV_CC_NACIONAL!B1052)</f>
        <v/>
      </c>
      <c r="D1052" s="33" t="str">
        <f>IF(MOV_CC_NACIONAL!C1052="","",MOV_CC_NACIONAL!C1052)</f>
        <v/>
      </c>
      <c r="E1052" s="32" t="str">
        <f t="shared" si="1"/>
        <v/>
      </c>
      <c r="F1052" s="32" t="str">
        <f>IFERROR(__xludf.DUMMYFUNCTION("IF(C1052="""","""", OR(REGEXMATCH(LOWER(C1052),""cuota""), REGEXMATCH(C1052,""\d+\s*/\s*\d+"")))"),"")</f>
        <v/>
      </c>
      <c r="G1052" s="32" t="str">
        <f>IFERROR(__xludf.DUMMYFUNCTION("IFERROR(VALUE(REGEXEXTRACT(C1052,""(\d+)\s*/\s*\d+"")),"""")"),"")</f>
        <v/>
      </c>
      <c r="H1052" s="32" t="str">
        <f>IFERROR(__xludf.DUMMYFUNCTION("IFERROR(VALUE(REGEXEXTRACT(C1052,""\d+\s*/\s*(\d+)"")),"""")"),"")</f>
        <v/>
      </c>
      <c r="I1052" s="32" t="str">
        <f t="shared" si="2"/>
        <v/>
      </c>
      <c r="J1052" s="33" t="str">
        <f t="shared" si="3"/>
        <v/>
      </c>
    </row>
    <row r="1053" ht="15.75" customHeight="1">
      <c r="A1053" s="22" t="s">
        <v>113</v>
      </c>
      <c r="B1053" s="22" t="str">
        <f>IF(MOV_CC_NACIONAL!A1053="","",MOV_CC_NACIONAL!A1053)</f>
        <v/>
      </c>
      <c r="C1053" s="22" t="str">
        <f>IF(MOV_CC_NACIONAL!B1053="","",MOV_CC_NACIONAL!B1053)</f>
        <v/>
      </c>
      <c r="D1053" s="34" t="str">
        <f>IF(MOV_CC_NACIONAL!C1053="","",MOV_CC_NACIONAL!C1053)</f>
        <v/>
      </c>
      <c r="E1053" s="22" t="str">
        <f t="shared" si="1"/>
        <v/>
      </c>
      <c r="F1053" s="22" t="str">
        <f>IFERROR(__xludf.DUMMYFUNCTION("IF(C1053="""","""", OR(REGEXMATCH(LOWER(C1053),""cuota""), REGEXMATCH(C1053,""\d+\s*/\s*\d+"")))"),"")</f>
        <v/>
      </c>
      <c r="G1053" s="22" t="str">
        <f>IFERROR(__xludf.DUMMYFUNCTION("IFERROR(VALUE(REGEXEXTRACT(C1053,""(\d+)\s*/\s*\d+"")),"""")"),"")</f>
        <v/>
      </c>
      <c r="H1053" s="22" t="str">
        <f>IFERROR(__xludf.DUMMYFUNCTION("IFERROR(VALUE(REGEXEXTRACT(C1053,""\d+\s*/\s*(\d+)"")),"""")"),"")</f>
        <v/>
      </c>
      <c r="I1053" s="22" t="str">
        <f t="shared" si="2"/>
        <v/>
      </c>
      <c r="J1053" s="34" t="str">
        <f t="shared" si="3"/>
        <v/>
      </c>
    </row>
    <row r="1054" ht="15.75" customHeight="1">
      <c r="A1054" s="32" t="s">
        <v>113</v>
      </c>
      <c r="B1054" s="32" t="str">
        <f>IF(MOV_CC_NACIONAL!A1054="","",MOV_CC_NACIONAL!A1054)</f>
        <v/>
      </c>
      <c r="C1054" s="32" t="str">
        <f>IF(MOV_CC_NACIONAL!B1054="","",MOV_CC_NACIONAL!B1054)</f>
        <v/>
      </c>
      <c r="D1054" s="33" t="str">
        <f>IF(MOV_CC_NACIONAL!C1054="","",MOV_CC_NACIONAL!C1054)</f>
        <v/>
      </c>
      <c r="E1054" s="32" t="str">
        <f t="shared" si="1"/>
        <v/>
      </c>
      <c r="F1054" s="32" t="str">
        <f>IFERROR(__xludf.DUMMYFUNCTION("IF(C1054="""","""", OR(REGEXMATCH(LOWER(C1054),""cuota""), REGEXMATCH(C1054,""\d+\s*/\s*\d+"")))"),"")</f>
        <v/>
      </c>
      <c r="G1054" s="32" t="str">
        <f>IFERROR(__xludf.DUMMYFUNCTION("IFERROR(VALUE(REGEXEXTRACT(C1054,""(\d+)\s*/\s*\d+"")),"""")"),"")</f>
        <v/>
      </c>
      <c r="H1054" s="32" t="str">
        <f>IFERROR(__xludf.DUMMYFUNCTION("IFERROR(VALUE(REGEXEXTRACT(C1054,""\d+\s*/\s*(\d+)"")),"""")"),"")</f>
        <v/>
      </c>
      <c r="I1054" s="32" t="str">
        <f t="shared" si="2"/>
        <v/>
      </c>
      <c r="J1054" s="33" t="str">
        <f t="shared" si="3"/>
        <v/>
      </c>
    </row>
    <row r="1055" ht="15.75" customHeight="1">
      <c r="A1055" s="22" t="s">
        <v>113</v>
      </c>
      <c r="B1055" s="22" t="str">
        <f>IF(MOV_CC_NACIONAL!A1055="","",MOV_CC_NACIONAL!A1055)</f>
        <v/>
      </c>
      <c r="C1055" s="22" t="str">
        <f>IF(MOV_CC_NACIONAL!B1055="","",MOV_CC_NACIONAL!B1055)</f>
        <v/>
      </c>
      <c r="D1055" s="34" t="str">
        <f>IF(MOV_CC_NACIONAL!C1055="","",MOV_CC_NACIONAL!C1055)</f>
        <v/>
      </c>
      <c r="E1055" s="22" t="str">
        <f t="shared" si="1"/>
        <v/>
      </c>
      <c r="F1055" s="22" t="str">
        <f>IFERROR(__xludf.DUMMYFUNCTION("IF(C1055="""","""", OR(REGEXMATCH(LOWER(C1055),""cuota""), REGEXMATCH(C1055,""\d+\s*/\s*\d+"")))"),"")</f>
        <v/>
      </c>
      <c r="G1055" s="22" t="str">
        <f>IFERROR(__xludf.DUMMYFUNCTION("IFERROR(VALUE(REGEXEXTRACT(C1055,""(\d+)\s*/\s*\d+"")),"""")"),"")</f>
        <v/>
      </c>
      <c r="H1055" s="22" t="str">
        <f>IFERROR(__xludf.DUMMYFUNCTION("IFERROR(VALUE(REGEXEXTRACT(C1055,""\d+\s*/\s*(\d+)"")),"""")"),"")</f>
        <v/>
      </c>
      <c r="I1055" s="22" t="str">
        <f t="shared" si="2"/>
        <v/>
      </c>
      <c r="J1055" s="34" t="str">
        <f t="shared" si="3"/>
        <v/>
      </c>
    </row>
    <row r="1056" ht="15.75" customHeight="1">
      <c r="A1056" s="32" t="s">
        <v>113</v>
      </c>
      <c r="B1056" s="32" t="str">
        <f>IF(MOV_CC_NACIONAL!A1056="","",MOV_CC_NACIONAL!A1056)</f>
        <v/>
      </c>
      <c r="C1056" s="32" t="str">
        <f>IF(MOV_CC_NACIONAL!B1056="","",MOV_CC_NACIONAL!B1056)</f>
        <v/>
      </c>
      <c r="D1056" s="33" t="str">
        <f>IF(MOV_CC_NACIONAL!C1056="","",MOV_CC_NACIONAL!C1056)</f>
        <v/>
      </c>
      <c r="E1056" s="32" t="str">
        <f t="shared" si="1"/>
        <v/>
      </c>
      <c r="F1056" s="32" t="str">
        <f>IFERROR(__xludf.DUMMYFUNCTION("IF(C1056="""","""", OR(REGEXMATCH(LOWER(C1056),""cuota""), REGEXMATCH(C1056,""\d+\s*/\s*\d+"")))"),"")</f>
        <v/>
      </c>
      <c r="G1056" s="32" t="str">
        <f>IFERROR(__xludf.DUMMYFUNCTION("IFERROR(VALUE(REGEXEXTRACT(C1056,""(\d+)\s*/\s*\d+"")),"""")"),"")</f>
        <v/>
      </c>
      <c r="H1056" s="32" t="str">
        <f>IFERROR(__xludf.DUMMYFUNCTION("IFERROR(VALUE(REGEXEXTRACT(C1056,""\d+\s*/\s*(\d+)"")),"""")"),"")</f>
        <v/>
      </c>
      <c r="I1056" s="32" t="str">
        <f t="shared" si="2"/>
        <v/>
      </c>
      <c r="J1056" s="33" t="str">
        <f t="shared" si="3"/>
        <v/>
      </c>
    </row>
    <row r="1057" ht="15.75" customHeight="1">
      <c r="A1057" s="22" t="s">
        <v>113</v>
      </c>
      <c r="B1057" s="22" t="str">
        <f>IF(MOV_CC_NACIONAL!A1057="","",MOV_CC_NACIONAL!A1057)</f>
        <v/>
      </c>
      <c r="C1057" s="22" t="str">
        <f>IF(MOV_CC_NACIONAL!B1057="","",MOV_CC_NACIONAL!B1057)</f>
        <v/>
      </c>
      <c r="D1057" s="34" t="str">
        <f>IF(MOV_CC_NACIONAL!C1057="","",MOV_CC_NACIONAL!C1057)</f>
        <v/>
      </c>
      <c r="E1057" s="22" t="str">
        <f t="shared" si="1"/>
        <v/>
      </c>
      <c r="F1057" s="22" t="str">
        <f>IFERROR(__xludf.DUMMYFUNCTION("IF(C1057="""","""", OR(REGEXMATCH(LOWER(C1057),""cuota""), REGEXMATCH(C1057,""\d+\s*/\s*\d+"")))"),"")</f>
        <v/>
      </c>
      <c r="G1057" s="22" t="str">
        <f>IFERROR(__xludf.DUMMYFUNCTION("IFERROR(VALUE(REGEXEXTRACT(C1057,""(\d+)\s*/\s*\d+"")),"""")"),"")</f>
        <v/>
      </c>
      <c r="H1057" s="22" t="str">
        <f>IFERROR(__xludf.DUMMYFUNCTION("IFERROR(VALUE(REGEXEXTRACT(C1057,""\d+\s*/\s*(\d+)"")),"""")"),"")</f>
        <v/>
      </c>
      <c r="I1057" s="22" t="str">
        <f t="shared" si="2"/>
        <v/>
      </c>
      <c r="J1057" s="34" t="str">
        <f t="shared" si="3"/>
        <v/>
      </c>
    </row>
    <row r="1058" ht="15.75" customHeight="1">
      <c r="A1058" s="32" t="s">
        <v>113</v>
      </c>
      <c r="B1058" s="32" t="str">
        <f>IF(MOV_CC_NACIONAL!A1058="","",MOV_CC_NACIONAL!A1058)</f>
        <v/>
      </c>
      <c r="C1058" s="32" t="str">
        <f>IF(MOV_CC_NACIONAL!B1058="","",MOV_CC_NACIONAL!B1058)</f>
        <v/>
      </c>
      <c r="D1058" s="33" t="str">
        <f>IF(MOV_CC_NACIONAL!C1058="","",MOV_CC_NACIONAL!C1058)</f>
        <v/>
      </c>
      <c r="E1058" s="32" t="str">
        <f t="shared" si="1"/>
        <v/>
      </c>
      <c r="F1058" s="32" t="str">
        <f>IFERROR(__xludf.DUMMYFUNCTION("IF(C1058="""","""", OR(REGEXMATCH(LOWER(C1058),""cuota""), REGEXMATCH(C1058,""\d+\s*/\s*\d+"")))"),"")</f>
        <v/>
      </c>
      <c r="G1058" s="32" t="str">
        <f>IFERROR(__xludf.DUMMYFUNCTION("IFERROR(VALUE(REGEXEXTRACT(C1058,""(\d+)\s*/\s*\d+"")),"""")"),"")</f>
        <v/>
      </c>
      <c r="H1058" s="32" t="str">
        <f>IFERROR(__xludf.DUMMYFUNCTION("IFERROR(VALUE(REGEXEXTRACT(C1058,""\d+\s*/\s*(\d+)"")),"""")"),"")</f>
        <v/>
      </c>
      <c r="I1058" s="32" t="str">
        <f t="shared" si="2"/>
        <v/>
      </c>
      <c r="J1058" s="33" t="str">
        <f t="shared" si="3"/>
        <v/>
      </c>
    </row>
    <row r="1059" ht="15.75" customHeight="1">
      <c r="A1059" s="22" t="s">
        <v>113</v>
      </c>
      <c r="B1059" s="22" t="str">
        <f>IF(MOV_CC_NACIONAL!A1059="","",MOV_CC_NACIONAL!A1059)</f>
        <v/>
      </c>
      <c r="C1059" s="22" t="str">
        <f>IF(MOV_CC_NACIONAL!B1059="","",MOV_CC_NACIONAL!B1059)</f>
        <v/>
      </c>
      <c r="D1059" s="34" t="str">
        <f>IF(MOV_CC_NACIONAL!C1059="","",MOV_CC_NACIONAL!C1059)</f>
        <v/>
      </c>
      <c r="E1059" s="22" t="str">
        <f t="shared" si="1"/>
        <v/>
      </c>
      <c r="F1059" s="22" t="str">
        <f>IFERROR(__xludf.DUMMYFUNCTION("IF(C1059="""","""", OR(REGEXMATCH(LOWER(C1059),""cuota""), REGEXMATCH(C1059,""\d+\s*/\s*\d+"")))"),"")</f>
        <v/>
      </c>
      <c r="G1059" s="22" t="str">
        <f>IFERROR(__xludf.DUMMYFUNCTION("IFERROR(VALUE(REGEXEXTRACT(C1059,""(\d+)\s*/\s*\d+"")),"""")"),"")</f>
        <v/>
      </c>
      <c r="H1059" s="22" t="str">
        <f>IFERROR(__xludf.DUMMYFUNCTION("IFERROR(VALUE(REGEXEXTRACT(C1059,""\d+\s*/\s*(\d+)"")),"""")"),"")</f>
        <v/>
      </c>
      <c r="I1059" s="22" t="str">
        <f t="shared" si="2"/>
        <v/>
      </c>
      <c r="J1059" s="34" t="str">
        <f t="shared" si="3"/>
        <v/>
      </c>
    </row>
    <row r="1060" ht="15.75" customHeight="1">
      <c r="A1060" s="32" t="s">
        <v>113</v>
      </c>
      <c r="B1060" s="32" t="str">
        <f>IF(MOV_CC_NACIONAL!A1060="","",MOV_CC_NACIONAL!A1060)</f>
        <v/>
      </c>
      <c r="C1060" s="32" t="str">
        <f>IF(MOV_CC_NACIONAL!B1060="","",MOV_CC_NACIONAL!B1060)</f>
        <v/>
      </c>
      <c r="D1060" s="33" t="str">
        <f>IF(MOV_CC_NACIONAL!C1060="","",MOV_CC_NACIONAL!C1060)</f>
        <v/>
      </c>
      <c r="E1060" s="32" t="str">
        <f t="shared" si="1"/>
        <v/>
      </c>
      <c r="F1060" s="32" t="str">
        <f>IFERROR(__xludf.DUMMYFUNCTION("IF(C1060="""","""", OR(REGEXMATCH(LOWER(C1060),""cuota""), REGEXMATCH(C1060,""\d+\s*/\s*\d+"")))"),"")</f>
        <v/>
      </c>
      <c r="G1060" s="32" t="str">
        <f>IFERROR(__xludf.DUMMYFUNCTION("IFERROR(VALUE(REGEXEXTRACT(C1060,""(\d+)\s*/\s*\d+"")),"""")"),"")</f>
        <v/>
      </c>
      <c r="H1060" s="32" t="str">
        <f>IFERROR(__xludf.DUMMYFUNCTION("IFERROR(VALUE(REGEXEXTRACT(C1060,""\d+\s*/\s*(\d+)"")),"""")"),"")</f>
        <v/>
      </c>
      <c r="I1060" s="32" t="str">
        <f t="shared" si="2"/>
        <v/>
      </c>
      <c r="J1060" s="33" t="str">
        <f t="shared" si="3"/>
        <v/>
      </c>
    </row>
    <row r="1061" ht="15.75" customHeight="1">
      <c r="A1061" s="22" t="s">
        <v>113</v>
      </c>
      <c r="B1061" s="22" t="str">
        <f>IF(MOV_CC_NACIONAL!A1061="","",MOV_CC_NACIONAL!A1061)</f>
        <v/>
      </c>
      <c r="C1061" s="22" t="str">
        <f>IF(MOV_CC_NACIONAL!B1061="","",MOV_CC_NACIONAL!B1061)</f>
        <v/>
      </c>
      <c r="D1061" s="34" t="str">
        <f>IF(MOV_CC_NACIONAL!C1061="","",MOV_CC_NACIONAL!C1061)</f>
        <v/>
      </c>
      <c r="E1061" s="22" t="str">
        <f t="shared" si="1"/>
        <v/>
      </c>
      <c r="F1061" s="22" t="str">
        <f>IFERROR(__xludf.DUMMYFUNCTION("IF(C1061="""","""", OR(REGEXMATCH(LOWER(C1061),""cuota""), REGEXMATCH(C1061,""\d+\s*/\s*\d+"")))"),"")</f>
        <v/>
      </c>
      <c r="G1061" s="22" t="str">
        <f>IFERROR(__xludf.DUMMYFUNCTION("IFERROR(VALUE(REGEXEXTRACT(C1061,""(\d+)\s*/\s*\d+"")),"""")"),"")</f>
        <v/>
      </c>
      <c r="H1061" s="22" t="str">
        <f>IFERROR(__xludf.DUMMYFUNCTION("IFERROR(VALUE(REGEXEXTRACT(C1061,""\d+\s*/\s*(\d+)"")),"""")"),"")</f>
        <v/>
      </c>
      <c r="I1061" s="22" t="str">
        <f t="shared" si="2"/>
        <v/>
      </c>
      <c r="J1061" s="34" t="str">
        <f t="shared" si="3"/>
        <v/>
      </c>
    </row>
    <row r="1062" ht="15.75" customHeight="1">
      <c r="A1062" s="32" t="s">
        <v>113</v>
      </c>
      <c r="B1062" s="32" t="str">
        <f>IF(MOV_CC_NACIONAL!A1062="","",MOV_CC_NACIONAL!A1062)</f>
        <v/>
      </c>
      <c r="C1062" s="32" t="str">
        <f>IF(MOV_CC_NACIONAL!B1062="","",MOV_CC_NACIONAL!B1062)</f>
        <v/>
      </c>
      <c r="D1062" s="33" t="str">
        <f>IF(MOV_CC_NACIONAL!C1062="","",MOV_CC_NACIONAL!C1062)</f>
        <v/>
      </c>
      <c r="E1062" s="32" t="str">
        <f t="shared" si="1"/>
        <v/>
      </c>
      <c r="F1062" s="32" t="str">
        <f>IFERROR(__xludf.DUMMYFUNCTION("IF(C1062="""","""", OR(REGEXMATCH(LOWER(C1062),""cuota""), REGEXMATCH(C1062,""\d+\s*/\s*\d+"")))"),"")</f>
        <v/>
      </c>
      <c r="G1062" s="32" t="str">
        <f>IFERROR(__xludf.DUMMYFUNCTION("IFERROR(VALUE(REGEXEXTRACT(C1062,""(\d+)\s*/\s*\d+"")),"""")"),"")</f>
        <v/>
      </c>
      <c r="H1062" s="32" t="str">
        <f>IFERROR(__xludf.DUMMYFUNCTION("IFERROR(VALUE(REGEXEXTRACT(C1062,""\d+\s*/\s*(\d+)"")),"""")"),"")</f>
        <v/>
      </c>
      <c r="I1062" s="32" t="str">
        <f t="shared" si="2"/>
        <v/>
      </c>
      <c r="J1062" s="33" t="str">
        <f t="shared" si="3"/>
        <v/>
      </c>
    </row>
    <row r="1063" ht="15.75" customHeight="1">
      <c r="A1063" s="22" t="s">
        <v>113</v>
      </c>
      <c r="B1063" s="22" t="str">
        <f>IF(MOV_CC_NACIONAL!A1063="","",MOV_CC_NACIONAL!A1063)</f>
        <v/>
      </c>
      <c r="C1063" s="22" t="str">
        <f>IF(MOV_CC_NACIONAL!B1063="","",MOV_CC_NACIONAL!B1063)</f>
        <v/>
      </c>
      <c r="D1063" s="34" t="str">
        <f>IF(MOV_CC_NACIONAL!C1063="","",MOV_CC_NACIONAL!C1063)</f>
        <v/>
      </c>
      <c r="E1063" s="22" t="str">
        <f t="shared" si="1"/>
        <v/>
      </c>
      <c r="F1063" s="22" t="str">
        <f>IFERROR(__xludf.DUMMYFUNCTION("IF(C1063="""","""", OR(REGEXMATCH(LOWER(C1063),""cuota""), REGEXMATCH(C1063,""\d+\s*/\s*\d+"")))"),"")</f>
        <v/>
      </c>
      <c r="G1063" s="22" t="str">
        <f>IFERROR(__xludf.DUMMYFUNCTION("IFERROR(VALUE(REGEXEXTRACT(C1063,""(\d+)\s*/\s*\d+"")),"""")"),"")</f>
        <v/>
      </c>
      <c r="H1063" s="22" t="str">
        <f>IFERROR(__xludf.DUMMYFUNCTION("IFERROR(VALUE(REGEXEXTRACT(C1063,""\d+\s*/\s*(\d+)"")),"""")"),"")</f>
        <v/>
      </c>
      <c r="I1063" s="22" t="str">
        <f t="shared" si="2"/>
        <v/>
      </c>
      <c r="J1063" s="34" t="str">
        <f t="shared" si="3"/>
        <v/>
      </c>
    </row>
    <row r="1064" ht="15.75" customHeight="1">
      <c r="A1064" s="32" t="s">
        <v>113</v>
      </c>
      <c r="B1064" s="32" t="str">
        <f>IF(MOV_CC_NACIONAL!A1064="","",MOV_CC_NACIONAL!A1064)</f>
        <v/>
      </c>
      <c r="C1064" s="32" t="str">
        <f>IF(MOV_CC_NACIONAL!B1064="","",MOV_CC_NACIONAL!B1064)</f>
        <v/>
      </c>
      <c r="D1064" s="33" t="str">
        <f>IF(MOV_CC_NACIONAL!C1064="","",MOV_CC_NACIONAL!C1064)</f>
        <v/>
      </c>
      <c r="E1064" s="32" t="str">
        <f t="shared" si="1"/>
        <v/>
      </c>
      <c r="F1064" s="32" t="str">
        <f>IFERROR(__xludf.DUMMYFUNCTION("IF(C1064="""","""", OR(REGEXMATCH(LOWER(C1064),""cuota""), REGEXMATCH(C1064,""\d+\s*/\s*\d+"")))"),"")</f>
        <v/>
      </c>
      <c r="G1064" s="32" t="str">
        <f>IFERROR(__xludf.DUMMYFUNCTION("IFERROR(VALUE(REGEXEXTRACT(C1064,""(\d+)\s*/\s*\d+"")),"""")"),"")</f>
        <v/>
      </c>
      <c r="H1064" s="32" t="str">
        <f>IFERROR(__xludf.DUMMYFUNCTION("IFERROR(VALUE(REGEXEXTRACT(C1064,""\d+\s*/\s*(\d+)"")),"""")"),"")</f>
        <v/>
      </c>
      <c r="I1064" s="32" t="str">
        <f t="shared" si="2"/>
        <v/>
      </c>
      <c r="J1064" s="33" t="str">
        <f t="shared" si="3"/>
        <v/>
      </c>
    </row>
    <row r="1065" ht="15.75" customHeight="1">
      <c r="A1065" s="22" t="s">
        <v>113</v>
      </c>
      <c r="B1065" s="22" t="str">
        <f>IF(MOV_CC_NACIONAL!A1065="","",MOV_CC_NACIONAL!A1065)</f>
        <v/>
      </c>
      <c r="C1065" s="22" t="str">
        <f>IF(MOV_CC_NACIONAL!B1065="","",MOV_CC_NACIONAL!B1065)</f>
        <v/>
      </c>
      <c r="D1065" s="34" t="str">
        <f>IF(MOV_CC_NACIONAL!C1065="","",MOV_CC_NACIONAL!C1065)</f>
        <v/>
      </c>
      <c r="E1065" s="22" t="str">
        <f t="shared" si="1"/>
        <v/>
      </c>
      <c r="F1065" s="22" t="str">
        <f>IFERROR(__xludf.DUMMYFUNCTION("IF(C1065="""","""", OR(REGEXMATCH(LOWER(C1065),""cuota""), REGEXMATCH(C1065,""\d+\s*/\s*\d+"")))"),"")</f>
        <v/>
      </c>
      <c r="G1065" s="22" t="str">
        <f>IFERROR(__xludf.DUMMYFUNCTION("IFERROR(VALUE(REGEXEXTRACT(C1065,""(\d+)\s*/\s*\d+"")),"""")"),"")</f>
        <v/>
      </c>
      <c r="H1065" s="22" t="str">
        <f>IFERROR(__xludf.DUMMYFUNCTION("IFERROR(VALUE(REGEXEXTRACT(C1065,""\d+\s*/\s*(\d+)"")),"""")"),"")</f>
        <v/>
      </c>
      <c r="I1065" s="22" t="str">
        <f t="shared" si="2"/>
        <v/>
      </c>
      <c r="J1065" s="34" t="str">
        <f t="shared" si="3"/>
        <v/>
      </c>
    </row>
    <row r="1066" ht="15.75" customHeight="1">
      <c r="A1066" s="32" t="s">
        <v>113</v>
      </c>
      <c r="B1066" s="32" t="str">
        <f>IF(MOV_CC_NACIONAL!A1066="","",MOV_CC_NACIONAL!A1066)</f>
        <v/>
      </c>
      <c r="C1066" s="32" t="str">
        <f>IF(MOV_CC_NACIONAL!B1066="","",MOV_CC_NACIONAL!B1066)</f>
        <v/>
      </c>
      <c r="D1066" s="33" t="str">
        <f>IF(MOV_CC_NACIONAL!C1066="","",MOV_CC_NACIONAL!C1066)</f>
        <v/>
      </c>
      <c r="E1066" s="32" t="str">
        <f t="shared" si="1"/>
        <v/>
      </c>
      <c r="F1066" s="32" t="str">
        <f>IFERROR(__xludf.DUMMYFUNCTION("IF(C1066="""","""", OR(REGEXMATCH(LOWER(C1066),""cuota""), REGEXMATCH(C1066,""\d+\s*/\s*\d+"")))"),"")</f>
        <v/>
      </c>
      <c r="G1066" s="32" t="str">
        <f>IFERROR(__xludf.DUMMYFUNCTION("IFERROR(VALUE(REGEXEXTRACT(C1066,""(\d+)\s*/\s*\d+"")),"""")"),"")</f>
        <v/>
      </c>
      <c r="H1066" s="32" t="str">
        <f>IFERROR(__xludf.DUMMYFUNCTION("IFERROR(VALUE(REGEXEXTRACT(C1066,""\d+\s*/\s*(\d+)"")),"""")"),"")</f>
        <v/>
      </c>
      <c r="I1066" s="32" t="str">
        <f t="shared" si="2"/>
        <v/>
      </c>
      <c r="J1066" s="33" t="str">
        <f t="shared" si="3"/>
        <v/>
      </c>
    </row>
    <row r="1067" ht="15.75" customHeight="1">
      <c r="A1067" s="22" t="s">
        <v>113</v>
      </c>
      <c r="B1067" s="22" t="str">
        <f>IF(MOV_CC_NACIONAL!A1067="","",MOV_CC_NACIONAL!A1067)</f>
        <v/>
      </c>
      <c r="C1067" s="22" t="str">
        <f>IF(MOV_CC_NACIONAL!B1067="","",MOV_CC_NACIONAL!B1067)</f>
        <v/>
      </c>
      <c r="D1067" s="34" t="str">
        <f>IF(MOV_CC_NACIONAL!C1067="","",MOV_CC_NACIONAL!C1067)</f>
        <v/>
      </c>
      <c r="E1067" s="22" t="str">
        <f t="shared" si="1"/>
        <v/>
      </c>
      <c r="F1067" s="22" t="str">
        <f>IFERROR(__xludf.DUMMYFUNCTION("IF(C1067="""","""", OR(REGEXMATCH(LOWER(C1067),""cuota""), REGEXMATCH(C1067,""\d+\s*/\s*\d+"")))"),"")</f>
        <v/>
      </c>
      <c r="G1067" s="22" t="str">
        <f>IFERROR(__xludf.DUMMYFUNCTION("IFERROR(VALUE(REGEXEXTRACT(C1067,""(\d+)\s*/\s*\d+"")),"""")"),"")</f>
        <v/>
      </c>
      <c r="H1067" s="22" t="str">
        <f>IFERROR(__xludf.DUMMYFUNCTION("IFERROR(VALUE(REGEXEXTRACT(C1067,""\d+\s*/\s*(\d+)"")),"""")"),"")</f>
        <v/>
      </c>
      <c r="I1067" s="22" t="str">
        <f t="shared" si="2"/>
        <v/>
      </c>
      <c r="J1067" s="34" t="str">
        <f t="shared" si="3"/>
        <v/>
      </c>
    </row>
    <row r="1068" ht="15.75" customHeight="1">
      <c r="A1068" s="32" t="s">
        <v>113</v>
      </c>
      <c r="B1068" s="32" t="str">
        <f>IF(MOV_CC_NACIONAL!A1068="","",MOV_CC_NACIONAL!A1068)</f>
        <v/>
      </c>
      <c r="C1068" s="32" t="str">
        <f>IF(MOV_CC_NACIONAL!B1068="","",MOV_CC_NACIONAL!B1068)</f>
        <v/>
      </c>
      <c r="D1068" s="33" t="str">
        <f>IF(MOV_CC_NACIONAL!C1068="","",MOV_CC_NACIONAL!C1068)</f>
        <v/>
      </c>
      <c r="E1068" s="32" t="str">
        <f t="shared" si="1"/>
        <v/>
      </c>
      <c r="F1068" s="32" t="str">
        <f>IFERROR(__xludf.DUMMYFUNCTION("IF(C1068="""","""", OR(REGEXMATCH(LOWER(C1068),""cuota""), REGEXMATCH(C1068,""\d+\s*/\s*\d+"")))"),"")</f>
        <v/>
      </c>
      <c r="G1068" s="32" t="str">
        <f>IFERROR(__xludf.DUMMYFUNCTION("IFERROR(VALUE(REGEXEXTRACT(C1068,""(\d+)\s*/\s*\d+"")),"""")"),"")</f>
        <v/>
      </c>
      <c r="H1068" s="32" t="str">
        <f>IFERROR(__xludf.DUMMYFUNCTION("IFERROR(VALUE(REGEXEXTRACT(C1068,""\d+\s*/\s*(\d+)"")),"""")"),"")</f>
        <v/>
      </c>
      <c r="I1068" s="32" t="str">
        <f t="shared" si="2"/>
        <v/>
      </c>
      <c r="J1068" s="33" t="str">
        <f t="shared" si="3"/>
        <v/>
      </c>
    </row>
    <row r="1069" ht="15.75" customHeight="1">
      <c r="A1069" s="22" t="s">
        <v>113</v>
      </c>
      <c r="B1069" s="22" t="str">
        <f>IF(MOV_CC_NACIONAL!A1069="","",MOV_CC_NACIONAL!A1069)</f>
        <v/>
      </c>
      <c r="C1069" s="22" t="str">
        <f>IF(MOV_CC_NACIONAL!B1069="","",MOV_CC_NACIONAL!B1069)</f>
        <v/>
      </c>
      <c r="D1069" s="34" t="str">
        <f>IF(MOV_CC_NACIONAL!C1069="","",MOV_CC_NACIONAL!C1069)</f>
        <v/>
      </c>
      <c r="E1069" s="22" t="str">
        <f t="shared" si="1"/>
        <v/>
      </c>
      <c r="F1069" s="22" t="str">
        <f>IFERROR(__xludf.DUMMYFUNCTION("IF(C1069="""","""", OR(REGEXMATCH(LOWER(C1069),""cuota""), REGEXMATCH(C1069,""\d+\s*/\s*\d+"")))"),"")</f>
        <v/>
      </c>
      <c r="G1069" s="22" t="str">
        <f>IFERROR(__xludf.DUMMYFUNCTION("IFERROR(VALUE(REGEXEXTRACT(C1069,""(\d+)\s*/\s*\d+"")),"""")"),"")</f>
        <v/>
      </c>
      <c r="H1069" s="22" t="str">
        <f>IFERROR(__xludf.DUMMYFUNCTION("IFERROR(VALUE(REGEXEXTRACT(C1069,""\d+\s*/\s*(\d+)"")),"""")"),"")</f>
        <v/>
      </c>
      <c r="I1069" s="22" t="str">
        <f t="shared" si="2"/>
        <v/>
      </c>
      <c r="J1069" s="34" t="str">
        <f t="shared" si="3"/>
        <v/>
      </c>
    </row>
    <row r="1070" ht="15.75" customHeight="1">
      <c r="A1070" s="32" t="s">
        <v>113</v>
      </c>
      <c r="B1070" s="32" t="str">
        <f>IF(MOV_CC_NACIONAL!A1070="","",MOV_CC_NACIONAL!A1070)</f>
        <v/>
      </c>
      <c r="C1070" s="32" t="str">
        <f>IF(MOV_CC_NACIONAL!B1070="","",MOV_CC_NACIONAL!B1070)</f>
        <v/>
      </c>
      <c r="D1070" s="33" t="str">
        <f>IF(MOV_CC_NACIONAL!C1070="","",MOV_CC_NACIONAL!C1070)</f>
        <v/>
      </c>
      <c r="E1070" s="32" t="str">
        <f t="shared" si="1"/>
        <v/>
      </c>
      <c r="F1070" s="32" t="str">
        <f>IFERROR(__xludf.DUMMYFUNCTION("IF(C1070="""","""", OR(REGEXMATCH(LOWER(C1070),""cuota""), REGEXMATCH(C1070,""\d+\s*/\s*\d+"")))"),"")</f>
        <v/>
      </c>
      <c r="G1070" s="32" t="str">
        <f>IFERROR(__xludf.DUMMYFUNCTION("IFERROR(VALUE(REGEXEXTRACT(C1070,""(\d+)\s*/\s*\d+"")),"""")"),"")</f>
        <v/>
      </c>
      <c r="H1070" s="32" t="str">
        <f>IFERROR(__xludf.DUMMYFUNCTION("IFERROR(VALUE(REGEXEXTRACT(C1070,""\d+\s*/\s*(\d+)"")),"""")"),"")</f>
        <v/>
      </c>
      <c r="I1070" s="32" t="str">
        <f t="shared" si="2"/>
        <v/>
      </c>
      <c r="J1070" s="33" t="str">
        <f t="shared" si="3"/>
        <v/>
      </c>
    </row>
    <row r="1071" ht="15.75" customHeight="1">
      <c r="A1071" s="22" t="s">
        <v>113</v>
      </c>
      <c r="B1071" s="22" t="str">
        <f>IF(MOV_CC_NACIONAL!A1071="","",MOV_CC_NACIONAL!A1071)</f>
        <v/>
      </c>
      <c r="C1071" s="22" t="str">
        <f>IF(MOV_CC_NACIONAL!B1071="","",MOV_CC_NACIONAL!B1071)</f>
        <v/>
      </c>
      <c r="D1071" s="34" t="str">
        <f>IF(MOV_CC_NACIONAL!C1071="","",MOV_CC_NACIONAL!C1071)</f>
        <v/>
      </c>
      <c r="E1071" s="22" t="str">
        <f t="shared" si="1"/>
        <v/>
      </c>
      <c r="F1071" s="22" t="str">
        <f>IFERROR(__xludf.DUMMYFUNCTION("IF(C1071="""","""", OR(REGEXMATCH(LOWER(C1071),""cuota""), REGEXMATCH(C1071,""\d+\s*/\s*\d+"")))"),"")</f>
        <v/>
      </c>
      <c r="G1071" s="22" t="str">
        <f>IFERROR(__xludf.DUMMYFUNCTION("IFERROR(VALUE(REGEXEXTRACT(C1071,""(\d+)\s*/\s*\d+"")),"""")"),"")</f>
        <v/>
      </c>
      <c r="H1071" s="22" t="str">
        <f>IFERROR(__xludf.DUMMYFUNCTION("IFERROR(VALUE(REGEXEXTRACT(C1071,""\d+\s*/\s*(\d+)"")),"""")"),"")</f>
        <v/>
      </c>
      <c r="I1071" s="22" t="str">
        <f t="shared" si="2"/>
        <v/>
      </c>
      <c r="J1071" s="34" t="str">
        <f t="shared" si="3"/>
        <v/>
      </c>
    </row>
    <row r="1072" ht="15.75" customHeight="1">
      <c r="A1072" s="32" t="s">
        <v>113</v>
      </c>
      <c r="B1072" s="32" t="str">
        <f>IF(MOV_CC_NACIONAL!A1072="","",MOV_CC_NACIONAL!A1072)</f>
        <v/>
      </c>
      <c r="C1072" s="32" t="str">
        <f>IF(MOV_CC_NACIONAL!B1072="","",MOV_CC_NACIONAL!B1072)</f>
        <v/>
      </c>
      <c r="D1072" s="33" t="str">
        <f>IF(MOV_CC_NACIONAL!C1072="","",MOV_CC_NACIONAL!C1072)</f>
        <v/>
      </c>
      <c r="E1072" s="32" t="str">
        <f t="shared" si="1"/>
        <v/>
      </c>
      <c r="F1072" s="32" t="str">
        <f>IFERROR(__xludf.DUMMYFUNCTION("IF(C1072="""","""", OR(REGEXMATCH(LOWER(C1072),""cuota""), REGEXMATCH(C1072,""\d+\s*/\s*\d+"")))"),"")</f>
        <v/>
      </c>
      <c r="G1072" s="32" t="str">
        <f>IFERROR(__xludf.DUMMYFUNCTION("IFERROR(VALUE(REGEXEXTRACT(C1072,""(\d+)\s*/\s*\d+"")),"""")"),"")</f>
        <v/>
      </c>
      <c r="H1072" s="32" t="str">
        <f>IFERROR(__xludf.DUMMYFUNCTION("IFERROR(VALUE(REGEXEXTRACT(C1072,""\d+\s*/\s*(\d+)"")),"""")"),"")</f>
        <v/>
      </c>
      <c r="I1072" s="32" t="str">
        <f t="shared" si="2"/>
        <v/>
      </c>
      <c r="J1072" s="33" t="str">
        <f t="shared" si="3"/>
        <v/>
      </c>
    </row>
    <row r="1073" ht="15.75" customHeight="1">
      <c r="A1073" s="22" t="s">
        <v>113</v>
      </c>
      <c r="B1073" s="22" t="str">
        <f>IF(MOV_CC_NACIONAL!A1073="","",MOV_CC_NACIONAL!A1073)</f>
        <v/>
      </c>
      <c r="C1073" s="22" t="str">
        <f>IF(MOV_CC_NACIONAL!B1073="","",MOV_CC_NACIONAL!B1073)</f>
        <v/>
      </c>
      <c r="D1073" s="34" t="str">
        <f>IF(MOV_CC_NACIONAL!C1073="","",MOV_CC_NACIONAL!C1073)</f>
        <v/>
      </c>
      <c r="E1073" s="22" t="str">
        <f t="shared" si="1"/>
        <v/>
      </c>
      <c r="F1073" s="22" t="str">
        <f>IFERROR(__xludf.DUMMYFUNCTION("IF(C1073="""","""", OR(REGEXMATCH(LOWER(C1073),""cuota""), REGEXMATCH(C1073,""\d+\s*/\s*\d+"")))"),"")</f>
        <v/>
      </c>
      <c r="G1073" s="22" t="str">
        <f>IFERROR(__xludf.DUMMYFUNCTION("IFERROR(VALUE(REGEXEXTRACT(C1073,""(\d+)\s*/\s*\d+"")),"""")"),"")</f>
        <v/>
      </c>
      <c r="H1073" s="22" t="str">
        <f>IFERROR(__xludf.DUMMYFUNCTION("IFERROR(VALUE(REGEXEXTRACT(C1073,""\d+\s*/\s*(\d+)"")),"""")"),"")</f>
        <v/>
      </c>
      <c r="I1073" s="22" t="str">
        <f t="shared" si="2"/>
        <v/>
      </c>
      <c r="J1073" s="34" t="str">
        <f t="shared" si="3"/>
        <v/>
      </c>
    </row>
    <row r="1074" ht="15.75" customHeight="1">
      <c r="A1074" s="32" t="s">
        <v>113</v>
      </c>
      <c r="B1074" s="32" t="str">
        <f>IF(MOV_CC_NACIONAL!A1074="","",MOV_CC_NACIONAL!A1074)</f>
        <v/>
      </c>
      <c r="C1074" s="32" t="str">
        <f>IF(MOV_CC_NACIONAL!B1074="","",MOV_CC_NACIONAL!B1074)</f>
        <v/>
      </c>
      <c r="D1074" s="33" t="str">
        <f>IF(MOV_CC_NACIONAL!C1074="","",MOV_CC_NACIONAL!C1074)</f>
        <v/>
      </c>
      <c r="E1074" s="32" t="str">
        <f t="shared" si="1"/>
        <v/>
      </c>
      <c r="F1074" s="32" t="str">
        <f>IFERROR(__xludf.DUMMYFUNCTION("IF(C1074="""","""", OR(REGEXMATCH(LOWER(C1074),""cuota""), REGEXMATCH(C1074,""\d+\s*/\s*\d+"")))"),"")</f>
        <v/>
      </c>
      <c r="G1074" s="32" t="str">
        <f>IFERROR(__xludf.DUMMYFUNCTION("IFERROR(VALUE(REGEXEXTRACT(C1074,""(\d+)\s*/\s*\d+"")),"""")"),"")</f>
        <v/>
      </c>
      <c r="H1074" s="32" t="str">
        <f>IFERROR(__xludf.DUMMYFUNCTION("IFERROR(VALUE(REGEXEXTRACT(C1074,""\d+\s*/\s*(\d+)"")),"""")"),"")</f>
        <v/>
      </c>
      <c r="I1074" s="32" t="str">
        <f t="shared" si="2"/>
        <v/>
      </c>
      <c r="J1074" s="33" t="str">
        <f t="shared" si="3"/>
        <v/>
      </c>
    </row>
    <row r="1075" ht="15.75" customHeight="1">
      <c r="A1075" s="22" t="s">
        <v>113</v>
      </c>
      <c r="B1075" s="22" t="str">
        <f>IF(MOV_CC_NACIONAL!A1075="","",MOV_CC_NACIONAL!A1075)</f>
        <v/>
      </c>
      <c r="C1075" s="22" t="str">
        <f>IF(MOV_CC_NACIONAL!B1075="","",MOV_CC_NACIONAL!B1075)</f>
        <v/>
      </c>
      <c r="D1075" s="34" t="str">
        <f>IF(MOV_CC_NACIONAL!C1075="","",MOV_CC_NACIONAL!C1075)</f>
        <v/>
      </c>
      <c r="E1075" s="22" t="str">
        <f t="shared" si="1"/>
        <v/>
      </c>
      <c r="F1075" s="22" t="str">
        <f>IFERROR(__xludf.DUMMYFUNCTION("IF(C1075="""","""", OR(REGEXMATCH(LOWER(C1075),""cuota""), REGEXMATCH(C1075,""\d+\s*/\s*\d+"")))"),"")</f>
        <v/>
      </c>
      <c r="G1075" s="22" t="str">
        <f>IFERROR(__xludf.DUMMYFUNCTION("IFERROR(VALUE(REGEXEXTRACT(C1075,""(\d+)\s*/\s*\d+"")),"""")"),"")</f>
        <v/>
      </c>
      <c r="H1075" s="22" t="str">
        <f>IFERROR(__xludf.DUMMYFUNCTION("IFERROR(VALUE(REGEXEXTRACT(C1075,""\d+\s*/\s*(\d+)"")),"""")"),"")</f>
        <v/>
      </c>
      <c r="I1075" s="22" t="str">
        <f t="shared" si="2"/>
        <v/>
      </c>
      <c r="J1075" s="34" t="str">
        <f t="shared" si="3"/>
        <v/>
      </c>
    </row>
    <row r="1076" ht="15.75" customHeight="1">
      <c r="A1076" s="32" t="s">
        <v>113</v>
      </c>
      <c r="B1076" s="32" t="str">
        <f>IF(MOV_CC_NACIONAL!A1076="","",MOV_CC_NACIONAL!A1076)</f>
        <v/>
      </c>
      <c r="C1076" s="32" t="str">
        <f>IF(MOV_CC_NACIONAL!B1076="","",MOV_CC_NACIONAL!B1076)</f>
        <v/>
      </c>
      <c r="D1076" s="33" t="str">
        <f>IF(MOV_CC_NACIONAL!C1076="","",MOV_CC_NACIONAL!C1076)</f>
        <v/>
      </c>
      <c r="E1076" s="32" t="str">
        <f t="shared" si="1"/>
        <v/>
      </c>
      <c r="F1076" s="32" t="str">
        <f>IFERROR(__xludf.DUMMYFUNCTION("IF(C1076="""","""", OR(REGEXMATCH(LOWER(C1076),""cuota""), REGEXMATCH(C1076,""\d+\s*/\s*\d+"")))"),"")</f>
        <v/>
      </c>
      <c r="G1076" s="32" t="str">
        <f>IFERROR(__xludf.DUMMYFUNCTION("IFERROR(VALUE(REGEXEXTRACT(C1076,""(\d+)\s*/\s*\d+"")),"""")"),"")</f>
        <v/>
      </c>
      <c r="H1076" s="32" t="str">
        <f>IFERROR(__xludf.DUMMYFUNCTION("IFERROR(VALUE(REGEXEXTRACT(C1076,""\d+\s*/\s*(\d+)"")),"""")"),"")</f>
        <v/>
      </c>
      <c r="I1076" s="32" t="str">
        <f t="shared" si="2"/>
        <v/>
      </c>
      <c r="J1076" s="33" t="str">
        <f t="shared" si="3"/>
        <v/>
      </c>
    </row>
    <row r="1077" ht="15.75" customHeight="1">
      <c r="A1077" s="22" t="s">
        <v>113</v>
      </c>
      <c r="B1077" s="22" t="str">
        <f>IF(MOV_CC_NACIONAL!A1077="","",MOV_CC_NACIONAL!A1077)</f>
        <v/>
      </c>
      <c r="C1077" s="22" t="str">
        <f>IF(MOV_CC_NACIONAL!B1077="","",MOV_CC_NACIONAL!B1077)</f>
        <v/>
      </c>
      <c r="D1077" s="34" t="str">
        <f>IF(MOV_CC_NACIONAL!C1077="","",MOV_CC_NACIONAL!C1077)</f>
        <v/>
      </c>
      <c r="E1077" s="22" t="str">
        <f t="shared" si="1"/>
        <v/>
      </c>
      <c r="F1077" s="22" t="str">
        <f>IFERROR(__xludf.DUMMYFUNCTION("IF(C1077="""","""", OR(REGEXMATCH(LOWER(C1077),""cuota""), REGEXMATCH(C1077,""\d+\s*/\s*\d+"")))"),"")</f>
        <v/>
      </c>
      <c r="G1077" s="22" t="str">
        <f>IFERROR(__xludf.DUMMYFUNCTION("IFERROR(VALUE(REGEXEXTRACT(C1077,""(\d+)\s*/\s*\d+"")),"""")"),"")</f>
        <v/>
      </c>
      <c r="H1077" s="22" t="str">
        <f>IFERROR(__xludf.DUMMYFUNCTION("IFERROR(VALUE(REGEXEXTRACT(C1077,""\d+\s*/\s*(\d+)"")),"""")"),"")</f>
        <v/>
      </c>
      <c r="I1077" s="22" t="str">
        <f t="shared" si="2"/>
        <v/>
      </c>
      <c r="J1077" s="34" t="str">
        <f t="shared" si="3"/>
        <v/>
      </c>
    </row>
    <row r="1078" ht="15.75" customHeight="1">
      <c r="A1078" s="32" t="s">
        <v>113</v>
      </c>
      <c r="B1078" s="32" t="str">
        <f>IF(MOV_CC_NACIONAL!A1078="","",MOV_CC_NACIONAL!A1078)</f>
        <v/>
      </c>
      <c r="C1078" s="32" t="str">
        <f>IF(MOV_CC_NACIONAL!B1078="","",MOV_CC_NACIONAL!B1078)</f>
        <v/>
      </c>
      <c r="D1078" s="33" t="str">
        <f>IF(MOV_CC_NACIONAL!C1078="","",MOV_CC_NACIONAL!C1078)</f>
        <v/>
      </c>
      <c r="E1078" s="32" t="str">
        <f t="shared" si="1"/>
        <v/>
      </c>
      <c r="F1078" s="32" t="str">
        <f>IFERROR(__xludf.DUMMYFUNCTION("IF(C1078="""","""", OR(REGEXMATCH(LOWER(C1078),""cuota""), REGEXMATCH(C1078,""\d+\s*/\s*\d+"")))"),"")</f>
        <v/>
      </c>
      <c r="G1078" s="32" t="str">
        <f>IFERROR(__xludf.DUMMYFUNCTION("IFERROR(VALUE(REGEXEXTRACT(C1078,""(\d+)\s*/\s*\d+"")),"""")"),"")</f>
        <v/>
      </c>
      <c r="H1078" s="32" t="str">
        <f>IFERROR(__xludf.DUMMYFUNCTION("IFERROR(VALUE(REGEXEXTRACT(C1078,""\d+\s*/\s*(\d+)"")),"""")"),"")</f>
        <v/>
      </c>
      <c r="I1078" s="32" t="str">
        <f t="shared" si="2"/>
        <v/>
      </c>
      <c r="J1078" s="33" t="str">
        <f t="shared" si="3"/>
        <v/>
      </c>
    </row>
    <row r="1079" ht="15.75" customHeight="1">
      <c r="A1079" s="22" t="s">
        <v>113</v>
      </c>
      <c r="B1079" s="22" t="str">
        <f>IF(MOV_CC_NACIONAL!A1079="","",MOV_CC_NACIONAL!A1079)</f>
        <v/>
      </c>
      <c r="C1079" s="22" t="str">
        <f>IF(MOV_CC_NACIONAL!B1079="","",MOV_CC_NACIONAL!B1079)</f>
        <v/>
      </c>
      <c r="D1079" s="34" t="str">
        <f>IF(MOV_CC_NACIONAL!C1079="","",MOV_CC_NACIONAL!C1079)</f>
        <v/>
      </c>
      <c r="E1079" s="22" t="str">
        <f t="shared" si="1"/>
        <v/>
      </c>
      <c r="F1079" s="22" t="str">
        <f>IFERROR(__xludf.DUMMYFUNCTION("IF(C1079="""","""", OR(REGEXMATCH(LOWER(C1079),""cuota""), REGEXMATCH(C1079,""\d+\s*/\s*\d+"")))"),"")</f>
        <v/>
      </c>
      <c r="G1079" s="22" t="str">
        <f>IFERROR(__xludf.DUMMYFUNCTION("IFERROR(VALUE(REGEXEXTRACT(C1079,""(\d+)\s*/\s*\d+"")),"""")"),"")</f>
        <v/>
      </c>
      <c r="H1079" s="22" t="str">
        <f>IFERROR(__xludf.DUMMYFUNCTION("IFERROR(VALUE(REGEXEXTRACT(C1079,""\d+\s*/\s*(\d+)"")),"""")"),"")</f>
        <v/>
      </c>
      <c r="I1079" s="22" t="str">
        <f t="shared" si="2"/>
        <v/>
      </c>
      <c r="J1079" s="34" t="str">
        <f t="shared" si="3"/>
        <v/>
      </c>
    </row>
    <row r="1080" ht="15.75" customHeight="1">
      <c r="A1080" s="32" t="s">
        <v>113</v>
      </c>
      <c r="B1080" s="32" t="str">
        <f>IF(MOV_CC_NACIONAL!A1080="","",MOV_CC_NACIONAL!A1080)</f>
        <v/>
      </c>
      <c r="C1080" s="32" t="str">
        <f>IF(MOV_CC_NACIONAL!B1080="","",MOV_CC_NACIONAL!B1080)</f>
        <v/>
      </c>
      <c r="D1080" s="33" t="str">
        <f>IF(MOV_CC_NACIONAL!C1080="","",MOV_CC_NACIONAL!C1080)</f>
        <v/>
      </c>
      <c r="E1080" s="32" t="str">
        <f t="shared" si="1"/>
        <v/>
      </c>
      <c r="F1080" s="32" t="str">
        <f>IFERROR(__xludf.DUMMYFUNCTION("IF(C1080="""","""", OR(REGEXMATCH(LOWER(C1080),""cuota""), REGEXMATCH(C1080,""\d+\s*/\s*\d+"")))"),"")</f>
        <v/>
      </c>
      <c r="G1080" s="32" t="str">
        <f>IFERROR(__xludf.DUMMYFUNCTION("IFERROR(VALUE(REGEXEXTRACT(C1080,""(\d+)\s*/\s*\d+"")),"""")"),"")</f>
        <v/>
      </c>
      <c r="H1080" s="32" t="str">
        <f>IFERROR(__xludf.DUMMYFUNCTION("IFERROR(VALUE(REGEXEXTRACT(C1080,""\d+\s*/\s*(\d+)"")),"""")"),"")</f>
        <v/>
      </c>
      <c r="I1080" s="32" t="str">
        <f t="shared" si="2"/>
        <v/>
      </c>
      <c r="J1080" s="33" t="str">
        <f t="shared" si="3"/>
        <v/>
      </c>
    </row>
    <row r="1081" ht="15.75" customHeight="1">
      <c r="A1081" s="22" t="s">
        <v>113</v>
      </c>
      <c r="B1081" s="22" t="str">
        <f>IF(MOV_CC_NACIONAL!A1081="","",MOV_CC_NACIONAL!A1081)</f>
        <v/>
      </c>
      <c r="C1081" s="22" t="str">
        <f>IF(MOV_CC_NACIONAL!B1081="","",MOV_CC_NACIONAL!B1081)</f>
        <v/>
      </c>
      <c r="D1081" s="34" t="str">
        <f>IF(MOV_CC_NACIONAL!C1081="","",MOV_CC_NACIONAL!C1081)</f>
        <v/>
      </c>
      <c r="E1081" s="22" t="str">
        <f t="shared" si="1"/>
        <v/>
      </c>
      <c r="F1081" s="22" t="str">
        <f>IFERROR(__xludf.DUMMYFUNCTION("IF(C1081="""","""", OR(REGEXMATCH(LOWER(C1081),""cuota""), REGEXMATCH(C1081,""\d+\s*/\s*\d+"")))"),"")</f>
        <v/>
      </c>
      <c r="G1081" s="22" t="str">
        <f>IFERROR(__xludf.DUMMYFUNCTION("IFERROR(VALUE(REGEXEXTRACT(C1081,""(\d+)\s*/\s*\d+"")),"""")"),"")</f>
        <v/>
      </c>
      <c r="H1081" s="22" t="str">
        <f>IFERROR(__xludf.DUMMYFUNCTION("IFERROR(VALUE(REGEXEXTRACT(C1081,""\d+\s*/\s*(\d+)"")),"""")"),"")</f>
        <v/>
      </c>
      <c r="I1081" s="22" t="str">
        <f t="shared" si="2"/>
        <v/>
      </c>
      <c r="J1081" s="34" t="str">
        <f t="shared" si="3"/>
        <v/>
      </c>
    </row>
    <row r="1082" ht="15.75" customHeight="1">
      <c r="A1082" s="32" t="s">
        <v>113</v>
      </c>
      <c r="B1082" s="32" t="str">
        <f>IF(MOV_CC_NACIONAL!A1082="","",MOV_CC_NACIONAL!A1082)</f>
        <v/>
      </c>
      <c r="C1082" s="32" t="str">
        <f>IF(MOV_CC_NACIONAL!B1082="","",MOV_CC_NACIONAL!B1082)</f>
        <v/>
      </c>
      <c r="D1082" s="33" t="str">
        <f>IF(MOV_CC_NACIONAL!C1082="","",MOV_CC_NACIONAL!C1082)</f>
        <v/>
      </c>
      <c r="E1082" s="32" t="str">
        <f t="shared" si="1"/>
        <v/>
      </c>
      <c r="F1082" s="32" t="str">
        <f>IFERROR(__xludf.DUMMYFUNCTION("IF(C1082="""","""", OR(REGEXMATCH(LOWER(C1082),""cuota""), REGEXMATCH(C1082,""\d+\s*/\s*\d+"")))"),"")</f>
        <v/>
      </c>
      <c r="G1082" s="32" t="str">
        <f>IFERROR(__xludf.DUMMYFUNCTION("IFERROR(VALUE(REGEXEXTRACT(C1082,""(\d+)\s*/\s*\d+"")),"""")"),"")</f>
        <v/>
      </c>
      <c r="H1082" s="32" t="str">
        <f>IFERROR(__xludf.DUMMYFUNCTION("IFERROR(VALUE(REGEXEXTRACT(C1082,""\d+\s*/\s*(\d+)"")),"""")"),"")</f>
        <v/>
      </c>
      <c r="I1082" s="32" t="str">
        <f t="shared" si="2"/>
        <v/>
      </c>
      <c r="J1082" s="33" t="str">
        <f t="shared" si="3"/>
        <v/>
      </c>
    </row>
    <row r="1083" ht="15.75" customHeight="1">
      <c r="A1083" s="22" t="s">
        <v>113</v>
      </c>
      <c r="B1083" s="22" t="str">
        <f>IF(MOV_CC_NACIONAL!A1083="","",MOV_CC_NACIONAL!A1083)</f>
        <v/>
      </c>
      <c r="C1083" s="22" t="str">
        <f>IF(MOV_CC_NACIONAL!B1083="","",MOV_CC_NACIONAL!B1083)</f>
        <v/>
      </c>
      <c r="D1083" s="34" t="str">
        <f>IF(MOV_CC_NACIONAL!C1083="","",MOV_CC_NACIONAL!C1083)</f>
        <v/>
      </c>
      <c r="E1083" s="22" t="str">
        <f t="shared" si="1"/>
        <v/>
      </c>
      <c r="F1083" s="22" t="str">
        <f>IFERROR(__xludf.DUMMYFUNCTION("IF(C1083="""","""", OR(REGEXMATCH(LOWER(C1083),""cuota""), REGEXMATCH(C1083,""\d+\s*/\s*\d+"")))"),"")</f>
        <v/>
      </c>
      <c r="G1083" s="22" t="str">
        <f>IFERROR(__xludf.DUMMYFUNCTION("IFERROR(VALUE(REGEXEXTRACT(C1083,""(\d+)\s*/\s*\d+"")),"""")"),"")</f>
        <v/>
      </c>
      <c r="H1083" s="22" t="str">
        <f>IFERROR(__xludf.DUMMYFUNCTION("IFERROR(VALUE(REGEXEXTRACT(C1083,""\d+\s*/\s*(\d+)"")),"""")"),"")</f>
        <v/>
      </c>
      <c r="I1083" s="22" t="str">
        <f t="shared" si="2"/>
        <v/>
      </c>
      <c r="J1083" s="34" t="str">
        <f t="shared" si="3"/>
        <v/>
      </c>
    </row>
    <row r="1084" ht="15.75" customHeight="1">
      <c r="A1084" s="32" t="s">
        <v>113</v>
      </c>
      <c r="B1084" s="32" t="str">
        <f>IF(MOV_CC_NACIONAL!A1084="","",MOV_CC_NACIONAL!A1084)</f>
        <v/>
      </c>
      <c r="C1084" s="32" t="str">
        <f>IF(MOV_CC_NACIONAL!B1084="","",MOV_CC_NACIONAL!B1084)</f>
        <v/>
      </c>
      <c r="D1084" s="33" t="str">
        <f>IF(MOV_CC_NACIONAL!C1084="","",MOV_CC_NACIONAL!C1084)</f>
        <v/>
      </c>
      <c r="E1084" s="32" t="str">
        <f t="shared" si="1"/>
        <v/>
      </c>
      <c r="F1084" s="32" t="str">
        <f>IFERROR(__xludf.DUMMYFUNCTION("IF(C1084="""","""", OR(REGEXMATCH(LOWER(C1084),""cuota""), REGEXMATCH(C1084,""\d+\s*/\s*\d+"")))"),"")</f>
        <v/>
      </c>
      <c r="G1084" s="32" t="str">
        <f>IFERROR(__xludf.DUMMYFUNCTION("IFERROR(VALUE(REGEXEXTRACT(C1084,""(\d+)\s*/\s*\d+"")),"""")"),"")</f>
        <v/>
      </c>
      <c r="H1084" s="32" t="str">
        <f>IFERROR(__xludf.DUMMYFUNCTION("IFERROR(VALUE(REGEXEXTRACT(C1084,""\d+\s*/\s*(\d+)"")),"""")"),"")</f>
        <v/>
      </c>
      <c r="I1084" s="32" t="str">
        <f t="shared" si="2"/>
        <v/>
      </c>
      <c r="J1084" s="33" t="str">
        <f t="shared" si="3"/>
        <v/>
      </c>
    </row>
    <row r="1085" ht="15.75" customHeight="1">
      <c r="A1085" s="22" t="s">
        <v>113</v>
      </c>
      <c r="B1085" s="22" t="str">
        <f>IF(MOV_CC_NACIONAL!A1085="","",MOV_CC_NACIONAL!A1085)</f>
        <v/>
      </c>
      <c r="C1085" s="22" t="str">
        <f>IF(MOV_CC_NACIONAL!B1085="","",MOV_CC_NACIONAL!B1085)</f>
        <v/>
      </c>
      <c r="D1085" s="34" t="str">
        <f>IF(MOV_CC_NACIONAL!C1085="","",MOV_CC_NACIONAL!C1085)</f>
        <v/>
      </c>
      <c r="E1085" s="22" t="str">
        <f t="shared" si="1"/>
        <v/>
      </c>
      <c r="F1085" s="22" t="str">
        <f>IFERROR(__xludf.DUMMYFUNCTION("IF(C1085="""","""", OR(REGEXMATCH(LOWER(C1085),""cuota""), REGEXMATCH(C1085,""\d+\s*/\s*\d+"")))"),"")</f>
        <v/>
      </c>
      <c r="G1085" s="22" t="str">
        <f>IFERROR(__xludf.DUMMYFUNCTION("IFERROR(VALUE(REGEXEXTRACT(C1085,""(\d+)\s*/\s*\d+"")),"""")"),"")</f>
        <v/>
      </c>
      <c r="H1085" s="22" t="str">
        <f>IFERROR(__xludf.DUMMYFUNCTION("IFERROR(VALUE(REGEXEXTRACT(C1085,""\d+\s*/\s*(\d+)"")),"""")"),"")</f>
        <v/>
      </c>
      <c r="I1085" s="22" t="str">
        <f t="shared" si="2"/>
        <v/>
      </c>
      <c r="J1085" s="34" t="str">
        <f t="shared" si="3"/>
        <v/>
      </c>
    </row>
    <row r="1086" ht="15.75" customHeight="1">
      <c r="A1086" s="32" t="s">
        <v>113</v>
      </c>
      <c r="B1086" s="32" t="str">
        <f>IF(MOV_CC_NACIONAL!A1086="","",MOV_CC_NACIONAL!A1086)</f>
        <v/>
      </c>
      <c r="C1086" s="32" t="str">
        <f>IF(MOV_CC_NACIONAL!B1086="","",MOV_CC_NACIONAL!B1086)</f>
        <v/>
      </c>
      <c r="D1086" s="33" t="str">
        <f>IF(MOV_CC_NACIONAL!C1086="","",MOV_CC_NACIONAL!C1086)</f>
        <v/>
      </c>
      <c r="E1086" s="32" t="str">
        <f t="shared" si="1"/>
        <v/>
      </c>
      <c r="F1086" s="32" t="str">
        <f>IFERROR(__xludf.DUMMYFUNCTION("IF(C1086="""","""", OR(REGEXMATCH(LOWER(C1086),""cuota""), REGEXMATCH(C1086,""\d+\s*/\s*\d+"")))"),"")</f>
        <v/>
      </c>
      <c r="G1086" s="32" t="str">
        <f>IFERROR(__xludf.DUMMYFUNCTION("IFERROR(VALUE(REGEXEXTRACT(C1086,""(\d+)\s*/\s*\d+"")),"""")"),"")</f>
        <v/>
      </c>
      <c r="H1086" s="32" t="str">
        <f>IFERROR(__xludf.DUMMYFUNCTION("IFERROR(VALUE(REGEXEXTRACT(C1086,""\d+\s*/\s*(\d+)"")),"""")"),"")</f>
        <v/>
      </c>
      <c r="I1086" s="32" t="str">
        <f t="shared" si="2"/>
        <v/>
      </c>
      <c r="J1086" s="33" t="str">
        <f t="shared" si="3"/>
        <v/>
      </c>
    </row>
    <row r="1087" ht="15.75" customHeight="1">
      <c r="A1087" s="22" t="s">
        <v>113</v>
      </c>
      <c r="B1087" s="22" t="str">
        <f>IF(MOV_CC_NACIONAL!A1087="","",MOV_CC_NACIONAL!A1087)</f>
        <v/>
      </c>
      <c r="C1087" s="22" t="str">
        <f>IF(MOV_CC_NACIONAL!B1087="","",MOV_CC_NACIONAL!B1087)</f>
        <v/>
      </c>
      <c r="D1087" s="34" t="str">
        <f>IF(MOV_CC_NACIONAL!C1087="","",MOV_CC_NACIONAL!C1087)</f>
        <v/>
      </c>
      <c r="E1087" s="22" t="str">
        <f t="shared" si="1"/>
        <v/>
      </c>
      <c r="F1087" s="22" t="str">
        <f>IFERROR(__xludf.DUMMYFUNCTION("IF(C1087="""","""", OR(REGEXMATCH(LOWER(C1087),""cuota""), REGEXMATCH(C1087,""\d+\s*/\s*\d+"")))"),"")</f>
        <v/>
      </c>
      <c r="G1087" s="22" t="str">
        <f>IFERROR(__xludf.DUMMYFUNCTION("IFERROR(VALUE(REGEXEXTRACT(C1087,""(\d+)\s*/\s*\d+"")),"""")"),"")</f>
        <v/>
      </c>
      <c r="H1087" s="22" t="str">
        <f>IFERROR(__xludf.DUMMYFUNCTION("IFERROR(VALUE(REGEXEXTRACT(C1087,""\d+\s*/\s*(\d+)"")),"""")"),"")</f>
        <v/>
      </c>
      <c r="I1087" s="22" t="str">
        <f t="shared" si="2"/>
        <v/>
      </c>
      <c r="J1087" s="34" t="str">
        <f t="shared" si="3"/>
        <v/>
      </c>
    </row>
    <row r="1088" ht="15.75" customHeight="1">
      <c r="A1088" s="32" t="s">
        <v>113</v>
      </c>
      <c r="B1088" s="32" t="str">
        <f>IF(MOV_CC_NACIONAL!A1088="","",MOV_CC_NACIONAL!A1088)</f>
        <v/>
      </c>
      <c r="C1088" s="32" t="str">
        <f>IF(MOV_CC_NACIONAL!B1088="","",MOV_CC_NACIONAL!B1088)</f>
        <v/>
      </c>
      <c r="D1088" s="33" t="str">
        <f>IF(MOV_CC_NACIONAL!C1088="","",MOV_CC_NACIONAL!C1088)</f>
        <v/>
      </c>
      <c r="E1088" s="32" t="str">
        <f t="shared" si="1"/>
        <v/>
      </c>
      <c r="F1088" s="32" t="str">
        <f>IFERROR(__xludf.DUMMYFUNCTION("IF(C1088="""","""", OR(REGEXMATCH(LOWER(C1088),""cuota""), REGEXMATCH(C1088,""\d+\s*/\s*\d+"")))"),"")</f>
        <v/>
      </c>
      <c r="G1088" s="32" t="str">
        <f>IFERROR(__xludf.DUMMYFUNCTION("IFERROR(VALUE(REGEXEXTRACT(C1088,""(\d+)\s*/\s*\d+"")),"""")"),"")</f>
        <v/>
      </c>
      <c r="H1088" s="32" t="str">
        <f>IFERROR(__xludf.DUMMYFUNCTION("IFERROR(VALUE(REGEXEXTRACT(C1088,""\d+\s*/\s*(\d+)"")),"""")"),"")</f>
        <v/>
      </c>
      <c r="I1088" s="32" t="str">
        <f t="shared" si="2"/>
        <v/>
      </c>
      <c r="J1088" s="33" t="str">
        <f t="shared" si="3"/>
        <v/>
      </c>
    </row>
    <row r="1089" ht="15.75" customHeight="1">
      <c r="A1089" s="22" t="s">
        <v>113</v>
      </c>
      <c r="B1089" s="22" t="str">
        <f>IF(MOV_CC_NACIONAL!A1089="","",MOV_CC_NACIONAL!A1089)</f>
        <v/>
      </c>
      <c r="C1089" s="22" t="str">
        <f>IF(MOV_CC_NACIONAL!B1089="","",MOV_CC_NACIONAL!B1089)</f>
        <v/>
      </c>
      <c r="D1089" s="34" t="str">
        <f>IF(MOV_CC_NACIONAL!C1089="","",MOV_CC_NACIONAL!C1089)</f>
        <v/>
      </c>
      <c r="E1089" s="22" t="str">
        <f t="shared" si="1"/>
        <v/>
      </c>
      <c r="F1089" s="22" t="str">
        <f>IFERROR(__xludf.DUMMYFUNCTION("IF(C1089="""","""", OR(REGEXMATCH(LOWER(C1089),""cuota""), REGEXMATCH(C1089,""\d+\s*/\s*\d+"")))"),"")</f>
        <v/>
      </c>
      <c r="G1089" s="22" t="str">
        <f>IFERROR(__xludf.DUMMYFUNCTION("IFERROR(VALUE(REGEXEXTRACT(C1089,""(\d+)\s*/\s*\d+"")),"""")"),"")</f>
        <v/>
      </c>
      <c r="H1089" s="22" t="str">
        <f>IFERROR(__xludf.DUMMYFUNCTION("IFERROR(VALUE(REGEXEXTRACT(C1089,""\d+\s*/\s*(\d+)"")),"""")"),"")</f>
        <v/>
      </c>
      <c r="I1089" s="22" t="str">
        <f t="shared" si="2"/>
        <v/>
      </c>
      <c r="J1089" s="34" t="str">
        <f t="shared" si="3"/>
        <v/>
      </c>
    </row>
    <row r="1090" ht="15.75" customHeight="1">
      <c r="A1090" s="32" t="s">
        <v>113</v>
      </c>
      <c r="B1090" s="32" t="str">
        <f>IF(MOV_CC_NACIONAL!A1090="","",MOV_CC_NACIONAL!A1090)</f>
        <v/>
      </c>
      <c r="C1090" s="32" t="str">
        <f>IF(MOV_CC_NACIONAL!B1090="","",MOV_CC_NACIONAL!B1090)</f>
        <v/>
      </c>
      <c r="D1090" s="33" t="str">
        <f>IF(MOV_CC_NACIONAL!C1090="","",MOV_CC_NACIONAL!C1090)</f>
        <v/>
      </c>
      <c r="E1090" s="32" t="str">
        <f t="shared" si="1"/>
        <v/>
      </c>
      <c r="F1090" s="32" t="str">
        <f>IFERROR(__xludf.DUMMYFUNCTION("IF(C1090="""","""", OR(REGEXMATCH(LOWER(C1090),""cuota""), REGEXMATCH(C1090,""\d+\s*/\s*\d+"")))"),"")</f>
        <v/>
      </c>
      <c r="G1090" s="32" t="str">
        <f>IFERROR(__xludf.DUMMYFUNCTION("IFERROR(VALUE(REGEXEXTRACT(C1090,""(\d+)\s*/\s*\d+"")),"""")"),"")</f>
        <v/>
      </c>
      <c r="H1090" s="32" t="str">
        <f>IFERROR(__xludf.DUMMYFUNCTION("IFERROR(VALUE(REGEXEXTRACT(C1090,""\d+\s*/\s*(\d+)"")),"""")"),"")</f>
        <v/>
      </c>
      <c r="I1090" s="32" t="str">
        <f t="shared" si="2"/>
        <v/>
      </c>
      <c r="J1090" s="33" t="str">
        <f t="shared" si="3"/>
        <v/>
      </c>
    </row>
    <row r="1091" ht="15.75" customHeight="1">
      <c r="A1091" s="22" t="s">
        <v>113</v>
      </c>
      <c r="B1091" s="22" t="str">
        <f>IF(MOV_CC_NACIONAL!A1091="","",MOV_CC_NACIONAL!A1091)</f>
        <v/>
      </c>
      <c r="C1091" s="22" t="str">
        <f>IF(MOV_CC_NACIONAL!B1091="","",MOV_CC_NACIONAL!B1091)</f>
        <v/>
      </c>
      <c r="D1091" s="34" t="str">
        <f>IF(MOV_CC_NACIONAL!C1091="","",MOV_CC_NACIONAL!C1091)</f>
        <v/>
      </c>
      <c r="E1091" s="22" t="str">
        <f t="shared" si="1"/>
        <v/>
      </c>
      <c r="F1091" s="22" t="str">
        <f>IFERROR(__xludf.DUMMYFUNCTION("IF(C1091="""","""", OR(REGEXMATCH(LOWER(C1091),""cuota""), REGEXMATCH(C1091,""\d+\s*/\s*\d+"")))"),"")</f>
        <v/>
      </c>
      <c r="G1091" s="22" t="str">
        <f>IFERROR(__xludf.DUMMYFUNCTION("IFERROR(VALUE(REGEXEXTRACT(C1091,""(\d+)\s*/\s*\d+"")),"""")"),"")</f>
        <v/>
      </c>
      <c r="H1091" s="22" t="str">
        <f>IFERROR(__xludf.DUMMYFUNCTION("IFERROR(VALUE(REGEXEXTRACT(C1091,""\d+\s*/\s*(\d+)"")),"""")"),"")</f>
        <v/>
      </c>
      <c r="I1091" s="22" t="str">
        <f t="shared" si="2"/>
        <v/>
      </c>
      <c r="J1091" s="34" t="str">
        <f t="shared" si="3"/>
        <v/>
      </c>
    </row>
    <row r="1092" ht="15.75" customHeight="1">
      <c r="A1092" s="32" t="s">
        <v>113</v>
      </c>
      <c r="B1092" s="32" t="str">
        <f>IF(MOV_CC_NACIONAL!A1092="","",MOV_CC_NACIONAL!A1092)</f>
        <v/>
      </c>
      <c r="C1092" s="32" t="str">
        <f>IF(MOV_CC_NACIONAL!B1092="","",MOV_CC_NACIONAL!B1092)</f>
        <v/>
      </c>
      <c r="D1092" s="33" t="str">
        <f>IF(MOV_CC_NACIONAL!C1092="","",MOV_CC_NACIONAL!C1092)</f>
        <v/>
      </c>
      <c r="E1092" s="32" t="str">
        <f t="shared" si="1"/>
        <v/>
      </c>
      <c r="F1092" s="32" t="str">
        <f>IFERROR(__xludf.DUMMYFUNCTION("IF(C1092="""","""", OR(REGEXMATCH(LOWER(C1092),""cuota""), REGEXMATCH(C1092,""\d+\s*/\s*\d+"")))"),"")</f>
        <v/>
      </c>
      <c r="G1092" s="32" t="str">
        <f>IFERROR(__xludf.DUMMYFUNCTION("IFERROR(VALUE(REGEXEXTRACT(C1092,""(\d+)\s*/\s*\d+"")),"""")"),"")</f>
        <v/>
      </c>
      <c r="H1092" s="32" t="str">
        <f>IFERROR(__xludf.DUMMYFUNCTION("IFERROR(VALUE(REGEXEXTRACT(C1092,""\d+\s*/\s*(\d+)"")),"""")"),"")</f>
        <v/>
      </c>
      <c r="I1092" s="32" t="str">
        <f t="shared" si="2"/>
        <v/>
      </c>
      <c r="J1092" s="33" t="str">
        <f t="shared" si="3"/>
        <v/>
      </c>
    </row>
    <row r="1093" ht="15.75" customHeight="1">
      <c r="A1093" s="22" t="s">
        <v>113</v>
      </c>
      <c r="B1093" s="22" t="str">
        <f>IF(MOV_CC_NACIONAL!A1093="","",MOV_CC_NACIONAL!A1093)</f>
        <v/>
      </c>
      <c r="C1093" s="22" t="str">
        <f>IF(MOV_CC_NACIONAL!B1093="","",MOV_CC_NACIONAL!B1093)</f>
        <v/>
      </c>
      <c r="D1093" s="34" t="str">
        <f>IF(MOV_CC_NACIONAL!C1093="","",MOV_CC_NACIONAL!C1093)</f>
        <v/>
      </c>
      <c r="E1093" s="22" t="str">
        <f t="shared" si="1"/>
        <v/>
      </c>
      <c r="F1093" s="22" t="str">
        <f>IFERROR(__xludf.DUMMYFUNCTION("IF(C1093="""","""", OR(REGEXMATCH(LOWER(C1093),""cuota""), REGEXMATCH(C1093,""\d+\s*/\s*\d+"")))"),"")</f>
        <v/>
      </c>
      <c r="G1093" s="22" t="str">
        <f>IFERROR(__xludf.DUMMYFUNCTION("IFERROR(VALUE(REGEXEXTRACT(C1093,""(\d+)\s*/\s*\d+"")),"""")"),"")</f>
        <v/>
      </c>
      <c r="H1093" s="22" t="str">
        <f>IFERROR(__xludf.DUMMYFUNCTION("IFERROR(VALUE(REGEXEXTRACT(C1093,""\d+\s*/\s*(\d+)"")),"""")"),"")</f>
        <v/>
      </c>
      <c r="I1093" s="22" t="str">
        <f t="shared" si="2"/>
        <v/>
      </c>
      <c r="J1093" s="34" t="str">
        <f t="shared" si="3"/>
        <v/>
      </c>
    </row>
    <row r="1094" ht="15.75" customHeight="1">
      <c r="A1094" s="32" t="s">
        <v>113</v>
      </c>
      <c r="B1094" s="32" t="str">
        <f>IF(MOV_CC_NACIONAL!A1094="","",MOV_CC_NACIONAL!A1094)</f>
        <v/>
      </c>
      <c r="C1094" s="32" t="str">
        <f>IF(MOV_CC_NACIONAL!B1094="","",MOV_CC_NACIONAL!B1094)</f>
        <v/>
      </c>
      <c r="D1094" s="33" t="str">
        <f>IF(MOV_CC_NACIONAL!C1094="","",MOV_CC_NACIONAL!C1094)</f>
        <v/>
      </c>
      <c r="E1094" s="32" t="str">
        <f t="shared" si="1"/>
        <v/>
      </c>
      <c r="F1094" s="32" t="str">
        <f>IFERROR(__xludf.DUMMYFUNCTION("IF(C1094="""","""", OR(REGEXMATCH(LOWER(C1094),""cuota""), REGEXMATCH(C1094,""\d+\s*/\s*\d+"")))"),"")</f>
        <v/>
      </c>
      <c r="G1094" s="32" t="str">
        <f>IFERROR(__xludf.DUMMYFUNCTION("IFERROR(VALUE(REGEXEXTRACT(C1094,""(\d+)\s*/\s*\d+"")),"""")"),"")</f>
        <v/>
      </c>
      <c r="H1094" s="32" t="str">
        <f>IFERROR(__xludf.DUMMYFUNCTION("IFERROR(VALUE(REGEXEXTRACT(C1094,""\d+\s*/\s*(\d+)"")),"""")"),"")</f>
        <v/>
      </c>
      <c r="I1094" s="32" t="str">
        <f t="shared" si="2"/>
        <v/>
      </c>
      <c r="J1094" s="33" t="str">
        <f t="shared" si="3"/>
        <v/>
      </c>
    </row>
    <row r="1095" ht="15.75" customHeight="1">
      <c r="A1095" s="22" t="s">
        <v>113</v>
      </c>
      <c r="B1095" s="22" t="str">
        <f>IF(MOV_CC_NACIONAL!A1095="","",MOV_CC_NACIONAL!A1095)</f>
        <v/>
      </c>
      <c r="C1095" s="22" t="str">
        <f>IF(MOV_CC_NACIONAL!B1095="","",MOV_CC_NACIONAL!B1095)</f>
        <v/>
      </c>
      <c r="D1095" s="34" t="str">
        <f>IF(MOV_CC_NACIONAL!C1095="","",MOV_CC_NACIONAL!C1095)</f>
        <v/>
      </c>
      <c r="E1095" s="22" t="str">
        <f t="shared" si="1"/>
        <v/>
      </c>
      <c r="F1095" s="22" t="str">
        <f>IFERROR(__xludf.DUMMYFUNCTION("IF(C1095="""","""", OR(REGEXMATCH(LOWER(C1095),""cuota""), REGEXMATCH(C1095,""\d+\s*/\s*\d+"")))"),"")</f>
        <v/>
      </c>
      <c r="G1095" s="22" t="str">
        <f>IFERROR(__xludf.DUMMYFUNCTION("IFERROR(VALUE(REGEXEXTRACT(C1095,""(\d+)\s*/\s*\d+"")),"""")"),"")</f>
        <v/>
      </c>
      <c r="H1095" s="22" t="str">
        <f>IFERROR(__xludf.DUMMYFUNCTION("IFERROR(VALUE(REGEXEXTRACT(C1095,""\d+\s*/\s*(\d+)"")),"""")"),"")</f>
        <v/>
      </c>
      <c r="I1095" s="22" t="str">
        <f t="shared" si="2"/>
        <v/>
      </c>
      <c r="J1095" s="34" t="str">
        <f t="shared" si="3"/>
        <v/>
      </c>
    </row>
    <row r="1096" ht="15.75" customHeight="1">
      <c r="A1096" s="32" t="s">
        <v>113</v>
      </c>
      <c r="B1096" s="32" t="str">
        <f>IF(MOV_CC_NACIONAL!A1096="","",MOV_CC_NACIONAL!A1096)</f>
        <v/>
      </c>
      <c r="C1096" s="32" t="str">
        <f>IF(MOV_CC_NACIONAL!B1096="","",MOV_CC_NACIONAL!B1096)</f>
        <v/>
      </c>
      <c r="D1096" s="33" t="str">
        <f>IF(MOV_CC_NACIONAL!C1096="","",MOV_CC_NACIONAL!C1096)</f>
        <v/>
      </c>
      <c r="E1096" s="32" t="str">
        <f t="shared" si="1"/>
        <v/>
      </c>
      <c r="F1096" s="32" t="str">
        <f>IFERROR(__xludf.DUMMYFUNCTION("IF(C1096="""","""", OR(REGEXMATCH(LOWER(C1096),""cuota""), REGEXMATCH(C1096,""\d+\s*/\s*\d+"")))"),"")</f>
        <v/>
      </c>
      <c r="G1096" s="32" t="str">
        <f>IFERROR(__xludf.DUMMYFUNCTION("IFERROR(VALUE(REGEXEXTRACT(C1096,""(\d+)\s*/\s*\d+"")),"""")"),"")</f>
        <v/>
      </c>
      <c r="H1096" s="32" t="str">
        <f>IFERROR(__xludf.DUMMYFUNCTION("IFERROR(VALUE(REGEXEXTRACT(C1096,""\d+\s*/\s*(\d+)"")),"""")"),"")</f>
        <v/>
      </c>
      <c r="I1096" s="32" t="str">
        <f t="shared" si="2"/>
        <v/>
      </c>
      <c r="J1096" s="33" t="str">
        <f t="shared" si="3"/>
        <v/>
      </c>
    </row>
    <row r="1097" ht="15.75" customHeight="1">
      <c r="A1097" s="22" t="s">
        <v>113</v>
      </c>
      <c r="B1097" s="22" t="str">
        <f>IF(MOV_CC_NACIONAL!A1097="","",MOV_CC_NACIONAL!A1097)</f>
        <v/>
      </c>
      <c r="C1097" s="22" t="str">
        <f>IF(MOV_CC_NACIONAL!B1097="","",MOV_CC_NACIONAL!B1097)</f>
        <v/>
      </c>
      <c r="D1097" s="34" t="str">
        <f>IF(MOV_CC_NACIONAL!C1097="","",MOV_CC_NACIONAL!C1097)</f>
        <v/>
      </c>
      <c r="E1097" s="22" t="str">
        <f t="shared" si="1"/>
        <v/>
      </c>
      <c r="F1097" s="22" t="str">
        <f>IFERROR(__xludf.DUMMYFUNCTION("IF(C1097="""","""", OR(REGEXMATCH(LOWER(C1097),""cuota""), REGEXMATCH(C1097,""\d+\s*/\s*\d+"")))"),"")</f>
        <v/>
      </c>
      <c r="G1097" s="22" t="str">
        <f>IFERROR(__xludf.DUMMYFUNCTION("IFERROR(VALUE(REGEXEXTRACT(C1097,""(\d+)\s*/\s*\d+"")),"""")"),"")</f>
        <v/>
      </c>
      <c r="H1097" s="22" t="str">
        <f>IFERROR(__xludf.DUMMYFUNCTION("IFERROR(VALUE(REGEXEXTRACT(C1097,""\d+\s*/\s*(\d+)"")),"""")"),"")</f>
        <v/>
      </c>
      <c r="I1097" s="22" t="str">
        <f t="shared" si="2"/>
        <v/>
      </c>
      <c r="J1097" s="34" t="str">
        <f t="shared" si="3"/>
        <v/>
      </c>
    </row>
    <row r="1098" ht="15.75" customHeight="1">
      <c r="A1098" s="32" t="s">
        <v>113</v>
      </c>
      <c r="B1098" s="32" t="str">
        <f>IF(MOV_CC_NACIONAL!A1098="","",MOV_CC_NACIONAL!A1098)</f>
        <v/>
      </c>
      <c r="C1098" s="32" t="str">
        <f>IF(MOV_CC_NACIONAL!B1098="","",MOV_CC_NACIONAL!B1098)</f>
        <v/>
      </c>
      <c r="D1098" s="33" t="str">
        <f>IF(MOV_CC_NACIONAL!C1098="","",MOV_CC_NACIONAL!C1098)</f>
        <v/>
      </c>
      <c r="E1098" s="32" t="str">
        <f t="shared" si="1"/>
        <v/>
      </c>
      <c r="F1098" s="32" t="str">
        <f>IFERROR(__xludf.DUMMYFUNCTION("IF(C1098="""","""", OR(REGEXMATCH(LOWER(C1098),""cuota""), REGEXMATCH(C1098,""\d+\s*/\s*\d+"")))"),"")</f>
        <v/>
      </c>
      <c r="G1098" s="32" t="str">
        <f>IFERROR(__xludf.DUMMYFUNCTION("IFERROR(VALUE(REGEXEXTRACT(C1098,""(\d+)\s*/\s*\d+"")),"""")"),"")</f>
        <v/>
      </c>
      <c r="H1098" s="32" t="str">
        <f>IFERROR(__xludf.DUMMYFUNCTION("IFERROR(VALUE(REGEXEXTRACT(C1098,""\d+\s*/\s*(\d+)"")),"""")"),"")</f>
        <v/>
      </c>
      <c r="I1098" s="32" t="str">
        <f t="shared" si="2"/>
        <v/>
      </c>
      <c r="J1098" s="33" t="str">
        <f t="shared" si="3"/>
        <v/>
      </c>
    </row>
    <row r="1099" ht="15.75" customHeight="1">
      <c r="A1099" s="22" t="s">
        <v>113</v>
      </c>
      <c r="B1099" s="22" t="str">
        <f>IF(MOV_CC_NACIONAL!A1099="","",MOV_CC_NACIONAL!A1099)</f>
        <v/>
      </c>
      <c r="C1099" s="22" t="str">
        <f>IF(MOV_CC_NACIONAL!B1099="","",MOV_CC_NACIONAL!B1099)</f>
        <v/>
      </c>
      <c r="D1099" s="34" t="str">
        <f>IF(MOV_CC_NACIONAL!C1099="","",MOV_CC_NACIONAL!C1099)</f>
        <v/>
      </c>
      <c r="E1099" s="22" t="str">
        <f t="shared" si="1"/>
        <v/>
      </c>
      <c r="F1099" s="22" t="str">
        <f>IFERROR(__xludf.DUMMYFUNCTION("IF(C1099="""","""", OR(REGEXMATCH(LOWER(C1099),""cuota""), REGEXMATCH(C1099,""\d+\s*/\s*\d+"")))"),"")</f>
        <v/>
      </c>
      <c r="G1099" s="22" t="str">
        <f>IFERROR(__xludf.DUMMYFUNCTION("IFERROR(VALUE(REGEXEXTRACT(C1099,""(\d+)\s*/\s*\d+"")),"""")"),"")</f>
        <v/>
      </c>
      <c r="H1099" s="22" t="str">
        <f>IFERROR(__xludf.DUMMYFUNCTION("IFERROR(VALUE(REGEXEXTRACT(C1099,""\d+\s*/\s*(\d+)"")),"""")"),"")</f>
        <v/>
      </c>
      <c r="I1099" s="22" t="str">
        <f t="shared" si="2"/>
        <v/>
      </c>
      <c r="J1099" s="34" t="str">
        <f t="shared" si="3"/>
        <v/>
      </c>
    </row>
    <row r="1100" ht="15.75" customHeight="1">
      <c r="A1100" s="32" t="s">
        <v>113</v>
      </c>
      <c r="B1100" s="32" t="str">
        <f>IF(MOV_CC_NACIONAL!A1100="","",MOV_CC_NACIONAL!A1100)</f>
        <v/>
      </c>
      <c r="C1100" s="32" t="str">
        <f>IF(MOV_CC_NACIONAL!B1100="","",MOV_CC_NACIONAL!B1100)</f>
        <v/>
      </c>
      <c r="D1100" s="33" t="str">
        <f>IF(MOV_CC_NACIONAL!C1100="","",MOV_CC_NACIONAL!C1100)</f>
        <v/>
      </c>
      <c r="E1100" s="32" t="str">
        <f t="shared" si="1"/>
        <v/>
      </c>
      <c r="F1100" s="32" t="str">
        <f>IFERROR(__xludf.DUMMYFUNCTION("IF(C1100="""","""", OR(REGEXMATCH(LOWER(C1100),""cuota""), REGEXMATCH(C1100,""\d+\s*/\s*\d+"")))"),"")</f>
        <v/>
      </c>
      <c r="G1100" s="32" t="str">
        <f>IFERROR(__xludf.DUMMYFUNCTION("IFERROR(VALUE(REGEXEXTRACT(C1100,""(\d+)\s*/\s*\d+"")),"""")"),"")</f>
        <v/>
      </c>
      <c r="H1100" s="32" t="str">
        <f>IFERROR(__xludf.DUMMYFUNCTION("IFERROR(VALUE(REGEXEXTRACT(C1100,""\d+\s*/\s*(\d+)"")),"""")"),"")</f>
        <v/>
      </c>
      <c r="I1100" s="32" t="str">
        <f t="shared" si="2"/>
        <v/>
      </c>
      <c r="J1100" s="33" t="str">
        <f t="shared" si="3"/>
        <v/>
      </c>
    </row>
    <row r="1101" ht="15.75" customHeight="1">
      <c r="A1101" s="22" t="s">
        <v>113</v>
      </c>
      <c r="B1101" s="22" t="str">
        <f>IF(MOV_CC_NACIONAL!A1101="","",MOV_CC_NACIONAL!A1101)</f>
        <v/>
      </c>
      <c r="C1101" s="22" t="str">
        <f>IF(MOV_CC_NACIONAL!B1101="","",MOV_CC_NACIONAL!B1101)</f>
        <v/>
      </c>
      <c r="D1101" s="34" t="str">
        <f>IF(MOV_CC_NACIONAL!C1101="","",MOV_CC_NACIONAL!C1101)</f>
        <v/>
      </c>
      <c r="E1101" s="22" t="str">
        <f t="shared" si="1"/>
        <v/>
      </c>
      <c r="F1101" s="22" t="str">
        <f>IFERROR(__xludf.DUMMYFUNCTION("IF(C1101="""","""", OR(REGEXMATCH(LOWER(C1101),""cuota""), REGEXMATCH(C1101,""\d+\s*/\s*\d+"")))"),"")</f>
        <v/>
      </c>
      <c r="G1101" s="22" t="str">
        <f>IFERROR(__xludf.DUMMYFUNCTION("IFERROR(VALUE(REGEXEXTRACT(C1101,""(\d+)\s*/\s*\d+"")),"""")"),"")</f>
        <v/>
      </c>
      <c r="H1101" s="22" t="str">
        <f>IFERROR(__xludf.DUMMYFUNCTION("IFERROR(VALUE(REGEXEXTRACT(C1101,""\d+\s*/\s*(\d+)"")),"""")"),"")</f>
        <v/>
      </c>
      <c r="I1101" s="22" t="str">
        <f t="shared" si="2"/>
        <v/>
      </c>
      <c r="J1101" s="34" t="str">
        <f t="shared" si="3"/>
        <v/>
      </c>
    </row>
    <row r="1102" ht="15.75" customHeight="1">
      <c r="A1102" s="32" t="s">
        <v>113</v>
      </c>
      <c r="B1102" s="32" t="str">
        <f>IF(MOV_CC_NACIONAL!A1102="","",MOV_CC_NACIONAL!A1102)</f>
        <v/>
      </c>
      <c r="C1102" s="32" t="str">
        <f>IF(MOV_CC_NACIONAL!B1102="","",MOV_CC_NACIONAL!B1102)</f>
        <v/>
      </c>
      <c r="D1102" s="33" t="str">
        <f>IF(MOV_CC_NACIONAL!C1102="","",MOV_CC_NACIONAL!C1102)</f>
        <v/>
      </c>
      <c r="E1102" s="32" t="str">
        <f t="shared" si="1"/>
        <v/>
      </c>
      <c r="F1102" s="32" t="str">
        <f>IFERROR(__xludf.DUMMYFUNCTION("IF(C1102="""","""", OR(REGEXMATCH(LOWER(C1102),""cuota""), REGEXMATCH(C1102,""\d+\s*/\s*\d+"")))"),"")</f>
        <v/>
      </c>
      <c r="G1102" s="32" t="str">
        <f>IFERROR(__xludf.DUMMYFUNCTION("IFERROR(VALUE(REGEXEXTRACT(C1102,""(\d+)\s*/\s*\d+"")),"""")"),"")</f>
        <v/>
      </c>
      <c r="H1102" s="32" t="str">
        <f>IFERROR(__xludf.DUMMYFUNCTION("IFERROR(VALUE(REGEXEXTRACT(C1102,""\d+\s*/\s*(\d+)"")),"""")"),"")</f>
        <v/>
      </c>
      <c r="I1102" s="32" t="str">
        <f t="shared" si="2"/>
        <v/>
      </c>
      <c r="J1102" s="33" t="str">
        <f t="shared" si="3"/>
        <v/>
      </c>
    </row>
    <row r="1103" ht="15.75" customHeight="1">
      <c r="A1103" s="22" t="s">
        <v>113</v>
      </c>
      <c r="B1103" s="22" t="str">
        <f>IF(MOV_CC_NACIONAL!A1103="","",MOV_CC_NACIONAL!A1103)</f>
        <v/>
      </c>
      <c r="C1103" s="22" t="str">
        <f>IF(MOV_CC_NACIONAL!B1103="","",MOV_CC_NACIONAL!B1103)</f>
        <v/>
      </c>
      <c r="D1103" s="34" t="str">
        <f>IF(MOV_CC_NACIONAL!C1103="","",MOV_CC_NACIONAL!C1103)</f>
        <v/>
      </c>
      <c r="E1103" s="22" t="str">
        <f t="shared" si="1"/>
        <v/>
      </c>
      <c r="F1103" s="22" t="str">
        <f>IFERROR(__xludf.DUMMYFUNCTION("IF(C1103="""","""", OR(REGEXMATCH(LOWER(C1103),""cuota""), REGEXMATCH(C1103,""\d+\s*/\s*\d+"")))"),"")</f>
        <v/>
      </c>
      <c r="G1103" s="22" t="str">
        <f>IFERROR(__xludf.DUMMYFUNCTION("IFERROR(VALUE(REGEXEXTRACT(C1103,""(\d+)\s*/\s*\d+"")),"""")"),"")</f>
        <v/>
      </c>
      <c r="H1103" s="22" t="str">
        <f>IFERROR(__xludf.DUMMYFUNCTION("IFERROR(VALUE(REGEXEXTRACT(C1103,""\d+\s*/\s*(\d+)"")),"""")"),"")</f>
        <v/>
      </c>
      <c r="I1103" s="22" t="str">
        <f t="shared" si="2"/>
        <v/>
      </c>
      <c r="J1103" s="34" t="str">
        <f t="shared" si="3"/>
        <v/>
      </c>
    </row>
    <row r="1104" ht="15.75" customHeight="1">
      <c r="A1104" s="32" t="s">
        <v>113</v>
      </c>
      <c r="B1104" s="32" t="str">
        <f>IF(MOV_CC_NACIONAL!A1104="","",MOV_CC_NACIONAL!A1104)</f>
        <v/>
      </c>
      <c r="C1104" s="32" t="str">
        <f>IF(MOV_CC_NACIONAL!B1104="","",MOV_CC_NACIONAL!B1104)</f>
        <v/>
      </c>
      <c r="D1104" s="33" t="str">
        <f>IF(MOV_CC_NACIONAL!C1104="","",MOV_CC_NACIONAL!C1104)</f>
        <v/>
      </c>
      <c r="E1104" s="32" t="str">
        <f t="shared" si="1"/>
        <v/>
      </c>
      <c r="F1104" s="32" t="str">
        <f>IFERROR(__xludf.DUMMYFUNCTION("IF(C1104="""","""", OR(REGEXMATCH(LOWER(C1104),""cuota""), REGEXMATCH(C1104,""\d+\s*/\s*\d+"")))"),"")</f>
        <v/>
      </c>
      <c r="G1104" s="32" t="str">
        <f>IFERROR(__xludf.DUMMYFUNCTION("IFERROR(VALUE(REGEXEXTRACT(C1104,""(\d+)\s*/\s*\d+"")),"""")"),"")</f>
        <v/>
      </c>
      <c r="H1104" s="32" t="str">
        <f>IFERROR(__xludf.DUMMYFUNCTION("IFERROR(VALUE(REGEXEXTRACT(C1104,""\d+\s*/\s*(\d+)"")),"""")"),"")</f>
        <v/>
      </c>
      <c r="I1104" s="32" t="str">
        <f t="shared" si="2"/>
        <v/>
      </c>
      <c r="J1104" s="33" t="str">
        <f t="shared" si="3"/>
        <v/>
      </c>
    </row>
    <row r="1105" ht="15.75" customHeight="1">
      <c r="A1105" s="22" t="s">
        <v>113</v>
      </c>
      <c r="B1105" s="22" t="str">
        <f>IF(MOV_CC_NACIONAL!A1105="","",MOV_CC_NACIONAL!A1105)</f>
        <v/>
      </c>
      <c r="C1105" s="22" t="str">
        <f>IF(MOV_CC_NACIONAL!B1105="","",MOV_CC_NACIONAL!B1105)</f>
        <v/>
      </c>
      <c r="D1105" s="34" t="str">
        <f>IF(MOV_CC_NACIONAL!C1105="","",MOV_CC_NACIONAL!C1105)</f>
        <v/>
      </c>
      <c r="E1105" s="22" t="str">
        <f t="shared" si="1"/>
        <v/>
      </c>
      <c r="F1105" s="22" t="str">
        <f>IFERROR(__xludf.DUMMYFUNCTION("IF(C1105="""","""", OR(REGEXMATCH(LOWER(C1105),""cuota""), REGEXMATCH(C1105,""\d+\s*/\s*\d+"")))"),"")</f>
        <v/>
      </c>
      <c r="G1105" s="22" t="str">
        <f>IFERROR(__xludf.DUMMYFUNCTION("IFERROR(VALUE(REGEXEXTRACT(C1105,""(\d+)\s*/\s*\d+"")),"""")"),"")</f>
        <v/>
      </c>
      <c r="H1105" s="22" t="str">
        <f>IFERROR(__xludf.DUMMYFUNCTION("IFERROR(VALUE(REGEXEXTRACT(C1105,""\d+\s*/\s*(\d+)"")),"""")"),"")</f>
        <v/>
      </c>
      <c r="I1105" s="22" t="str">
        <f t="shared" si="2"/>
        <v/>
      </c>
      <c r="J1105" s="34" t="str">
        <f t="shared" si="3"/>
        <v/>
      </c>
    </row>
    <row r="1106" ht="15.75" customHeight="1">
      <c r="A1106" s="32" t="s">
        <v>113</v>
      </c>
      <c r="B1106" s="32" t="str">
        <f>IF(MOV_CC_NACIONAL!A1106="","",MOV_CC_NACIONAL!A1106)</f>
        <v/>
      </c>
      <c r="C1106" s="32" t="str">
        <f>IF(MOV_CC_NACIONAL!B1106="","",MOV_CC_NACIONAL!B1106)</f>
        <v/>
      </c>
      <c r="D1106" s="33" t="str">
        <f>IF(MOV_CC_NACIONAL!C1106="","",MOV_CC_NACIONAL!C1106)</f>
        <v/>
      </c>
      <c r="E1106" s="32" t="str">
        <f t="shared" si="1"/>
        <v/>
      </c>
      <c r="F1106" s="32" t="str">
        <f>IFERROR(__xludf.DUMMYFUNCTION("IF(C1106="""","""", OR(REGEXMATCH(LOWER(C1106),""cuota""), REGEXMATCH(C1106,""\d+\s*/\s*\d+"")))"),"")</f>
        <v/>
      </c>
      <c r="G1106" s="32" t="str">
        <f>IFERROR(__xludf.DUMMYFUNCTION("IFERROR(VALUE(REGEXEXTRACT(C1106,""(\d+)\s*/\s*\d+"")),"""")"),"")</f>
        <v/>
      </c>
      <c r="H1106" s="32" t="str">
        <f>IFERROR(__xludf.DUMMYFUNCTION("IFERROR(VALUE(REGEXEXTRACT(C1106,""\d+\s*/\s*(\d+)"")),"""")"),"")</f>
        <v/>
      </c>
      <c r="I1106" s="32" t="str">
        <f t="shared" si="2"/>
        <v/>
      </c>
      <c r="J1106" s="33" t="str">
        <f t="shared" si="3"/>
        <v/>
      </c>
    </row>
    <row r="1107" ht="15.75" customHeight="1">
      <c r="A1107" s="22" t="s">
        <v>113</v>
      </c>
      <c r="B1107" s="22" t="str">
        <f>IF(MOV_CC_NACIONAL!A1107="","",MOV_CC_NACIONAL!A1107)</f>
        <v/>
      </c>
      <c r="C1107" s="22" t="str">
        <f>IF(MOV_CC_NACIONAL!B1107="","",MOV_CC_NACIONAL!B1107)</f>
        <v/>
      </c>
      <c r="D1107" s="34" t="str">
        <f>IF(MOV_CC_NACIONAL!C1107="","",MOV_CC_NACIONAL!C1107)</f>
        <v/>
      </c>
      <c r="E1107" s="22" t="str">
        <f t="shared" si="1"/>
        <v/>
      </c>
      <c r="F1107" s="22" t="str">
        <f>IFERROR(__xludf.DUMMYFUNCTION("IF(C1107="""","""", OR(REGEXMATCH(LOWER(C1107),""cuota""), REGEXMATCH(C1107,""\d+\s*/\s*\d+"")))"),"")</f>
        <v/>
      </c>
      <c r="G1107" s="22" t="str">
        <f>IFERROR(__xludf.DUMMYFUNCTION("IFERROR(VALUE(REGEXEXTRACT(C1107,""(\d+)\s*/\s*\d+"")),"""")"),"")</f>
        <v/>
      </c>
      <c r="H1107" s="22" t="str">
        <f>IFERROR(__xludf.DUMMYFUNCTION("IFERROR(VALUE(REGEXEXTRACT(C1107,""\d+\s*/\s*(\d+)"")),"""")"),"")</f>
        <v/>
      </c>
      <c r="I1107" s="22" t="str">
        <f t="shared" si="2"/>
        <v/>
      </c>
      <c r="J1107" s="34" t="str">
        <f t="shared" si="3"/>
        <v/>
      </c>
    </row>
    <row r="1108" ht="15.75" customHeight="1">
      <c r="A1108" s="32" t="s">
        <v>113</v>
      </c>
      <c r="B1108" s="32" t="str">
        <f>IF(MOV_CC_NACIONAL!A1108="","",MOV_CC_NACIONAL!A1108)</f>
        <v/>
      </c>
      <c r="C1108" s="32" t="str">
        <f>IF(MOV_CC_NACIONAL!B1108="","",MOV_CC_NACIONAL!B1108)</f>
        <v/>
      </c>
      <c r="D1108" s="33" t="str">
        <f>IF(MOV_CC_NACIONAL!C1108="","",MOV_CC_NACIONAL!C1108)</f>
        <v/>
      </c>
      <c r="E1108" s="32" t="str">
        <f t="shared" si="1"/>
        <v/>
      </c>
      <c r="F1108" s="32" t="str">
        <f>IFERROR(__xludf.DUMMYFUNCTION("IF(C1108="""","""", OR(REGEXMATCH(LOWER(C1108),""cuota""), REGEXMATCH(C1108,""\d+\s*/\s*\d+"")))"),"")</f>
        <v/>
      </c>
      <c r="G1108" s="32" t="str">
        <f>IFERROR(__xludf.DUMMYFUNCTION("IFERROR(VALUE(REGEXEXTRACT(C1108,""(\d+)\s*/\s*\d+"")),"""")"),"")</f>
        <v/>
      </c>
      <c r="H1108" s="32" t="str">
        <f>IFERROR(__xludf.DUMMYFUNCTION("IFERROR(VALUE(REGEXEXTRACT(C1108,""\d+\s*/\s*(\d+)"")),"""")"),"")</f>
        <v/>
      </c>
      <c r="I1108" s="32" t="str">
        <f t="shared" si="2"/>
        <v/>
      </c>
      <c r="J1108" s="33" t="str">
        <f t="shared" si="3"/>
        <v/>
      </c>
    </row>
    <row r="1109" ht="15.75" customHeight="1">
      <c r="A1109" s="22" t="s">
        <v>113</v>
      </c>
      <c r="B1109" s="22" t="str">
        <f>IF(MOV_CC_NACIONAL!A1109="","",MOV_CC_NACIONAL!A1109)</f>
        <v/>
      </c>
      <c r="C1109" s="22" t="str">
        <f>IF(MOV_CC_NACIONAL!B1109="","",MOV_CC_NACIONAL!B1109)</f>
        <v/>
      </c>
      <c r="D1109" s="34" t="str">
        <f>IF(MOV_CC_NACIONAL!C1109="","",MOV_CC_NACIONAL!C1109)</f>
        <v/>
      </c>
      <c r="E1109" s="22" t="str">
        <f t="shared" si="1"/>
        <v/>
      </c>
      <c r="F1109" s="22" t="str">
        <f>IFERROR(__xludf.DUMMYFUNCTION("IF(C1109="""","""", OR(REGEXMATCH(LOWER(C1109),""cuota""), REGEXMATCH(C1109,""\d+\s*/\s*\d+"")))"),"")</f>
        <v/>
      </c>
      <c r="G1109" s="22" t="str">
        <f>IFERROR(__xludf.DUMMYFUNCTION("IFERROR(VALUE(REGEXEXTRACT(C1109,""(\d+)\s*/\s*\d+"")),"""")"),"")</f>
        <v/>
      </c>
      <c r="H1109" s="22" t="str">
        <f>IFERROR(__xludf.DUMMYFUNCTION("IFERROR(VALUE(REGEXEXTRACT(C1109,""\d+\s*/\s*(\d+)"")),"""")"),"")</f>
        <v/>
      </c>
      <c r="I1109" s="22" t="str">
        <f t="shared" si="2"/>
        <v/>
      </c>
      <c r="J1109" s="34" t="str">
        <f t="shared" si="3"/>
        <v/>
      </c>
    </row>
    <row r="1110" ht="15.75" customHeight="1">
      <c r="A1110" s="32" t="s">
        <v>113</v>
      </c>
      <c r="B1110" s="32" t="str">
        <f>IF(MOV_CC_NACIONAL!A1110="","",MOV_CC_NACIONAL!A1110)</f>
        <v/>
      </c>
      <c r="C1110" s="32" t="str">
        <f>IF(MOV_CC_NACIONAL!B1110="","",MOV_CC_NACIONAL!B1110)</f>
        <v/>
      </c>
      <c r="D1110" s="33" t="str">
        <f>IF(MOV_CC_NACIONAL!C1110="","",MOV_CC_NACIONAL!C1110)</f>
        <v/>
      </c>
      <c r="E1110" s="32" t="str">
        <f t="shared" si="1"/>
        <v/>
      </c>
      <c r="F1110" s="32" t="str">
        <f>IFERROR(__xludf.DUMMYFUNCTION("IF(C1110="""","""", OR(REGEXMATCH(LOWER(C1110),""cuota""), REGEXMATCH(C1110,""\d+\s*/\s*\d+"")))"),"")</f>
        <v/>
      </c>
      <c r="G1110" s="32" t="str">
        <f>IFERROR(__xludf.DUMMYFUNCTION("IFERROR(VALUE(REGEXEXTRACT(C1110,""(\d+)\s*/\s*\d+"")),"""")"),"")</f>
        <v/>
      </c>
      <c r="H1110" s="32" t="str">
        <f>IFERROR(__xludf.DUMMYFUNCTION("IFERROR(VALUE(REGEXEXTRACT(C1110,""\d+\s*/\s*(\d+)"")),"""")"),"")</f>
        <v/>
      </c>
      <c r="I1110" s="32" t="str">
        <f t="shared" si="2"/>
        <v/>
      </c>
      <c r="J1110" s="33" t="str">
        <f t="shared" si="3"/>
        <v/>
      </c>
    </row>
    <row r="1111" ht="15.75" customHeight="1">
      <c r="A1111" s="22" t="s">
        <v>113</v>
      </c>
      <c r="B1111" s="22" t="str">
        <f>IF(MOV_CC_NACIONAL!A1111="","",MOV_CC_NACIONAL!A1111)</f>
        <v/>
      </c>
      <c r="C1111" s="22" t="str">
        <f>IF(MOV_CC_NACIONAL!B1111="","",MOV_CC_NACIONAL!B1111)</f>
        <v/>
      </c>
      <c r="D1111" s="34" t="str">
        <f>IF(MOV_CC_NACIONAL!C1111="","",MOV_CC_NACIONAL!C1111)</f>
        <v/>
      </c>
      <c r="E1111" s="22" t="str">
        <f t="shared" si="1"/>
        <v/>
      </c>
      <c r="F1111" s="22" t="str">
        <f>IFERROR(__xludf.DUMMYFUNCTION("IF(C1111="""","""", OR(REGEXMATCH(LOWER(C1111),""cuota""), REGEXMATCH(C1111,""\d+\s*/\s*\d+"")))"),"")</f>
        <v/>
      </c>
      <c r="G1111" s="22" t="str">
        <f>IFERROR(__xludf.DUMMYFUNCTION("IFERROR(VALUE(REGEXEXTRACT(C1111,""(\d+)\s*/\s*\d+"")),"""")"),"")</f>
        <v/>
      </c>
      <c r="H1111" s="22" t="str">
        <f>IFERROR(__xludf.DUMMYFUNCTION("IFERROR(VALUE(REGEXEXTRACT(C1111,""\d+\s*/\s*(\d+)"")),"""")"),"")</f>
        <v/>
      </c>
      <c r="I1111" s="22" t="str">
        <f t="shared" si="2"/>
        <v/>
      </c>
      <c r="J1111" s="34" t="str">
        <f t="shared" si="3"/>
        <v/>
      </c>
    </row>
    <row r="1112" ht="15.75" customHeight="1">
      <c r="A1112" s="32" t="s">
        <v>113</v>
      </c>
      <c r="B1112" s="32" t="str">
        <f>IF(MOV_CC_NACIONAL!A1112="","",MOV_CC_NACIONAL!A1112)</f>
        <v/>
      </c>
      <c r="C1112" s="32" t="str">
        <f>IF(MOV_CC_NACIONAL!B1112="","",MOV_CC_NACIONAL!B1112)</f>
        <v/>
      </c>
      <c r="D1112" s="33" t="str">
        <f>IF(MOV_CC_NACIONAL!C1112="","",MOV_CC_NACIONAL!C1112)</f>
        <v/>
      </c>
      <c r="E1112" s="32" t="str">
        <f t="shared" si="1"/>
        <v/>
      </c>
      <c r="F1112" s="32" t="str">
        <f>IFERROR(__xludf.DUMMYFUNCTION("IF(C1112="""","""", OR(REGEXMATCH(LOWER(C1112),""cuota""), REGEXMATCH(C1112,""\d+\s*/\s*\d+"")))"),"")</f>
        <v/>
      </c>
      <c r="G1112" s="32" t="str">
        <f>IFERROR(__xludf.DUMMYFUNCTION("IFERROR(VALUE(REGEXEXTRACT(C1112,""(\d+)\s*/\s*\d+"")),"""")"),"")</f>
        <v/>
      </c>
      <c r="H1112" s="32" t="str">
        <f>IFERROR(__xludf.DUMMYFUNCTION("IFERROR(VALUE(REGEXEXTRACT(C1112,""\d+\s*/\s*(\d+)"")),"""")"),"")</f>
        <v/>
      </c>
      <c r="I1112" s="32" t="str">
        <f t="shared" si="2"/>
        <v/>
      </c>
      <c r="J1112" s="33" t="str">
        <f t="shared" si="3"/>
        <v/>
      </c>
    </row>
    <row r="1113" ht="15.75" customHeight="1">
      <c r="A1113" s="22" t="s">
        <v>113</v>
      </c>
      <c r="B1113" s="22" t="str">
        <f>IF(MOV_CC_NACIONAL!A1113="","",MOV_CC_NACIONAL!A1113)</f>
        <v/>
      </c>
      <c r="C1113" s="22" t="str">
        <f>IF(MOV_CC_NACIONAL!B1113="","",MOV_CC_NACIONAL!B1113)</f>
        <v/>
      </c>
      <c r="D1113" s="34" t="str">
        <f>IF(MOV_CC_NACIONAL!C1113="","",MOV_CC_NACIONAL!C1113)</f>
        <v/>
      </c>
      <c r="E1113" s="22" t="str">
        <f t="shared" si="1"/>
        <v/>
      </c>
      <c r="F1113" s="22" t="str">
        <f>IFERROR(__xludf.DUMMYFUNCTION("IF(C1113="""","""", OR(REGEXMATCH(LOWER(C1113),""cuota""), REGEXMATCH(C1113,""\d+\s*/\s*\d+"")))"),"")</f>
        <v/>
      </c>
      <c r="G1113" s="22" t="str">
        <f>IFERROR(__xludf.DUMMYFUNCTION("IFERROR(VALUE(REGEXEXTRACT(C1113,""(\d+)\s*/\s*\d+"")),"""")"),"")</f>
        <v/>
      </c>
      <c r="H1113" s="22" t="str">
        <f>IFERROR(__xludf.DUMMYFUNCTION("IFERROR(VALUE(REGEXEXTRACT(C1113,""\d+\s*/\s*(\d+)"")),"""")"),"")</f>
        <v/>
      </c>
      <c r="I1113" s="22" t="str">
        <f t="shared" si="2"/>
        <v/>
      </c>
      <c r="J1113" s="34" t="str">
        <f t="shared" si="3"/>
        <v/>
      </c>
    </row>
    <row r="1114" ht="15.75" customHeight="1">
      <c r="A1114" s="32" t="s">
        <v>113</v>
      </c>
      <c r="B1114" s="32" t="str">
        <f>IF(MOV_CC_NACIONAL!A1114="","",MOV_CC_NACIONAL!A1114)</f>
        <v/>
      </c>
      <c r="C1114" s="32" t="str">
        <f>IF(MOV_CC_NACIONAL!B1114="","",MOV_CC_NACIONAL!B1114)</f>
        <v/>
      </c>
      <c r="D1114" s="33" t="str">
        <f>IF(MOV_CC_NACIONAL!C1114="","",MOV_CC_NACIONAL!C1114)</f>
        <v/>
      </c>
      <c r="E1114" s="32" t="str">
        <f t="shared" si="1"/>
        <v/>
      </c>
      <c r="F1114" s="32" t="str">
        <f>IFERROR(__xludf.DUMMYFUNCTION("IF(C1114="""","""", OR(REGEXMATCH(LOWER(C1114),""cuota""), REGEXMATCH(C1114,""\d+\s*/\s*\d+"")))"),"")</f>
        <v/>
      </c>
      <c r="G1114" s="32" t="str">
        <f>IFERROR(__xludf.DUMMYFUNCTION("IFERROR(VALUE(REGEXEXTRACT(C1114,""(\d+)\s*/\s*\d+"")),"""")"),"")</f>
        <v/>
      </c>
      <c r="H1114" s="32" t="str">
        <f>IFERROR(__xludf.DUMMYFUNCTION("IFERROR(VALUE(REGEXEXTRACT(C1114,""\d+\s*/\s*(\d+)"")),"""")"),"")</f>
        <v/>
      </c>
      <c r="I1114" s="32" t="str">
        <f t="shared" si="2"/>
        <v/>
      </c>
      <c r="J1114" s="33" t="str">
        <f t="shared" si="3"/>
        <v/>
      </c>
    </row>
    <row r="1115" ht="15.75" customHeight="1">
      <c r="A1115" s="22" t="s">
        <v>113</v>
      </c>
      <c r="B1115" s="22" t="str">
        <f>IF(MOV_CC_NACIONAL!A1115="","",MOV_CC_NACIONAL!A1115)</f>
        <v/>
      </c>
      <c r="C1115" s="22" t="str">
        <f>IF(MOV_CC_NACIONAL!B1115="","",MOV_CC_NACIONAL!B1115)</f>
        <v/>
      </c>
      <c r="D1115" s="34" t="str">
        <f>IF(MOV_CC_NACIONAL!C1115="","",MOV_CC_NACIONAL!C1115)</f>
        <v/>
      </c>
      <c r="E1115" s="22" t="str">
        <f t="shared" si="1"/>
        <v/>
      </c>
      <c r="F1115" s="22" t="str">
        <f>IFERROR(__xludf.DUMMYFUNCTION("IF(C1115="""","""", OR(REGEXMATCH(LOWER(C1115),""cuota""), REGEXMATCH(C1115,""\d+\s*/\s*\d+"")))"),"")</f>
        <v/>
      </c>
      <c r="G1115" s="22" t="str">
        <f>IFERROR(__xludf.DUMMYFUNCTION("IFERROR(VALUE(REGEXEXTRACT(C1115,""(\d+)\s*/\s*\d+"")),"""")"),"")</f>
        <v/>
      </c>
      <c r="H1115" s="22" t="str">
        <f>IFERROR(__xludf.DUMMYFUNCTION("IFERROR(VALUE(REGEXEXTRACT(C1115,""\d+\s*/\s*(\d+)"")),"""")"),"")</f>
        <v/>
      </c>
      <c r="I1115" s="22" t="str">
        <f t="shared" si="2"/>
        <v/>
      </c>
      <c r="J1115" s="34" t="str">
        <f t="shared" si="3"/>
        <v/>
      </c>
    </row>
    <row r="1116" ht="15.75" customHeight="1">
      <c r="A1116" s="32" t="s">
        <v>113</v>
      </c>
      <c r="B1116" s="32" t="str">
        <f>IF(MOV_CC_NACIONAL!A1116="","",MOV_CC_NACIONAL!A1116)</f>
        <v/>
      </c>
      <c r="C1116" s="32" t="str">
        <f>IF(MOV_CC_NACIONAL!B1116="","",MOV_CC_NACIONAL!B1116)</f>
        <v/>
      </c>
      <c r="D1116" s="33" t="str">
        <f>IF(MOV_CC_NACIONAL!C1116="","",MOV_CC_NACIONAL!C1116)</f>
        <v/>
      </c>
      <c r="E1116" s="32" t="str">
        <f t="shared" si="1"/>
        <v/>
      </c>
      <c r="F1116" s="32" t="str">
        <f>IFERROR(__xludf.DUMMYFUNCTION("IF(C1116="""","""", OR(REGEXMATCH(LOWER(C1116),""cuota""), REGEXMATCH(C1116,""\d+\s*/\s*\d+"")))"),"")</f>
        <v/>
      </c>
      <c r="G1116" s="32" t="str">
        <f>IFERROR(__xludf.DUMMYFUNCTION("IFERROR(VALUE(REGEXEXTRACT(C1116,""(\d+)\s*/\s*\d+"")),"""")"),"")</f>
        <v/>
      </c>
      <c r="H1116" s="32" t="str">
        <f>IFERROR(__xludf.DUMMYFUNCTION("IFERROR(VALUE(REGEXEXTRACT(C1116,""\d+\s*/\s*(\d+)"")),"""")"),"")</f>
        <v/>
      </c>
      <c r="I1116" s="32" t="str">
        <f t="shared" si="2"/>
        <v/>
      </c>
      <c r="J1116" s="33" t="str">
        <f t="shared" si="3"/>
        <v/>
      </c>
    </row>
    <row r="1117" ht="15.75" customHeight="1">
      <c r="A1117" s="22" t="s">
        <v>113</v>
      </c>
      <c r="B1117" s="22" t="str">
        <f>IF(MOV_CC_NACIONAL!A1117="","",MOV_CC_NACIONAL!A1117)</f>
        <v/>
      </c>
      <c r="C1117" s="22" t="str">
        <f>IF(MOV_CC_NACIONAL!B1117="","",MOV_CC_NACIONAL!B1117)</f>
        <v/>
      </c>
      <c r="D1117" s="34" t="str">
        <f>IF(MOV_CC_NACIONAL!C1117="","",MOV_CC_NACIONAL!C1117)</f>
        <v/>
      </c>
      <c r="E1117" s="22" t="str">
        <f t="shared" si="1"/>
        <v/>
      </c>
      <c r="F1117" s="22" t="str">
        <f>IFERROR(__xludf.DUMMYFUNCTION("IF(C1117="""","""", OR(REGEXMATCH(LOWER(C1117),""cuota""), REGEXMATCH(C1117,""\d+\s*/\s*\d+"")))"),"")</f>
        <v/>
      </c>
      <c r="G1117" s="22" t="str">
        <f>IFERROR(__xludf.DUMMYFUNCTION("IFERROR(VALUE(REGEXEXTRACT(C1117,""(\d+)\s*/\s*\d+"")),"""")"),"")</f>
        <v/>
      </c>
      <c r="H1117" s="22" t="str">
        <f>IFERROR(__xludf.DUMMYFUNCTION("IFERROR(VALUE(REGEXEXTRACT(C1117,""\d+\s*/\s*(\d+)"")),"""")"),"")</f>
        <v/>
      </c>
      <c r="I1117" s="22" t="str">
        <f t="shared" si="2"/>
        <v/>
      </c>
      <c r="J1117" s="34" t="str">
        <f t="shared" si="3"/>
        <v/>
      </c>
    </row>
    <row r="1118" ht="15.75" customHeight="1">
      <c r="A1118" s="32" t="s">
        <v>113</v>
      </c>
      <c r="B1118" s="32" t="str">
        <f>IF(MOV_CC_NACIONAL!A1118="","",MOV_CC_NACIONAL!A1118)</f>
        <v/>
      </c>
      <c r="C1118" s="32" t="str">
        <f>IF(MOV_CC_NACIONAL!B1118="","",MOV_CC_NACIONAL!B1118)</f>
        <v/>
      </c>
      <c r="D1118" s="33" t="str">
        <f>IF(MOV_CC_NACIONAL!C1118="","",MOV_CC_NACIONAL!C1118)</f>
        <v/>
      </c>
      <c r="E1118" s="32" t="str">
        <f t="shared" si="1"/>
        <v/>
      </c>
      <c r="F1118" s="32" t="str">
        <f>IFERROR(__xludf.DUMMYFUNCTION("IF(C1118="""","""", OR(REGEXMATCH(LOWER(C1118),""cuota""), REGEXMATCH(C1118,""\d+\s*/\s*\d+"")))"),"")</f>
        <v/>
      </c>
      <c r="G1118" s="32" t="str">
        <f>IFERROR(__xludf.DUMMYFUNCTION("IFERROR(VALUE(REGEXEXTRACT(C1118,""(\d+)\s*/\s*\d+"")),"""")"),"")</f>
        <v/>
      </c>
      <c r="H1118" s="32" t="str">
        <f>IFERROR(__xludf.DUMMYFUNCTION("IFERROR(VALUE(REGEXEXTRACT(C1118,""\d+\s*/\s*(\d+)"")),"""")"),"")</f>
        <v/>
      </c>
      <c r="I1118" s="32" t="str">
        <f t="shared" si="2"/>
        <v/>
      </c>
      <c r="J1118" s="33" t="str">
        <f t="shared" si="3"/>
        <v/>
      </c>
    </row>
    <row r="1119" ht="15.75" customHeight="1">
      <c r="A1119" s="22" t="s">
        <v>113</v>
      </c>
      <c r="B1119" s="22" t="str">
        <f>IF(MOV_CC_NACIONAL!A1119="","",MOV_CC_NACIONAL!A1119)</f>
        <v/>
      </c>
      <c r="C1119" s="22" t="str">
        <f>IF(MOV_CC_NACIONAL!B1119="","",MOV_CC_NACIONAL!B1119)</f>
        <v/>
      </c>
      <c r="D1119" s="34" t="str">
        <f>IF(MOV_CC_NACIONAL!C1119="","",MOV_CC_NACIONAL!C1119)</f>
        <v/>
      </c>
      <c r="E1119" s="22" t="str">
        <f t="shared" si="1"/>
        <v/>
      </c>
      <c r="F1119" s="22" t="str">
        <f>IFERROR(__xludf.DUMMYFUNCTION("IF(C1119="""","""", OR(REGEXMATCH(LOWER(C1119),""cuota""), REGEXMATCH(C1119,""\d+\s*/\s*\d+"")))"),"")</f>
        <v/>
      </c>
      <c r="G1119" s="22" t="str">
        <f>IFERROR(__xludf.DUMMYFUNCTION("IFERROR(VALUE(REGEXEXTRACT(C1119,""(\d+)\s*/\s*\d+"")),"""")"),"")</f>
        <v/>
      </c>
      <c r="H1119" s="22" t="str">
        <f>IFERROR(__xludf.DUMMYFUNCTION("IFERROR(VALUE(REGEXEXTRACT(C1119,""\d+\s*/\s*(\d+)"")),"""")"),"")</f>
        <v/>
      </c>
      <c r="I1119" s="22" t="str">
        <f t="shared" si="2"/>
        <v/>
      </c>
      <c r="J1119" s="34" t="str">
        <f t="shared" si="3"/>
        <v/>
      </c>
    </row>
    <row r="1120" ht="15.75" customHeight="1">
      <c r="A1120" s="32" t="s">
        <v>113</v>
      </c>
      <c r="B1120" s="32" t="str">
        <f>IF(MOV_CC_NACIONAL!A1120="","",MOV_CC_NACIONAL!A1120)</f>
        <v/>
      </c>
      <c r="C1120" s="32" t="str">
        <f>IF(MOV_CC_NACIONAL!B1120="","",MOV_CC_NACIONAL!B1120)</f>
        <v/>
      </c>
      <c r="D1120" s="33" t="str">
        <f>IF(MOV_CC_NACIONAL!C1120="","",MOV_CC_NACIONAL!C1120)</f>
        <v/>
      </c>
      <c r="E1120" s="32" t="str">
        <f t="shared" si="1"/>
        <v/>
      </c>
      <c r="F1120" s="32" t="str">
        <f>IFERROR(__xludf.DUMMYFUNCTION("IF(C1120="""","""", OR(REGEXMATCH(LOWER(C1120),""cuota""), REGEXMATCH(C1120,""\d+\s*/\s*\d+"")))"),"")</f>
        <v/>
      </c>
      <c r="G1120" s="32" t="str">
        <f>IFERROR(__xludf.DUMMYFUNCTION("IFERROR(VALUE(REGEXEXTRACT(C1120,""(\d+)\s*/\s*\d+"")),"""")"),"")</f>
        <v/>
      </c>
      <c r="H1120" s="32" t="str">
        <f>IFERROR(__xludf.DUMMYFUNCTION("IFERROR(VALUE(REGEXEXTRACT(C1120,""\d+\s*/\s*(\d+)"")),"""")"),"")</f>
        <v/>
      </c>
      <c r="I1120" s="32" t="str">
        <f t="shared" si="2"/>
        <v/>
      </c>
      <c r="J1120" s="33" t="str">
        <f t="shared" si="3"/>
        <v/>
      </c>
    </row>
    <row r="1121" ht="15.75" customHeight="1">
      <c r="A1121" s="22" t="s">
        <v>113</v>
      </c>
      <c r="B1121" s="22" t="str">
        <f>IF(MOV_CC_NACIONAL!A1121="","",MOV_CC_NACIONAL!A1121)</f>
        <v/>
      </c>
      <c r="C1121" s="22" t="str">
        <f>IF(MOV_CC_NACIONAL!B1121="","",MOV_CC_NACIONAL!B1121)</f>
        <v/>
      </c>
      <c r="D1121" s="34" t="str">
        <f>IF(MOV_CC_NACIONAL!C1121="","",MOV_CC_NACIONAL!C1121)</f>
        <v/>
      </c>
      <c r="E1121" s="22" t="str">
        <f t="shared" si="1"/>
        <v/>
      </c>
      <c r="F1121" s="22" t="str">
        <f>IFERROR(__xludf.DUMMYFUNCTION("IF(C1121="""","""", OR(REGEXMATCH(LOWER(C1121),""cuota""), REGEXMATCH(C1121,""\d+\s*/\s*\d+"")))"),"")</f>
        <v/>
      </c>
      <c r="G1121" s="22" t="str">
        <f>IFERROR(__xludf.DUMMYFUNCTION("IFERROR(VALUE(REGEXEXTRACT(C1121,""(\d+)\s*/\s*\d+"")),"""")"),"")</f>
        <v/>
      </c>
      <c r="H1121" s="22" t="str">
        <f>IFERROR(__xludf.DUMMYFUNCTION("IFERROR(VALUE(REGEXEXTRACT(C1121,""\d+\s*/\s*(\d+)"")),"""")"),"")</f>
        <v/>
      </c>
      <c r="I1121" s="22" t="str">
        <f t="shared" si="2"/>
        <v/>
      </c>
      <c r="J1121" s="34" t="str">
        <f t="shared" si="3"/>
        <v/>
      </c>
    </row>
    <row r="1122" ht="15.75" customHeight="1">
      <c r="A1122" s="32" t="s">
        <v>113</v>
      </c>
      <c r="B1122" s="32" t="str">
        <f>IF(MOV_CC_NACIONAL!A1122="","",MOV_CC_NACIONAL!A1122)</f>
        <v/>
      </c>
      <c r="C1122" s="32" t="str">
        <f>IF(MOV_CC_NACIONAL!B1122="","",MOV_CC_NACIONAL!B1122)</f>
        <v/>
      </c>
      <c r="D1122" s="33" t="str">
        <f>IF(MOV_CC_NACIONAL!C1122="","",MOV_CC_NACIONAL!C1122)</f>
        <v/>
      </c>
      <c r="E1122" s="32" t="str">
        <f t="shared" si="1"/>
        <v/>
      </c>
      <c r="F1122" s="32" t="str">
        <f>IFERROR(__xludf.DUMMYFUNCTION("IF(C1122="""","""", OR(REGEXMATCH(LOWER(C1122),""cuota""), REGEXMATCH(C1122,""\d+\s*/\s*\d+"")))"),"")</f>
        <v/>
      </c>
      <c r="G1122" s="32" t="str">
        <f>IFERROR(__xludf.DUMMYFUNCTION("IFERROR(VALUE(REGEXEXTRACT(C1122,""(\d+)\s*/\s*\d+"")),"""")"),"")</f>
        <v/>
      </c>
      <c r="H1122" s="32" t="str">
        <f>IFERROR(__xludf.DUMMYFUNCTION("IFERROR(VALUE(REGEXEXTRACT(C1122,""\d+\s*/\s*(\d+)"")),"""")"),"")</f>
        <v/>
      </c>
      <c r="I1122" s="32" t="str">
        <f t="shared" si="2"/>
        <v/>
      </c>
      <c r="J1122" s="33" t="str">
        <f t="shared" si="3"/>
        <v/>
      </c>
    </row>
    <row r="1123" ht="15.75" customHeight="1">
      <c r="A1123" s="22" t="s">
        <v>113</v>
      </c>
      <c r="B1123" s="22" t="str">
        <f>IF(MOV_CC_NACIONAL!A1123="","",MOV_CC_NACIONAL!A1123)</f>
        <v/>
      </c>
      <c r="C1123" s="22" t="str">
        <f>IF(MOV_CC_NACIONAL!B1123="","",MOV_CC_NACIONAL!B1123)</f>
        <v/>
      </c>
      <c r="D1123" s="34" t="str">
        <f>IF(MOV_CC_NACIONAL!C1123="","",MOV_CC_NACIONAL!C1123)</f>
        <v/>
      </c>
      <c r="E1123" s="22" t="str">
        <f t="shared" si="1"/>
        <v/>
      </c>
      <c r="F1123" s="22" t="str">
        <f>IFERROR(__xludf.DUMMYFUNCTION("IF(C1123="""","""", OR(REGEXMATCH(LOWER(C1123),""cuota""), REGEXMATCH(C1123,""\d+\s*/\s*\d+"")))"),"")</f>
        <v/>
      </c>
      <c r="G1123" s="22" t="str">
        <f>IFERROR(__xludf.DUMMYFUNCTION("IFERROR(VALUE(REGEXEXTRACT(C1123,""(\d+)\s*/\s*\d+"")),"""")"),"")</f>
        <v/>
      </c>
      <c r="H1123" s="22" t="str">
        <f>IFERROR(__xludf.DUMMYFUNCTION("IFERROR(VALUE(REGEXEXTRACT(C1123,""\d+\s*/\s*(\d+)"")),"""")"),"")</f>
        <v/>
      </c>
      <c r="I1123" s="22" t="str">
        <f t="shared" si="2"/>
        <v/>
      </c>
      <c r="J1123" s="34" t="str">
        <f t="shared" si="3"/>
        <v/>
      </c>
    </row>
    <row r="1124" ht="15.75" customHeight="1">
      <c r="A1124" s="32" t="s">
        <v>113</v>
      </c>
      <c r="B1124" s="32" t="str">
        <f>IF(MOV_CC_NACIONAL!A1124="","",MOV_CC_NACIONAL!A1124)</f>
        <v/>
      </c>
      <c r="C1124" s="32" t="str">
        <f>IF(MOV_CC_NACIONAL!B1124="","",MOV_CC_NACIONAL!B1124)</f>
        <v/>
      </c>
      <c r="D1124" s="33" t="str">
        <f>IF(MOV_CC_NACIONAL!C1124="","",MOV_CC_NACIONAL!C1124)</f>
        <v/>
      </c>
      <c r="E1124" s="32" t="str">
        <f t="shared" si="1"/>
        <v/>
      </c>
      <c r="F1124" s="32" t="str">
        <f>IFERROR(__xludf.DUMMYFUNCTION("IF(C1124="""","""", OR(REGEXMATCH(LOWER(C1124),""cuota""), REGEXMATCH(C1124,""\d+\s*/\s*\d+"")))"),"")</f>
        <v/>
      </c>
      <c r="G1124" s="32" t="str">
        <f>IFERROR(__xludf.DUMMYFUNCTION("IFERROR(VALUE(REGEXEXTRACT(C1124,""(\d+)\s*/\s*\d+"")),"""")"),"")</f>
        <v/>
      </c>
      <c r="H1124" s="32" t="str">
        <f>IFERROR(__xludf.DUMMYFUNCTION("IFERROR(VALUE(REGEXEXTRACT(C1124,""\d+\s*/\s*(\d+)"")),"""")"),"")</f>
        <v/>
      </c>
      <c r="I1124" s="32" t="str">
        <f t="shared" si="2"/>
        <v/>
      </c>
      <c r="J1124" s="33" t="str">
        <f t="shared" si="3"/>
        <v/>
      </c>
    </row>
    <row r="1125" ht="15.75" customHeight="1">
      <c r="A1125" s="22" t="s">
        <v>113</v>
      </c>
      <c r="B1125" s="22" t="str">
        <f>IF(MOV_CC_NACIONAL!A1125="","",MOV_CC_NACIONAL!A1125)</f>
        <v/>
      </c>
      <c r="C1125" s="22" t="str">
        <f>IF(MOV_CC_NACIONAL!B1125="","",MOV_CC_NACIONAL!B1125)</f>
        <v/>
      </c>
      <c r="D1125" s="34" t="str">
        <f>IF(MOV_CC_NACIONAL!C1125="","",MOV_CC_NACIONAL!C1125)</f>
        <v/>
      </c>
      <c r="E1125" s="22" t="str">
        <f t="shared" si="1"/>
        <v/>
      </c>
      <c r="F1125" s="22" t="str">
        <f>IFERROR(__xludf.DUMMYFUNCTION("IF(C1125="""","""", OR(REGEXMATCH(LOWER(C1125),""cuota""), REGEXMATCH(C1125,""\d+\s*/\s*\d+"")))"),"")</f>
        <v/>
      </c>
      <c r="G1125" s="22" t="str">
        <f>IFERROR(__xludf.DUMMYFUNCTION("IFERROR(VALUE(REGEXEXTRACT(C1125,""(\d+)\s*/\s*\d+"")),"""")"),"")</f>
        <v/>
      </c>
      <c r="H1125" s="22" t="str">
        <f>IFERROR(__xludf.DUMMYFUNCTION("IFERROR(VALUE(REGEXEXTRACT(C1125,""\d+\s*/\s*(\d+)"")),"""")"),"")</f>
        <v/>
      </c>
      <c r="I1125" s="22" t="str">
        <f t="shared" si="2"/>
        <v/>
      </c>
      <c r="J1125" s="34" t="str">
        <f t="shared" si="3"/>
        <v/>
      </c>
    </row>
    <row r="1126" ht="15.75" customHeight="1">
      <c r="A1126" s="32" t="s">
        <v>113</v>
      </c>
      <c r="B1126" s="32" t="str">
        <f>IF(MOV_CC_NACIONAL!A1126="","",MOV_CC_NACIONAL!A1126)</f>
        <v/>
      </c>
      <c r="C1126" s="32" t="str">
        <f>IF(MOV_CC_NACIONAL!B1126="","",MOV_CC_NACIONAL!B1126)</f>
        <v/>
      </c>
      <c r="D1126" s="33" t="str">
        <f>IF(MOV_CC_NACIONAL!C1126="","",MOV_CC_NACIONAL!C1126)</f>
        <v/>
      </c>
      <c r="E1126" s="32" t="str">
        <f t="shared" si="1"/>
        <v/>
      </c>
      <c r="F1126" s="32" t="str">
        <f>IFERROR(__xludf.DUMMYFUNCTION("IF(C1126="""","""", OR(REGEXMATCH(LOWER(C1126),""cuota""), REGEXMATCH(C1126,""\d+\s*/\s*\d+"")))"),"")</f>
        <v/>
      </c>
      <c r="G1126" s="32" t="str">
        <f>IFERROR(__xludf.DUMMYFUNCTION("IFERROR(VALUE(REGEXEXTRACT(C1126,""(\d+)\s*/\s*\d+"")),"""")"),"")</f>
        <v/>
      </c>
      <c r="H1126" s="32" t="str">
        <f>IFERROR(__xludf.DUMMYFUNCTION("IFERROR(VALUE(REGEXEXTRACT(C1126,""\d+\s*/\s*(\d+)"")),"""")"),"")</f>
        <v/>
      </c>
      <c r="I1126" s="32" t="str">
        <f t="shared" si="2"/>
        <v/>
      </c>
      <c r="J1126" s="33" t="str">
        <f t="shared" si="3"/>
        <v/>
      </c>
    </row>
    <row r="1127" ht="15.75" customHeight="1">
      <c r="A1127" s="22" t="s">
        <v>113</v>
      </c>
      <c r="B1127" s="22" t="str">
        <f>IF(MOV_CC_NACIONAL!A1127="","",MOV_CC_NACIONAL!A1127)</f>
        <v/>
      </c>
      <c r="C1127" s="22" t="str">
        <f>IF(MOV_CC_NACIONAL!B1127="","",MOV_CC_NACIONAL!B1127)</f>
        <v/>
      </c>
      <c r="D1127" s="34" t="str">
        <f>IF(MOV_CC_NACIONAL!C1127="","",MOV_CC_NACIONAL!C1127)</f>
        <v/>
      </c>
      <c r="E1127" s="22" t="str">
        <f t="shared" si="1"/>
        <v/>
      </c>
      <c r="F1127" s="22" t="str">
        <f>IFERROR(__xludf.DUMMYFUNCTION("IF(C1127="""","""", OR(REGEXMATCH(LOWER(C1127),""cuota""), REGEXMATCH(C1127,""\d+\s*/\s*\d+"")))"),"")</f>
        <v/>
      </c>
      <c r="G1127" s="22" t="str">
        <f>IFERROR(__xludf.DUMMYFUNCTION("IFERROR(VALUE(REGEXEXTRACT(C1127,""(\d+)\s*/\s*\d+"")),"""")"),"")</f>
        <v/>
      </c>
      <c r="H1127" s="22" t="str">
        <f>IFERROR(__xludf.DUMMYFUNCTION("IFERROR(VALUE(REGEXEXTRACT(C1127,""\d+\s*/\s*(\d+)"")),"""")"),"")</f>
        <v/>
      </c>
      <c r="I1127" s="22" t="str">
        <f t="shared" si="2"/>
        <v/>
      </c>
      <c r="J1127" s="34" t="str">
        <f t="shared" si="3"/>
        <v/>
      </c>
    </row>
    <row r="1128" ht="15.75" customHeight="1">
      <c r="A1128" s="32" t="s">
        <v>113</v>
      </c>
      <c r="B1128" s="32" t="str">
        <f>IF(MOV_CC_NACIONAL!A1128="","",MOV_CC_NACIONAL!A1128)</f>
        <v/>
      </c>
      <c r="C1128" s="32" t="str">
        <f>IF(MOV_CC_NACIONAL!B1128="","",MOV_CC_NACIONAL!B1128)</f>
        <v/>
      </c>
      <c r="D1128" s="33" t="str">
        <f>IF(MOV_CC_NACIONAL!C1128="","",MOV_CC_NACIONAL!C1128)</f>
        <v/>
      </c>
      <c r="E1128" s="32" t="str">
        <f t="shared" si="1"/>
        <v/>
      </c>
      <c r="F1128" s="32" t="str">
        <f>IFERROR(__xludf.DUMMYFUNCTION("IF(C1128="""","""", OR(REGEXMATCH(LOWER(C1128),""cuota""), REGEXMATCH(C1128,""\d+\s*/\s*\d+"")))"),"")</f>
        <v/>
      </c>
      <c r="G1128" s="32" t="str">
        <f>IFERROR(__xludf.DUMMYFUNCTION("IFERROR(VALUE(REGEXEXTRACT(C1128,""(\d+)\s*/\s*\d+"")),"""")"),"")</f>
        <v/>
      </c>
      <c r="H1128" s="32" t="str">
        <f>IFERROR(__xludf.DUMMYFUNCTION("IFERROR(VALUE(REGEXEXTRACT(C1128,""\d+\s*/\s*(\d+)"")),"""")"),"")</f>
        <v/>
      </c>
      <c r="I1128" s="32" t="str">
        <f t="shared" si="2"/>
        <v/>
      </c>
      <c r="J1128" s="33" t="str">
        <f t="shared" si="3"/>
        <v/>
      </c>
    </row>
    <row r="1129" ht="15.75" customHeight="1">
      <c r="A1129" s="22" t="s">
        <v>113</v>
      </c>
      <c r="B1129" s="22" t="str">
        <f>IF(MOV_CC_NACIONAL!A1129="","",MOV_CC_NACIONAL!A1129)</f>
        <v/>
      </c>
      <c r="C1129" s="22" t="str">
        <f>IF(MOV_CC_NACIONAL!B1129="","",MOV_CC_NACIONAL!B1129)</f>
        <v/>
      </c>
      <c r="D1129" s="34" t="str">
        <f>IF(MOV_CC_NACIONAL!C1129="","",MOV_CC_NACIONAL!C1129)</f>
        <v/>
      </c>
      <c r="E1129" s="22" t="str">
        <f t="shared" si="1"/>
        <v/>
      </c>
      <c r="F1129" s="22" t="str">
        <f>IFERROR(__xludf.DUMMYFUNCTION("IF(C1129="""","""", OR(REGEXMATCH(LOWER(C1129),""cuota""), REGEXMATCH(C1129,""\d+\s*/\s*\d+"")))"),"")</f>
        <v/>
      </c>
      <c r="G1129" s="22" t="str">
        <f>IFERROR(__xludf.DUMMYFUNCTION("IFERROR(VALUE(REGEXEXTRACT(C1129,""(\d+)\s*/\s*\d+"")),"""")"),"")</f>
        <v/>
      </c>
      <c r="H1129" s="22" t="str">
        <f>IFERROR(__xludf.DUMMYFUNCTION("IFERROR(VALUE(REGEXEXTRACT(C1129,""\d+\s*/\s*(\d+)"")),"""")"),"")</f>
        <v/>
      </c>
      <c r="I1129" s="22" t="str">
        <f t="shared" si="2"/>
        <v/>
      </c>
      <c r="J1129" s="34" t="str">
        <f t="shared" si="3"/>
        <v/>
      </c>
    </row>
    <row r="1130" ht="15.75" customHeight="1">
      <c r="A1130" s="32" t="s">
        <v>113</v>
      </c>
      <c r="B1130" s="32" t="str">
        <f>IF(MOV_CC_NACIONAL!A1130="","",MOV_CC_NACIONAL!A1130)</f>
        <v/>
      </c>
      <c r="C1130" s="32" t="str">
        <f>IF(MOV_CC_NACIONAL!B1130="","",MOV_CC_NACIONAL!B1130)</f>
        <v/>
      </c>
      <c r="D1130" s="33" t="str">
        <f>IF(MOV_CC_NACIONAL!C1130="","",MOV_CC_NACIONAL!C1130)</f>
        <v/>
      </c>
      <c r="E1130" s="32" t="str">
        <f t="shared" si="1"/>
        <v/>
      </c>
      <c r="F1130" s="32" t="str">
        <f>IFERROR(__xludf.DUMMYFUNCTION("IF(C1130="""","""", OR(REGEXMATCH(LOWER(C1130),""cuota""), REGEXMATCH(C1130,""\d+\s*/\s*\d+"")))"),"")</f>
        <v/>
      </c>
      <c r="G1130" s="32" t="str">
        <f>IFERROR(__xludf.DUMMYFUNCTION("IFERROR(VALUE(REGEXEXTRACT(C1130,""(\d+)\s*/\s*\d+"")),"""")"),"")</f>
        <v/>
      </c>
      <c r="H1130" s="32" t="str">
        <f>IFERROR(__xludf.DUMMYFUNCTION("IFERROR(VALUE(REGEXEXTRACT(C1130,""\d+\s*/\s*(\d+)"")),"""")"),"")</f>
        <v/>
      </c>
      <c r="I1130" s="32" t="str">
        <f t="shared" si="2"/>
        <v/>
      </c>
      <c r="J1130" s="33" t="str">
        <f t="shared" si="3"/>
        <v/>
      </c>
    </row>
    <row r="1131" ht="15.75" customHeight="1">
      <c r="A1131" s="22" t="s">
        <v>113</v>
      </c>
      <c r="B1131" s="22" t="str">
        <f>IF(MOV_CC_NACIONAL!A1131="","",MOV_CC_NACIONAL!A1131)</f>
        <v/>
      </c>
      <c r="C1131" s="22" t="str">
        <f>IF(MOV_CC_NACIONAL!B1131="","",MOV_CC_NACIONAL!B1131)</f>
        <v/>
      </c>
      <c r="D1131" s="34" t="str">
        <f>IF(MOV_CC_NACIONAL!C1131="","",MOV_CC_NACIONAL!C1131)</f>
        <v/>
      </c>
      <c r="E1131" s="22" t="str">
        <f t="shared" si="1"/>
        <v/>
      </c>
      <c r="F1131" s="22" t="str">
        <f>IFERROR(__xludf.DUMMYFUNCTION("IF(C1131="""","""", OR(REGEXMATCH(LOWER(C1131),""cuota""), REGEXMATCH(C1131,""\d+\s*/\s*\d+"")))"),"")</f>
        <v/>
      </c>
      <c r="G1131" s="22" t="str">
        <f>IFERROR(__xludf.DUMMYFUNCTION("IFERROR(VALUE(REGEXEXTRACT(C1131,""(\d+)\s*/\s*\d+"")),"""")"),"")</f>
        <v/>
      </c>
      <c r="H1131" s="22" t="str">
        <f>IFERROR(__xludf.DUMMYFUNCTION("IFERROR(VALUE(REGEXEXTRACT(C1131,""\d+\s*/\s*(\d+)"")),"""")"),"")</f>
        <v/>
      </c>
      <c r="I1131" s="22" t="str">
        <f t="shared" si="2"/>
        <v/>
      </c>
      <c r="J1131" s="34" t="str">
        <f t="shared" si="3"/>
        <v/>
      </c>
    </row>
    <row r="1132" ht="15.75" customHeight="1">
      <c r="A1132" s="32" t="s">
        <v>113</v>
      </c>
      <c r="B1132" s="32" t="str">
        <f>IF(MOV_CC_NACIONAL!A1132="","",MOV_CC_NACIONAL!A1132)</f>
        <v/>
      </c>
      <c r="C1132" s="32" t="str">
        <f>IF(MOV_CC_NACIONAL!B1132="","",MOV_CC_NACIONAL!B1132)</f>
        <v/>
      </c>
      <c r="D1132" s="33" t="str">
        <f>IF(MOV_CC_NACIONAL!C1132="","",MOV_CC_NACIONAL!C1132)</f>
        <v/>
      </c>
      <c r="E1132" s="32" t="str">
        <f t="shared" si="1"/>
        <v/>
      </c>
      <c r="F1132" s="32" t="str">
        <f>IFERROR(__xludf.DUMMYFUNCTION("IF(C1132="""","""", OR(REGEXMATCH(LOWER(C1132),""cuota""), REGEXMATCH(C1132,""\d+\s*/\s*\d+"")))"),"")</f>
        <v/>
      </c>
      <c r="G1132" s="32" t="str">
        <f>IFERROR(__xludf.DUMMYFUNCTION("IFERROR(VALUE(REGEXEXTRACT(C1132,""(\d+)\s*/\s*\d+"")),"""")"),"")</f>
        <v/>
      </c>
      <c r="H1132" s="32" t="str">
        <f>IFERROR(__xludf.DUMMYFUNCTION("IFERROR(VALUE(REGEXEXTRACT(C1132,""\d+\s*/\s*(\d+)"")),"""")"),"")</f>
        <v/>
      </c>
      <c r="I1132" s="32" t="str">
        <f t="shared" si="2"/>
        <v/>
      </c>
      <c r="J1132" s="33" t="str">
        <f t="shared" si="3"/>
        <v/>
      </c>
    </row>
    <row r="1133" ht="15.75" customHeight="1">
      <c r="A1133" s="22" t="s">
        <v>113</v>
      </c>
      <c r="B1133" s="22" t="str">
        <f>IF(MOV_CC_NACIONAL!A1133="","",MOV_CC_NACIONAL!A1133)</f>
        <v/>
      </c>
      <c r="C1133" s="22" t="str">
        <f>IF(MOV_CC_NACIONAL!B1133="","",MOV_CC_NACIONAL!B1133)</f>
        <v/>
      </c>
      <c r="D1133" s="34" t="str">
        <f>IF(MOV_CC_NACIONAL!C1133="","",MOV_CC_NACIONAL!C1133)</f>
        <v/>
      </c>
      <c r="E1133" s="22" t="str">
        <f t="shared" si="1"/>
        <v/>
      </c>
      <c r="F1133" s="22" t="str">
        <f>IFERROR(__xludf.DUMMYFUNCTION("IF(C1133="""","""", OR(REGEXMATCH(LOWER(C1133),""cuota""), REGEXMATCH(C1133,""\d+\s*/\s*\d+"")))"),"")</f>
        <v/>
      </c>
      <c r="G1133" s="22" t="str">
        <f>IFERROR(__xludf.DUMMYFUNCTION("IFERROR(VALUE(REGEXEXTRACT(C1133,""(\d+)\s*/\s*\d+"")),"""")"),"")</f>
        <v/>
      </c>
      <c r="H1133" s="22" t="str">
        <f>IFERROR(__xludf.DUMMYFUNCTION("IFERROR(VALUE(REGEXEXTRACT(C1133,""\d+\s*/\s*(\d+)"")),"""")"),"")</f>
        <v/>
      </c>
      <c r="I1133" s="22" t="str">
        <f t="shared" si="2"/>
        <v/>
      </c>
      <c r="J1133" s="34" t="str">
        <f t="shared" si="3"/>
        <v/>
      </c>
    </row>
    <row r="1134" ht="15.75" customHeight="1">
      <c r="A1134" s="32" t="s">
        <v>113</v>
      </c>
      <c r="B1134" s="32" t="str">
        <f>IF(MOV_CC_NACIONAL!A1134="","",MOV_CC_NACIONAL!A1134)</f>
        <v/>
      </c>
      <c r="C1134" s="32" t="str">
        <f>IF(MOV_CC_NACIONAL!B1134="","",MOV_CC_NACIONAL!B1134)</f>
        <v/>
      </c>
      <c r="D1134" s="33" t="str">
        <f>IF(MOV_CC_NACIONAL!C1134="","",MOV_CC_NACIONAL!C1134)</f>
        <v/>
      </c>
      <c r="E1134" s="32" t="str">
        <f t="shared" si="1"/>
        <v/>
      </c>
      <c r="F1134" s="32" t="str">
        <f>IFERROR(__xludf.DUMMYFUNCTION("IF(C1134="""","""", OR(REGEXMATCH(LOWER(C1134),""cuota""), REGEXMATCH(C1134,""\d+\s*/\s*\d+"")))"),"")</f>
        <v/>
      </c>
      <c r="G1134" s="32" t="str">
        <f>IFERROR(__xludf.DUMMYFUNCTION("IFERROR(VALUE(REGEXEXTRACT(C1134,""(\d+)\s*/\s*\d+"")),"""")"),"")</f>
        <v/>
      </c>
      <c r="H1134" s="32" t="str">
        <f>IFERROR(__xludf.DUMMYFUNCTION("IFERROR(VALUE(REGEXEXTRACT(C1134,""\d+\s*/\s*(\d+)"")),"""")"),"")</f>
        <v/>
      </c>
      <c r="I1134" s="32" t="str">
        <f t="shared" si="2"/>
        <v/>
      </c>
      <c r="J1134" s="33" t="str">
        <f t="shared" si="3"/>
        <v/>
      </c>
    </row>
    <row r="1135" ht="15.75" customHeight="1">
      <c r="A1135" s="22" t="s">
        <v>113</v>
      </c>
      <c r="B1135" s="22" t="str">
        <f>IF(MOV_CC_NACIONAL!A1135="","",MOV_CC_NACIONAL!A1135)</f>
        <v/>
      </c>
      <c r="C1135" s="22" t="str">
        <f>IF(MOV_CC_NACIONAL!B1135="","",MOV_CC_NACIONAL!B1135)</f>
        <v/>
      </c>
      <c r="D1135" s="34" t="str">
        <f>IF(MOV_CC_NACIONAL!C1135="","",MOV_CC_NACIONAL!C1135)</f>
        <v/>
      </c>
      <c r="E1135" s="22" t="str">
        <f t="shared" si="1"/>
        <v/>
      </c>
      <c r="F1135" s="22" t="str">
        <f>IFERROR(__xludf.DUMMYFUNCTION("IF(C1135="""","""", OR(REGEXMATCH(LOWER(C1135),""cuota""), REGEXMATCH(C1135,""\d+\s*/\s*\d+"")))"),"")</f>
        <v/>
      </c>
      <c r="G1135" s="22" t="str">
        <f>IFERROR(__xludf.DUMMYFUNCTION("IFERROR(VALUE(REGEXEXTRACT(C1135,""(\d+)\s*/\s*\d+"")),"""")"),"")</f>
        <v/>
      </c>
      <c r="H1135" s="22" t="str">
        <f>IFERROR(__xludf.DUMMYFUNCTION("IFERROR(VALUE(REGEXEXTRACT(C1135,""\d+\s*/\s*(\d+)"")),"""")"),"")</f>
        <v/>
      </c>
      <c r="I1135" s="22" t="str">
        <f t="shared" si="2"/>
        <v/>
      </c>
      <c r="J1135" s="34" t="str">
        <f t="shared" si="3"/>
        <v/>
      </c>
    </row>
    <row r="1136" ht="15.75" customHeight="1">
      <c r="A1136" s="32" t="s">
        <v>113</v>
      </c>
      <c r="B1136" s="32" t="str">
        <f>IF(MOV_CC_NACIONAL!A1136="","",MOV_CC_NACIONAL!A1136)</f>
        <v/>
      </c>
      <c r="C1136" s="32" t="str">
        <f>IF(MOV_CC_NACIONAL!B1136="","",MOV_CC_NACIONAL!B1136)</f>
        <v/>
      </c>
      <c r="D1136" s="33" t="str">
        <f>IF(MOV_CC_NACIONAL!C1136="","",MOV_CC_NACIONAL!C1136)</f>
        <v/>
      </c>
      <c r="E1136" s="32" t="str">
        <f t="shared" si="1"/>
        <v/>
      </c>
      <c r="F1136" s="32" t="str">
        <f>IFERROR(__xludf.DUMMYFUNCTION("IF(C1136="""","""", OR(REGEXMATCH(LOWER(C1136),""cuota""), REGEXMATCH(C1136,""\d+\s*/\s*\d+"")))"),"")</f>
        <v/>
      </c>
      <c r="G1136" s="32" t="str">
        <f>IFERROR(__xludf.DUMMYFUNCTION("IFERROR(VALUE(REGEXEXTRACT(C1136,""(\d+)\s*/\s*\d+"")),"""")"),"")</f>
        <v/>
      </c>
      <c r="H1136" s="32" t="str">
        <f>IFERROR(__xludf.DUMMYFUNCTION("IFERROR(VALUE(REGEXEXTRACT(C1136,""\d+\s*/\s*(\d+)"")),"""")"),"")</f>
        <v/>
      </c>
      <c r="I1136" s="32" t="str">
        <f t="shared" si="2"/>
        <v/>
      </c>
      <c r="J1136" s="33" t="str">
        <f t="shared" si="3"/>
        <v/>
      </c>
    </row>
    <row r="1137" ht="15.75" customHeight="1">
      <c r="A1137" s="22" t="s">
        <v>113</v>
      </c>
      <c r="B1137" s="22" t="str">
        <f>IF(MOV_CC_NACIONAL!A1137="","",MOV_CC_NACIONAL!A1137)</f>
        <v/>
      </c>
      <c r="C1137" s="22" t="str">
        <f>IF(MOV_CC_NACIONAL!B1137="","",MOV_CC_NACIONAL!B1137)</f>
        <v/>
      </c>
      <c r="D1137" s="34" t="str">
        <f>IF(MOV_CC_NACIONAL!C1137="","",MOV_CC_NACIONAL!C1137)</f>
        <v/>
      </c>
      <c r="E1137" s="22" t="str">
        <f t="shared" si="1"/>
        <v/>
      </c>
      <c r="F1137" s="22" t="str">
        <f>IFERROR(__xludf.DUMMYFUNCTION("IF(C1137="""","""", OR(REGEXMATCH(LOWER(C1137),""cuota""), REGEXMATCH(C1137,""\d+\s*/\s*\d+"")))"),"")</f>
        <v/>
      </c>
      <c r="G1137" s="22" t="str">
        <f>IFERROR(__xludf.DUMMYFUNCTION("IFERROR(VALUE(REGEXEXTRACT(C1137,""(\d+)\s*/\s*\d+"")),"""")"),"")</f>
        <v/>
      </c>
      <c r="H1137" s="22" t="str">
        <f>IFERROR(__xludf.DUMMYFUNCTION("IFERROR(VALUE(REGEXEXTRACT(C1137,""\d+\s*/\s*(\d+)"")),"""")"),"")</f>
        <v/>
      </c>
      <c r="I1137" s="22" t="str">
        <f t="shared" si="2"/>
        <v/>
      </c>
      <c r="J1137" s="34" t="str">
        <f t="shared" si="3"/>
        <v/>
      </c>
    </row>
    <row r="1138" ht="15.75" customHeight="1">
      <c r="A1138" s="32" t="s">
        <v>113</v>
      </c>
      <c r="B1138" s="32" t="str">
        <f>IF(MOV_CC_NACIONAL!A1138="","",MOV_CC_NACIONAL!A1138)</f>
        <v/>
      </c>
      <c r="C1138" s="32" t="str">
        <f>IF(MOV_CC_NACIONAL!B1138="","",MOV_CC_NACIONAL!B1138)</f>
        <v/>
      </c>
      <c r="D1138" s="33" t="str">
        <f>IF(MOV_CC_NACIONAL!C1138="","",MOV_CC_NACIONAL!C1138)</f>
        <v/>
      </c>
      <c r="E1138" s="32" t="str">
        <f t="shared" si="1"/>
        <v/>
      </c>
      <c r="F1138" s="32" t="str">
        <f>IFERROR(__xludf.DUMMYFUNCTION("IF(C1138="""","""", OR(REGEXMATCH(LOWER(C1138),""cuota""), REGEXMATCH(C1138,""\d+\s*/\s*\d+"")))"),"")</f>
        <v/>
      </c>
      <c r="G1138" s="32" t="str">
        <f>IFERROR(__xludf.DUMMYFUNCTION("IFERROR(VALUE(REGEXEXTRACT(C1138,""(\d+)\s*/\s*\d+"")),"""")"),"")</f>
        <v/>
      </c>
      <c r="H1138" s="32" t="str">
        <f>IFERROR(__xludf.DUMMYFUNCTION("IFERROR(VALUE(REGEXEXTRACT(C1138,""\d+\s*/\s*(\d+)"")),"""")"),"")</f>
        <v/>
      </c>
      <c r="I1138" s="32" t="str">
        <f t="shared" si="2"/>
        <v/>
      </c>
      <c r="J1138" s="33" t="str">
        <f t="shared" si="3"/>
        <v/>
      </c>
    </row>
    <row r="1139" ht="15.75" customHeight="1">
      <c r="A1139" s="22" t="s">
        <v>113</v>
      </c>
      <c r="B1139" s="22" t="str">
        <f>IF(MOV_CC_NACIONAL!A1139="","",MOV_CC_NACIONAL!A1139)</f>
        <v/>
      </c>
      <c r="C1139" s="22" t="str">
        <f>IF(MOV_CC_NACIONAL!B1139="","",MOV_CC_NACIONAL!B1139)</f>
        <v/>
      </c>
      <c r="D1139" s="34" t="str">
        <f>IF(MOV_CC_NACIONAL!C1139="","",MOV_CC_NACIONAL!C1139)</f>
        <v/>
      </c>
      <c r="E1139" s="22" t="str">
        <f t="shared" si="1"/>
        <v/>
      </c>
      <c r="F1139" s="22" t="str">
        <f>IFERROR(__xludf.DUMMYFUNCTION("IF(C1139="""","""", OR(REGEXMATCH(LOWER(C1139),""cuota""), REGEXMATCH(C1139,""\d+\s*/\s*\d+"")))"),"")</f>
        <v/>
      </c>
      <c r="G1139" s="22" t="str">
        <f>IFERROR(__xludf.DUMMYFUNCTION("IFERROR(VALUE(REGEXEXTRACT(C1139,""(\d+)\s*/\s*\d+"")),"""")"),"")</f>
        <v/>
      </c>
      <c r="H1139" s="22" t="str">
        <f>IFERROR(__xludf.DUMMYFUNCTION("IFERROR(VALUE(REGEXEXTRACT(C1139,""\d+\s*/\s*(\d+)"")),"""")"),"")</f>
        <v/>
      </c>
      <c r="I1139" s="22" t="str">
        <f t="shared" si="2"/>
        <v/>
      </c>
      <c r="J1139" s="34" t="str">
        <f t="shared" si="3"/>
        <v/>
      </c>
    </row>
    <row r="1140" ht="15.75" customHeight="1">
      <c r="A1140" s="32" t="s">
        <v>113</v>
      </c>
      <c r="B1140" s="32" t="str">
        <f>IF(MOV_CC_NACIONAL!A1140="","",MOV_CC_NACIONAL!A1140)</f>
        <v/>
      </c>
      <c r="C1140" s="32" t="str">
        <f>IF(MOV_CC_NACIONAL!B1140="","",MOV_CC_NACIONAL!B1140)</f>
        <v/>
      </c>
      <c r="D1140" s="33" t="str">
        <f>IF(MOV_CC_NACIONAL!C1140="","",MOV_CC_NACIONAL!C1140)</f>
        <v/>
      </c>
      <c r="E1140" s="32" t="str">
        <f t="shared" si="1"/>
        <v/>
      </c>
      <c r="F1140" s="32" t="str">
        <f>IFERROR(__xludf.DUMMYFUNCTION("IF(C1140="""","""", OR(REGEXMATCH(LOWER(C1140),""cuota""), REGEXMATCH(C1140,""\d+\s*/\s*\d+"")))"),"")</f>
        <v/>
      </c>
      <c r="G1140" s="32" t="str">
        <f>IFERROR(__xludf.DUMMYFUNCTION("IFERROR(VALUE(REGEXEXTRACT(C1140,""(\d+)\s*/\s*\d+"")),"""")"),"")</f>
        <v/>
      </c>
      <c r="H1140" s="32" t="str">
        <f>IFERROR(__xludf.DUMMYFUNCTION("IFERROR(VALUE(REGEXEXTRACT(C1140,""\d+\s*/\s*(\d+)"")),"""")"),"")</f>
        <v/>
      </c>
      <c r="I1140" s="32" t="str">
        <f t="shared" si="2"/>
        <v/>
      </c>
      <c r="J1140" s="33" t="str">
        <f t="shared" si="3"/>
        <v/>
      </c>
    </row>
    <row r="1141" ht="15.75" customHeight="1">
      <c r="A1141" s="22" t="s">
        <v>113</v>
      </c>
      <c r="B1141" s="22" t="str">
        <f>IF(MOV_CC_NACIONAL!A1141="","",MOV_CC_NACIONAL!A1141)</f>
        <v/>
      </c>
      <c r="C1141" s="22" t="str">
        <f>IF(MOV_CC_NACIONAL!B1141="","",MOV_CC_NACIONAL!B1141)</f>
        <v/>
      </c>
      <c r="D1141" s="34" t="str">
        <f>IF(MOV_CC_NACIONAL!C1141="","",MOV_CC_NACIONAL!C1141)</f>
        <v/>
      </c>
      <c r="E1141" s="22" t="str">
        <f t="shared" si="1"/>
        <v/>
      </c>
      <c r="F1141" s="22" t="str">
        <f>IFERROR(__xludf.DUMMYFUNCTION("IF(C1141="""","""", OR(REGEXMATCH(LOWER(C1141),""cuota""), REGEXMATCH(C1141,""\d+\s*/\s*\d+"")))"),"")</f>
        <v/>
      </c>
      <c r="G1141" s="22" t="str">
        <f>IFERROR(__xludf.DUMMYFUNCTION("IFERROR(VALUE(REGEXEXTRACT(C1141,""(\d+)\s*/\s*\d+"")),"""")"),"")</f>
        <v/>
      </c>
      <c r="H1141" s="22" t="str">
        <f>IFERROR(__xludf.DUMMYFUNCTION("IFERROR(VALUE(REGEXEXTRACT(C1141,""\d+\s*/\s*(\d+)"")),"""")"),"")</f>
        <v/>
      </c>
      <c r="I1141" s="22" t="str">
        <f t="shared" si="2"/>
        <v/>
      </c>
      <c r="J1141" s="34" t="str">
        <f t="shared" si="3"/>
        <v/>
      </c>
    </row>
    <row r="1142" ht="15.75" customHeight="1">
      <c r="A1142" s="32" t="s">
        <v>113</v>
      </c>
      <c r="B1142" s="32" t="str">
        <f>IF(MOV_CC_NACIONAL!A1142="","",MOV_CC_NACIONAL!A1142)</f>
        <v/>
      </c>
      <c r="C1142" s="32" t="str">
        <f>IF(MOV_CC_NACIONAL!B1142="","",MOV_CC_NACIONAL!B1142)</f>
        <v/>
      </c>
      <c r="D1142" s="33" t="str">
        <f>IF(MOV_CC_NACIONAL!C1142="","",MOV_CC_NACIONAL!C1142)</f>
        <v/>
      </c>
      <c r="E1142" s="32" t="str">
        <f t="shared" si="1"/>
        <v/>
      </c>
      <c r="F1142" s="32" t="str">
        <f>IFERROR(__xludf.DUMMYFUNCTION("IF(C1142="""","""", OR(REGEXMATCH(LOWER(C1142),""cuota""), REGEXMATCH(C1142,""\d+\s*/\s*\d+"")))"),"")</f>
        <v/>
      </c>
      <c r="G1142" s="32" t="str">
        <f>IFERROR(__xludf.DUMMYFUNCTION("IFERROR(VALUE(REGEXEXTRACT(C1142,""(\d+)\s*/\s*\d+"")),"""")"),"")</f>
        <v/>
      </c>
      <c r="H1142" s="32" t="str">
        <f>IFERROR(__xludf.DUMMYFUNCTION("IFERROR(VALUE(REGEXEXTRACT(C1142,""\d+\s*/\s*(\d+)"")),"""")"),"")</f>
        <v/>
      </c>
      <c r="I1142" s="32" t="str">
        <f t="shared" si="2"/>
        <v/>
      </c>
      <c r="J1142" s="33" t="str">
        <f t="shared" si="3"/>
        <v/>
      </c>
    </row>
    <row r="1143" ht="15.75" customHeight="1">
      <c r="A1143" s="22" t="s">
        <v>113</v>
      </c>
      <c r="B1143" s="22" t="str">
        <f>IF(MOV_CC_NACIONAL!A1143="","",MOV_CC_NACIONAL!A1143)</f>
        <v/>
      </c>
      <c r="C1143" s="22" t="str">
        <f>IF(MOV_CC_NACIONAL!B1143="","",MOV_CC_NACIONAL!B1143)</f>
        <v/>
      </c>
      <c r="D1143" s="34" t="str">
        <f>IF(MOV_CC_NACIONAL!C1143="","",MOV_CC_NACIONAL!C1143)</f>
        <v/>
      </c>
      <c r="E1143" s="22" t="str">
        <f t="shared" si="1"/>
        <v/>
      </c>
      <c r="F1143" s="22" t="str">
        <f>IFERROR(__xludf.DUMMYFUNCTION("IF(C1143="""","""", OR(REGEXMATCH(LOWER(C1143),""cuota""), REGEXMATCH(C1143,""\d+\s*/\s*\d+"")))"),"")</f>
        <v/>
      </c>
      <c r="G1143" s="22" t="str">
        <f>IFERROR(__xludf.DUMMYFUNCTION("IFERROR(VALUE(REGEXEXTRACT(C1143,""(\d+)\s*/\s*\d+"")),"""")"),"")</f>
        <v/>
      </c>
      <c r="H1143" s="22" t="str">
        <f>IFERROR(__xludf.DUMMYFUNCTION("IFERROR(VALUE(REGEXEXTRACT(C1143,""\d+\s*/\s*(\d+)"")),"""")"),"")</f>
        <v/>
      </c>
      <c r="I1143" s="22" t="str">
        <f t="shared" si="2"/>
        <v/>
      </c>
      <c r="J1143" s="34" t="str">
        <f t="shared" si="3"/>
        <v/>
      </c>
    </row>
    <row r="1144" ht="15.75" customHeight="1">
      <c r="A1144" s="32" t="s">
        <v>113</v>
      </c>
      <c r="B1144" s="32" t="str">
        <f>IF(MOV_CC_NACIONAL!A1144="","",MOV_CC_NACIONAL!A1144)</f>
        <v/>
      </c>
      <c r="C1144" s="32" t="str">
        <f>IF(MOV_CC_NACIONAL!B1144="","",MOV_CC_NACIONAL!B1144)</f>
        <v/>
      </c>
      <c r="D1144" s="33" t="str">
        <f>IF(MOV_CC_NACIONAL!C1144="","",MOV_CC_NACIONAL!C1144)</f>
        <v/>
      </c>
      <c r="E1144" s="32" t="str">
        <f t="shared" si="1"/>
        <v/>
      </c>
      <c r="F1144" s="32" t="str">
        <f>IFERROR(__xludf.DUMMYFUNCTION("IF(C1144="""","""", OR(REGEXMATCH(LOWER(C1144),""cuota""), REGEXMATCH(C1144,""\d+\s*/\s*\d+"")))"),"")</f>
        <v/>
      </c>
      <c r="G1144" s="32" t="str">
        <f>IFERROR(__xludf.DUMMYFUNCTION("IFERROR(VALUE(REGEXEXTRACT(C1144,""(\d+)\s*/\s*\d+"")),"""")"),"")</f>
        <v/>
      </c>
      <c r="H1144" s="32" t="str">
        <f>IFERROR(__xludf.DUMMYFUNCTION("IFERROR(VALUE(REGEXEXTRACT(C1144,""\d+\s*/\s*(\d+)"")),"""")"),"")</f>
        <v/>
      </c>
      <c r="I1144" s="32" t="str">
        <f t="shared" si="2"/>
        <v/>
      </c>
      <c r="J1144" s="33" t="str">
        <f t="shared" si="3"/>
        <v/>
      </c>
    </row>
    <row r="1145" ht="15.75" customHeight="1">
      <c r="A1145" s="22" t="s">
        <v>113</v>
      </c>
      <c r="B1145" s="22" t="str">
        <f>IF(MOV_CC_NACIONAL!A1145="","",MOV_CC_NACIONAL!A1145)</f>
        <v/>
      </c>
      <c r="C1145" s="22" t="str">
        <f>IF(MOV_CC_NACIONAL!B1145="","",MOV_CC_NACIONAL!B1145)</f>
        <v/>
      </c>
      <c r="D1145" s="34" t="str">
        <f>IF(MOV_CC_NACIONAL!C1145="","",MOV_CC_NACIONAL!C1145)</f>
        <v/>
      </c>
      <c r="E1145" s="22" t="str">
        <f t="shared" si="1"/>
        <v/>
      </c>
      <c r="F1145" s="22" t="str">
        <f>IFERROR(__xludf.DUMMYFUNCTION("IF(C1145="""","""", OR(REGEXMATCH(LOWER(C1145),""cuota""), REGEXMATCH(C1145,""\d+\s*/\s*\d+"")))"),"")</f>
        <v/>
      </c>
      <c r="G1145" s="22" t="str">
        <f>IFERROR(__xludf.DUMMYFUNCTION("IFERROR(VALUE(REGEXEXTRACT(C1145,""(\d+)\s*/\s*\d+"")),"""")"),"")</f>
        <v/>
      </c>
      <c r="H1145" s="22" t="str">
        <f>IFERROR(__xludf.DUMMYFUNCTION("IFERROR(VALUE(REGEXEXTRACT(C1145,""\d+\s*/\s*(\d+)"")),"""")"),"")</f>
        <v/>
      </c>
      <c r="I1145" s="22" t="str">
        <f t="shared" si="2"/>
        <v/>
      </c>
      <c r="J1145" s="34" t="str">
        <f t="shared" si="3"/>
        <v/>
      </c>
    </row>
    <row r="1146" ht="15.75" customHeight="1">
      <c r="A1146" s="32" t="s">
        <v>113</v>
      </c>
      <c r="B1146" s="32" t="str">
        <f>IF(MOV_CC_NACIONAL!A1146="","",MOV_CC_NACIONAL!A1146)</f>
        <v/>
      </c>
      <c r="C1146" s="32" t="str">
        <f>IF(MOV_CC_NACIONAL!B1146="","",MOV_CC_NACIONAL!B1146)</f>
        <v/>
      </c>
      <c r="D1146" s="33" t="str">
        <f>IF(MOV_CC_NACIONAL!C1146="","",MOV_CC_NACIONAL!C1146)</f>
        <v/>
      </c>
      <c r="E1146" s="32" t="str">
        <f t="shared" si="1"/>
        <v/>
      </c>
      <c r="F1146" s="32" t="str">
        <f>IFERROR(__xludf.DUMMYFUNCTION("IF(C1146="""","""", OR(REGEXMATCH(LOWER(C1146),""cuota""), REGEXMATCH(C1146,""\d+\s*/\s*\d+"")))"),"")</f>
        <v/>
      </c>
      <c r="G1146" s="32" t="str">
        <f>IFERROR(__xludf.DUMMYFUNCTION("IFERROR(VALUE(REGEXEXTRACT(C1146,""(\d+)\s*/\s*\d+"")),"""")"),"")</f>
        <v/>
      </c>
      <c r="H1146" s="32" t="str">
        <f>IFERROR(__xludf.DUMMYFUNCTION("IFERROR(VALUE(REGEXEXTRACT(C1146,""\d+\s*/\s*(\d+)"")),"""")"),"")</f>
        <v/>
      </c>
      <c r="I1146" s="32" t="str">
        <f t="shared" si="2"/>
        <v/>
      </c>
      <c r="J1146" s="33" t="str">
        <f t="shared" si="3"/>
        <v/>
      </c>
    </row>
    <row r="1147" ht="15.75" customHeight="1">
      <c r="A1147" s="22" t="s">
        <v>113</v>
      </c>
      <c r="B1147" s="22" t="str">
        <f>IF(MOV_CC_NACIONAL!A1147="","",MOV_CC_NACIONAL!A1147)</f>
        <v/>
      </c>
      <c r="C1147" s="22" t="str">
        <f>IF(MOV_CC_NACIONAL!B1147="","",MOV_CC_NACIONAL!B1147)</f>
        <v/>
      </c>
      <c r="D1147" s="34" t="str">
        <f>IF(MOV_CC_NACIONAL!C1147="","",MOV_CC_NACIONAL!C1147)</f>
        <v/>
      </c>
      <c r="E1147" s="22" t="str">
        <f t="shared" si="1"/>
        <v/>
      </c>
      <c r="F1147" s="22" t="str">
        <f>IFERROR(__xludf.DUMMYFUNCTION("IF(C1147="""","""", OR(REGEXMATCH(LOWER(C1147),""cuota""), REGEXMATCH(C1147,""\d+\s*/\s*\d+"")))"),"")</f>
        <v/>
      </c>
      <c r="G1147" s="22" t="str">
        <f>IFERROR(__xludf.DUMMYFUNCTION("IFERROR(VALUE(REGEXEXTRACT(C1147,""(\d+)\s*/\s*\d+"")),"""")"),"")</f>
        <v/>
      </c>
      <c r="H1147" s="22" t="str">
        <f>IFERROR(__xludf.DUMMYFUNCTION("IFERROR(VALUE(REGEXEXTRACT(C1147,""\d+\s*/\s*(\d+)"")),"""")"),"")</f>
        <v/>
      </c>
      <c r="I1147" s="22" t="str">
        <f t="shared" si="2"/>
        <v/>
      </c>
      <c r="J1147" s="34" t="str">
        <f t="shared" si="3"/>
        <v/>
      </c>
    </row>
    <row r="1148" ht="15.75" customHeight="1">
      <c r="A1148" s="32" t="s">
        <v>113</v>
      </c>
      <c r="B1148" s="32" t="str">
        <f>IF(MOV_CC_NACIONAL!A1148="","",MOV_CC_NACIONAL!A1148)</f>
        <v/>
      </c>
      <c r="C1148" s="32" t="str">
        <f>IF(MOV_CC_NACIONAL!B1148="","",MOV_CC_NACIONAL!B1148)</f>
        <v/>
      </c>
      <c r="D1148" s="33" t="str">
        <f>IF(MOV_CC_NACIONAL!C1148="","",MOV_CC_NACIONAL!C1148)</f>
        <v/>
      </c>
      <c r="E1148" s="32" t="str">
        <f t="shared" si="1"/>
        <v/>
      </c>
      <c r="F1148" s="32" t="str">
        <f>IFERROR(__xludf.DUMMYFUNCTION("IF(C1148="""","""", OR(REGEXMATCH(LOWER(C1148),""cuota""), REGEXMATCH(C1148,""\d+\s*/\s*\d+"")))"),"")</f>
        <v/>
      </c>
      <c r="G1148" s="32" t="str">
        <f>IFERROR(__xludf.DUMMYFUNCTION("IFERROR(VALUE(REGEXEXTRACT(C1148,""(\d+)\s*/\s*\d+"")),"""")"),"")</f>
        <v/>
      </c>
      <c r="H1148" s="32" t="str">
        <f>IFERROR(__xludf.DUMMYFUNCTION("IFERROR(VALUE(REGEXEXTRACT(C1148,""\d+\s*/\s*(\d+)"")),"""")"),"")</f>
        <v/>
      </c>
      <c r="I1148" s="32" t="str">
        <f t="shared" si="2"/>
        <v/>
      </c>
      <c r="J1148" s="33" t="str">
        <f t="shared" si="3"/>
        <v/>
      </c>
    </row>
    <row r="1149" ht="15.75" customHeight="1">
      <c r="A1149" s="22" t="s">
        <v>113</v>
      </c>
      <c r="B1149" s="22" t="str">
        <f>IF(MOV_CC_NACIONAL!A1149="","",MOV_CC_NACIONAL!A1149)</f>
        <v/>
      </c>
      <c r="C1149" s="22" t="str">
        <f>IF(MOV_CC_NACIONAL!B1149="","",MOV_CC_NACIONAL!B1149)</f>
        <v/>
      </c>
      <c r="D1149" s="34" t="str">
        <f>IF(MOV_CC_NACIONAL!C1149="","",MOV_CC_NACIONAL!C1149)</f>
        <v/>
      </c>
      <c r="E1149" s="22" t="str">
        <f t="shared" si="1"/>
        <v/>
      </c>
      <c r="F1149" s="22" t="str">
        <f>IFERROR(__xludf.DUMMYFUNCTION("IF(C1149="""","""", OR(REGEXMATCH(LOWER(C1149),""cuota""), REGEXMATCH(C1149,""\d+\s*/\s*\d+"")))"),"")</f>
        <v/>
      </c>
      <c r="G1149" s="22" t="str">
        <f>IFERROR(__xludf.DUMMYFUNCTION("IFERROR(VALUE(REGEXEXTRACT(C1149,""(\d+)\s*/\s*\d+"")),"""")"),"")</f>
        <v/>
      </c>
      <c r="H1149" s="22" t="str">
        <f>IFERROR(__xludf.DUMMYFUNCTION("IFERROR(VALUE(REGEXEXTRACT(C1149,""\d+\s*/\s*(\d+)"")),"""")"),"")</f>
        <v/>
      </c>
      <c r="I1149" s="22" t="str">
        <f t="shared" si="2"/>
        <v/>
      </c>
      <c r="J1149" s="34" t="str">
        <f t="shared" si="3"/>
        <v/>
      </c>
    </row>
    <row r="1150" ht="15.75" customHeight="1">
      <c r="A1150" s="32" t="s">
        <v>113</v>
      </c>
      <c r="B1150" s="32" t="str">
        <f>IF(MOV_CC_NACIONAL!A1150="","",MOV_CC_NACIONAL!A1150)</f>
        <v/>
      </c>
      <c r="C1150" s="32" t="str">
        <f>IF(MOV_CC_NACIONAL!B1150="","",MOV_CC_NACIONAL!B1150)</f>
        <v/>
      </c>
      <c r="D1150" s="33" t="str">
        <f>IF(MOV_CC_NACIONAL!C1150="","",MOV_CC_NACIONAL!C1150)</f>
        <v/>
      </c>
      <c r="E1150" s="32" t="str">
        <f t="shared" si="1"/>
        <v/>
      </c>
      <c r="F1150" s="32" t="str">
        <f>IFERROR(__xludf.DUMMYFUNCTION("IF(C1150="""","""", OR(REGEXMATCH(LOWER(C1150),""cuota""), REGEXMATCH(C1150,""\d+\s*/\s*\d+"")))"),"")</f>
        <v/>
      </c>
      <c r="G1150" s="32" t="str">
        <f>IFERROR(__xludf.DUMMYFUNCTION("IFERROR(VALUE(REGEXEXTRACT(C1150,""(\d+)\s*/\s*\d+"")),"""")"),"")</f>
        <v/>
      </c>
      <c r="H1150" s="32" t="str">
        <f>IFERROR(__xludf.DUMMYFUNCTION("IFERROR(VALUE(REGEXEXTRACT(C1150,""\d+\s*/\s*(\d+)"")),"""")"),"")</f>
        <v/>
      </c>
      <c r="I1150" s="32" t="str">
        <f t="shared" si="2"/>
        <v/>
      </c>
      <c r="J1150" s="33" t="str">
        <f t="shared" si="3"/>
        <v/>
      </c>
    </row>
    <row r="1151" ht="15.75" customHeight="1">
      <c r="A1151" s="22" t="s">
        <v>113</v>
      </c>
      <c r="B1151" s="22" t="str">
        <f>IF(MOV_CC_NACIONAL!A1151="","",MOV_CC_NACIONAL!A1151)</f>
        <v/>
      </c>
      <c r="C1151" s="22" t="str">
        <f>IF(MOV_CC_NACIONAL!B1151="","",MOV_CC_NACIONAL!B1151)</f>
        <v/>
      </c>
      <c r="D1151" s="34" t="str">
        <f>IF(MOV_CC_NACIONAL!C1151="","",MOV_CC_NACIONAL!C1151)</f>
        <v/>
      </c>
      <c r="E1151" s="22" t="str">
        <f t="shared" si="1"/>
        <v/>
      </c>
      <c r="F1151" s="22" t="str">
        <f>IFERROR(__xludf.DUMMYFUNCTION("IF(C1151="""","""", OR(REGEXMATCH(LOWER(C1151),""cuota""), REGEXMATCH(C1151,""\d+\s*/\s*\d+"")))"),"")</f>
        <v/>
      </c>
      <c r="G1151" s="22" t="str">
        <f>IFERROR(__xludf.DUMMYFUNCTION("IFERROR(VALUE(REGEXEXTRACT(C1151,""(\d+)\s*/\s*\d+"")),"""")"),"")</f>
        <v/>
      </c>
      <c r="H1151" s="22" t="str">
        <f>IFERROR(__xludf.DUMMYFUNCTION("IFERROR(VALUE(REGEXEXTRACT(C1151,""\d+\s*/\s*(\d+)"")),"""")"),"")</f>
        <v/>
      </c>
      <c r="I1151" s="22" t="str">
        <f t="shared" si="2"/>
        <v/>
      </c>
      <c r="J1151" s="34" t="str">
        <f t="shared" si="3"/>
        <v/>
      </c>
    </row>
    <row r="1152" ht="15.75" customHeight="1">
      <c r="A1152" s="32" t="s">
        <v>113</v>
      </c>
      <c r="B1152" s="32" t="str">
        <f>IF(MOV_CC_NACIONAL!A1152="","",MOV_CC_NACIONAL!A1152)</f>
        <v/>
      </c>
      <c r="C1152" s="32" t="str">
        <f>IF(MOV_CC_NACIONAL!B1152="","",MOV_CC_NACIONAL!B1152)</f>
        <v/>
      </c>
      <c r="D1152" s="33" t="str">
        <f>IF(MOV_CC_NACIONAL!C1152="","",MOV_CC_NACIONAL!C1152)</f>
        <v/>
      </c>
      <c r="E1152" s="32" t="str">
        <f t="shared" si="1"/>
        <v/>
      </c>
      <c r="F1152" s="32" t="str">
        <f>IFERROR(__xludf.DUMMYFUNCTION("IF(C1152="""","""", OR(REGEXMATCH(LOWER(C1152),""cuota""), REGEXMATCH(C1152,""\d+\s*/\s*\d+"")))"),"")</f>
        <v/>
      </c>
      <c r="G1152" s="32" t="str">
        <f>IFERROR(__xludf.DUMMYFUNCTION("IFERROR(VALUE(REGEXEXTRACT(C1152,""(\d+)\s*/\s*\d+"")),"""")"),"")</f>
        <v/>
      </c>
      <c r="H1152" s="32" t="str">
        <f>IFERROR(__xludf.DUMMYFUNCTION("IFERROR(VALUE(REGEXEXTRACT(C1152,""\d+\s*/\s*(\d+)"")),"""")"),"")</f>
        <v/>
      </c>
      <c r="I1152" s="32" t="str">
        <f t="shared" si="2"/>
        <v/>
      </c>
      <c r="J1152" s="33" t="str">
        <f t="shared" si="3"/>
        <v/>
      </c>
    </row>
    <row r="1153" ht="15.75" customHeight="1">
      <c r="A1153" s="22" t="s">
        <v>113</v>
      </c>
      <c r="B1153" s="22" t="str">
        <f>IF(MOV_CC_NACIONAL!A1153="","",MOV_CC_NACIONAL!A1153)</f>
        <v/>
      </c>
      <c r="C1153" s="22" t="str">
        <f>IF(MOV_CC_NACIONAL!B1153="","",MOV_CC_NACIONAL!B1153)</f>
        <v/>
      </c>
      <c r="D1153" s="34" t="str">
        <f>IF(MOV_CC_NACIONAL!C1153="","",MOV_CC_NACIONAL!C1153)</f>
        <v/>
      </c>
      <c r="E1153" s="22" t="str">
        <f t="shared" si="1"/>
        <v/>
      </c>
      <c r="F1153" s="22" t="str">
        <f>IFERROR(__xludf.DUMMYFUNCTION("IF(C1153="""","""", OR(REGEXMATCH(LOWER(C1153),""cuota""), REGEXMATCH(C1153,""\d+\s*/\s*\d+"")))"),"")</f>
        <v/>
      </c>
      <c r="G1153" s="22" t="str">
        <f>IFERROR(__xludf.DUMMYFUNCTION("IFERROR(VALUE(REGEXEXTRACT(C1153,""(\d+)\s*/\s*\d+"")),"""")"),"")</f>
        <v/>
      </c>
      <c r="H1153" s="22" t="str">
        <f>IFERROR(__xludf.DUMMYFUNCTION("IFERROR(VALUE(REGEXEXTRACT(C1153,""\d+\s*/\s*(\d+)"")),"""")"),"")</f>
        <v/>
      </c>
      <c r="I1153" s="22" t="str">
        <f t="shared" si="2"/>
        <v/>
      </c>
      <c r="J1153" s="34" t="str">
        <f t="shared" si="3"/>
        <v/>
      </c>
    </row>
    <row r="1154" ht="15.75" customHeight="1">
      <c r="A1154" s="32" t="s">
        <v>113</v>
      </c>
      <c r="B1154" s="32" t="str">
        <f>IF(MOV_CC_NACIONAL!A1154="","",MOV_CC_NACIONAL!A1154)</f>
        <v/>
      </c>
      <c r="C1154" s="32" t="str">
        <f>IF(MOV_CC_NACIONAL!B1154="","",MOV_CC_NACIONAL!B1154)</f>
        <v/>
      </c>
      <c r="D1154" s="33" t="str">
        <f>IF(MOV_CC_NACIONAL!C1154="","",MOV_CC_NACIONAL!C1154)</f>
        <v/>
      </c>
      <c r="E1154" s="32" t="str">
        <f t="shared" si="1"/>
        <v/>
      </c>
      <c r="F1154" s="32" t="str">
        <f>IFERROR(__xludf.DUMMYFUNCTION("IF(C1154="""","""", OR(REGEXMATCH(LOWER(C1154),""cuota""), REGEXMATCH(C1154,""\d+\s*/\s*\d+"")))"),"")</f>
        <v/>
      </c>
      <c r="G1154" s="32" t="str">
        <f>IFERROR(__xludf.DUMMYFUNCTION("IFERROR(VALUE(REGEXEXTRACT(C1154,""(\d+)\s*/\s*\d+"")),"""")"),"")</f>
        <v/>
      </c>
      <c r="H1154" s="32" t="str">
        <f>IFERROR(__xludf.DUMMYFUNCTION("IFERROR(VALUE(REGEXEXTRACT(C1154,""\d+\s*/\s*(\d+)"")),"""")"),"")</f>
        <v/>
      </c>
      <c r="I1154" s="32" t="str">
        <f t="shared" si="2"/>
        <v/>
      </c>
      <c r="J1154" s="33" t="str">
        <f t="shared" si="3"/>
        <v/>
      </c>
    </row>
    <row r="1155" ht="15.75" customHeight="1">
      <c r="A1155" s="22" t="s">
        <v>113</v>
      </c>
      <c r="B1155" s="22" t="str">
        <f>IF(MOV_CC_NACIONAL!A1155="","",MOV_CC_NACIONAL!A1155)</f>
        <v/>
      </c>
      <c r="C1155" s="22" t="str">
        <f>IF(MOV_CC_NACIONAL!B1155="","",MOV_CC_NACIONAL!B1155)</f>
        <v/>
      </c>
      <c r="D1155" s="34" t="str">
        <f>IF(MOV_CC_NACIONAL!C1155="","",MOV_CC_NACIONAL!C1155)</f>
        <v/>
      </c>
      <c r="E1155" s="22" t="str">
        <f t="shared" si="1"/>
        <v/>
      </c>
      <c r="F1155" s="22" t="str">
        <f>IFERROR(__xludf.DUMMYFUNCTION("IF(C1155="""","""", OR(REGEXMATCH(LOWER(C1155),""cuota""), REGEXMATCH(C1155,""\d+\s*/\s*\d+"")))"),"")</f>
        <v/>
      </c>
      <c r="G1155" s="22" t="str">
        <f>IFERROR(__xludf.DUMMYFUNCTION("IFERROR(VALUE(REGEXEXTRACT(C1155,""(\d+)\s*/\s*\d+"")),"""")"),"")</f>
        <v/>
      </c>
      <c r="H1155" s="22" t="str">
        <f>IFERROR(__xludf.DUMMYFUNCTION("IFERROR(VALUE(REGEXEXTRACT(C1155,""\d+\s*/\s*(\d+)"")),"""")"),"")</f>
        <v/>
      </c>
      <c r="I1155" s="22" t="str">
        <f t="shared" si="2"/>
        <v/>
      </c>
      <c r="J1155" s="34" t="str">
        <f t="shared" si="3"/>
        <v/>
      </c>
    </row>
    <row r="1156" ht="15.75" customHeight="1">
      <c r="A1156" s="32" t="s">
        <v>113</v>
      </c>
      <c r="B1156" s="32" t="str">
        <f>IF(MOV_CC_NACIONAL!A1156="","",MOV_CC_NACIONAL!A1156)</f>
        <v/>
      </c>
      <c r="C1156" s="32" t="str">
        <f>IF(MOV_CC_NACIONAL!B1156="","",MOV_CC_NACIONAL!B1156)</f>
        <v/>
      </c>
      <c r="D1156" s="33" t="str">
        <f>IF(MOV_CC_NACIONAL!C1156="","",MOV_CC_NACIONAL!C1156)</f>
        <v/>
      </c>
      <c r="E1156" s="32" t="str">
        <f t="shared" si="1"/>
        <v/>
      </c>
      <c r="F1156" s="32" t="str">
        <f>IFERROR(__xludf.DUMMYFUNCTION("IF(C1156="""","""", OR(REGEXMATCH(LOWER(C1156),""cuota""), REGEXMATCH(C1156,""\d+\s*/\s*\d+"")))"),"")</f>
        <v/>
      </c>
      <c r="G1156" s="32" t="str">
        <f>IFERROR(__xludf.DUMMYFUNCTION("IFERROR(VALUE(REGEXEXTRACT(C1156,""(\d+)\s*/\s*\d+"")),"""")"),"")</f>
        <v/>
      </c>
      <c r="H1156" s="32" t="str">
        <f>IFERROR(__xludf.DUMMYFUNCTION("IFERROR(VALUE(REGEXEXTRACT(C1156,""\d+\s*/\s*(\d+)"")),"""")"),"")</f>
        <v/>
      </c>
      <c r="I1156" s="32" t="str">
        <f t="shared" si="2"/>
        <v/>
      </c>
      <c r="J1156" s="33" t="str">
        <f t="shared" si="3"/>
        <v/>
      </c>
    </row>
    <row r="1157" ht="15.75" customHeight="1">
      <c r="A1157" s="22" t="s">
        <v>113</v>
      </c>
      <c r="B1157" s="22" t="str">
        <f>IF(MOV_CC_NACIONAL!A1157="","",MOV_CC_NACIONAL!A1157)</f>
        <v/>
      </c>
      <c r="C1157" s="22" t="str">
        <f>IF(MOV_CC_NACIONAL!B1157="","",MOV_CC_NACIONAL!B1157)</f>
        <v/>
      </c>
      <c r="D1157" s="34" t="str">
        <f>IF(MOV_CC_NACIONAL!C1157="","",MOV_CC_NACIONAL!C1157)</f>
        <v/>
      </c>
      <c r="E1157" s="22" t="str">
        <f t="shared" si="1"/>
        <v/>
      </c>
      <c r="F1157" s="22" t="str">
        <f>IFERROR(__xludf.DUMMYFUNCTION("IF(C1157="""","""", OR(REGEXMATCH(LOWER(C1157),""cuota""), REGEXMATCH(C1157,""\d+\s*/\s*\d+"")))"),"")</f>
        <v/>
      </c>
      <c r="G1157" s="22" t="str">
        <f>IFERROR(__xludf.DUMMYFUNCTION("IFERROR(VALUE(REGEXEXTRACT(C1157,""(\d+)\s*/\s*\d+"")),"""")"),"")</f>
        <v/>
      </c>
      <c r="H1157" s="22" t="str">
        <f>IFERROR(__xludf.DUMMYFUNCTION("IFERROR(VALUE(REGEXEXTRACT(C1157,""\d+\s*/\s*(\d+)"")),"""")"),"")</f>
        <v/>
      </c>
      <c r="I1157" s="22" t="str">
        <f t="shared" si="2"/>
        <v/>
      </c>
      <c r="J1157" s="34" t="str">
        <f t="shared" si="3"/>
        <v/>
      </c>
    </row>
    <row r="1158" ht="15.75" customHeight="1">
      <c r="A1158" s="32" t="s">
        <v>113</v>
      </c>
      <c r="B1158" s="32" t="str">
        <f>IF(MOV_CC_NACIONAL!A1158="","",MOV_CC_NACIONAL!A1158)</f>
        <v/>
      </c>
      <c r="C1158" s="32" t="str">
        <f>IF(MOV_CC_NACIONAL!B1158="","",MOV_CC_NACIONAL!B1158)</f>
        <v/>
      </c>
      <c r="D1158" s="33" t="str">
        <f>IF(MOV_CC_NACIONAL!C1158="","",MOV_CC_NACIONAL!C1158)</f>
        <v/>
      </c>
      <c r="E1158" s="32" t="str">
        <f t="shared" si="1"/>
        <v/>
      </c>
      <c r="F1158" s="32" t="str">
        <f>IFERROR(__xludf.DUMMYFUNCTION("IF(C1158="""","""", OR(REGEXMATCH(LOWER(C1158),""cuota""), REGEXMATCH(C1158,""\d+\s*/\s*\d+"")))"),"")</f>
        <v/>
      </c>
      <c r="G1158" s="32" t="str">
        <f>IFERROR(__xludf.DUMMYFUNCTION("IFERROR(VALUE(REGEXEXTRACT(C1158,""(\d+)\s*/\s*\d+"")),"""")"),"")</f>
        <v/>
      </c>
      <c r="H1158" s="32" t="str">
        <f>IFERROR(__xludf.DUMMYFUNCTION("IFERROR(VALUE(REGEXEXTRACT(C1158,""\d+\s*/\s*(\d+)"")),"""")"),"")</f>
        <v/>
      </c>
      <c r="I1158" s="32" t="str">
        <f t="shared" si="2"/>
        <v/>
      </c>
      <c r="J1158" s="33" t="str">
        <f t="shared" si="3"/>
        <v/>
      </c>
    </row>
    <row r="1159" ht="15.75" customHeight="1">
      <c r="A1159" s="22" t="s">
        <v>113</v>
      </c>
      <c r="B1159" s="22" t="str">
        <f>IF(MOV_CC_NACIONAL!A1159="","",MOV_CC_NACIONAL!A1159)</f>
        <v/>
      </c>
      <c r="C1159" s="22" t="str">
        <f>IF(MOV_CC_NACIONAL!B1159="","",MOV_CC_NACIONAL!B1159)</f>
        <v/>
      </c>
      <c r="D1159" s="34" t="str">
        <f>IF(MOV_CC_NACIONAL!C1159="","",MOV_CC_NACIONAL!C1159)</f>
        <v/>
      </c>
      <c r="E1159" s="22" t="str">
        <f t="shared" si="1"/>
        <v/>
      </c>
      <c r="F1159" s="22" t="str">
        <f>IFERROR(__xludf.DUMMYFUNCTION("IF(C1159="""","""", OR(REGEXMATCH(LOWER(C1159),""cuota""), REGEXMATCH(C1159,""\d+\s*/\s*\d+"")))"),"")</f>
        <v/>
      </c>
      <c r="G1159" s="22" t="str">
        <f>IFERROR(__xludf.DUMMYFUNCTION("IFERROR(VALUE(REGEXEXTRACT(C1159,""(\d+)\s*/\s*\d+"")),"""")"),"")</f>
        <v/>
      </c>
      <c r="H1159" s="22" t="str">
        <f>IFERROR(__xludf.DUMMYFUNCTION("IFERROR(VALUE(REGEXEXTRACT(C1159,""\d+\s*/\s*(\d+)"")),"""")"),"")</f>
        <v/>
      </c>
      <c r="I1159" s="22" t="str">
        <f t="shared" si="2"/>
        <v/>
      </c>
      <c r="J1159" s="34" t="str">
        <f t="shared" si="3"/>
        <v/>
      </c>
    </row>
    <row r="1160" ht="15.75" customHeight="1">
      <c r="A1160" s="32" t="s">
        <v>113</v>
      </c>
      <c r="B1160" s="32" t="str">
        <f>IF(MOV_CC_NACIONAL!A1160="","",MOV_CC_NACIONAL!A1160)</f>
        <v/>
      </c>
      <c r="C1160" s="32" t="str">
        <f>IF(MOV_CC_NACIONAL!B1160="","",MOV_CC_NACIONAL!B1160)</f>
        <v/>
      </c>
      <c r="D1160" s="33" t="str">
        <f>IF(MOV_CC_NACIONAL!C1160="","",MOV_CC_NACIONAL!C1160)</f>
        <v/>
      </c>
      <c r="E1160" s="32" t="str">
        <f t="shared" si="1"/>
        <v/>
      </c>
      <c r="F1160" s="32" t="str">
        <f>IFERROR(__xludf.DUMMYFUNCTION("IF(C1160="""","""", OR(REGEXMATCH(LOWER(C1160),""cuota""), REGEXMATCH(C1160,""\d+\s*/\s*\d+"")))"),"")</f>
        <v/>
      </c>
      <c r="G1160" s="32" t="str">
        <f>IFERROR(__xludf.DUMMYFUNCTION("IFERROR(VALUE(REGEXEXTRACT(C1160,""(\d+)\s*/\s*\d+"")),"""")"),"")</f>
        <v/>
      </c>
      <c r="H1160" s="32" t="str">
        <f>IFERROR(__xludf.DUMMYFUNCTION("IFERROR(VALUE(REGEXEXTRACT(C1160,""\d+\s*/\s*(\d+)"")),"""")"),"")</f>
        <v/>
      </c>
      <c r="I1160" s="32" t="str">
        <f t="shared" si="2"/>
        <v/>
      </c>
      <c r="J1160" s="33" t="str">
        <f t="shared" si="3"/>
        <v/>
      </c>
    </row>
    <row r="1161" ht="15.75" customHeight="1">
      <c r="A1161" s="22" t="s">
        <v>113</v>
      </c>
      <c r="B1161" s="22" t="str">
        <f>IF(MOV_CC_NACIONAL!A1161="","",MOV_CC_NACIONAL!A1161)</f>
        <v/>
      </c>
      <c r="C1161" s="22" t="str">
        <f>IF(MOV_CC_NACIONAL!B1161="","",MOV_CC_NACIONAL!B1161)</f>
        <v/>
      </c>
      <c r="D1161" s="34" t="str">
        <f>IF(MOV_CC_NACIONAL!C1161="","",MOV_CC_NACIONAL!C1161)</f>
        <v/>
      </c>
      <c r="E1161" s="22" t="str">
        <f t="shared" si="1"/>
        <v/>
      </c>
      <c r="F1161" s="22" t="str">
        <f>IFERROR(__xludf.DUMMYFUNCTION("IF(C1161="""","""", OR(REGEXMATCH(LOWER(C1161),""cuota""), REGEXMATCH(C1161,""\d+\s*/\s*\d+"")))"),"")</f>
        <v/>
      </c>
      <c r="G1161" s="22" t="str">
        <f>IFERROR(__xludf.DUMMYFUNCTION("IFERROR(VALUE(REGEXEXTRACT(C1161,""(\d+)\s*/\s*\d+"")),"""")"),"")</f>
        <v/>
      </c>
      <c r="H1161" s="22" t="str">
        <f>IFERROR(__xludf.DUMMYFUNCTION("IFERROR(VALUE(REGEXEXTRACT(C1161,""\d+\s*/\s*(\d+)"")),"""")"),"")</f>
        <v/>
      </c>
      <c r="I1161" s="22" t="str">
        <f t="shared" si="2"/>
        <v/>
      </c>
      <c r="J1161" s="34" t="str">
        <f t="shared" si="3"/>
        <v/>
      </c>
    </row>
    <row r="1162" ht="15.75" customHeight="1">
      <c r="A1162" s="32" t="s">
        <v>113</v>
      </c>
      <c r="B1162" s="32" t="str">
        <f>IF(MOV_CC_NACIONAL!A1162="","",MOV_CC_NACIONAL!A1162)</f>
        <v/>
      </c>
      <c r="C1162" s="32" t="str">
        <f>IF(MOV_CC_NACIONAL!B1162="","",MOV_CC_NACIONAL!B1162)</f>
        <v/>
      </c>
      <c r="D1162" s="33" t="str">
        <f>IF(MOV_CC_NACIONAL!C1162="","",MOV_CC_NACIONAL!C1162)</f>
        <v/>
      </c>
      <c r="E1162" s="32" t="str">
        <f t="shared" si="1"/>
        <v/>
      </c>
      <c r="F1162" s="32" t="str">
        <f>IFERROR(__xludf.DUMMYFUNCTION("IF(C1162="""","""", OR(REGEXMATCH(LOWER(C1162),""cuota""), REGEXMATCH(C1162,""\d+\s*/\s*\d+"")))"),"")</f>
        <v/>
      </c>
      <c r="G1162" s="32" t="str">
        <f>IFERROR(__xludf.DUMMYFUNCTION("IFERROR(VALUE(REGEXEXTRACT(C1162,""(\d+)\s*/\s*\d+"")),"""")"),"")</f>
        <v/>
      </c>
      <c r="H1162" s="32" t="str">
        <f>IFERROR(__xludf.DUMMYFUNCTION("IFERROR(VALUE(REGEXEXTRACT(C1162,""\d+\s*/\s*(\d+)"")),"""")"),"")</f>
        <v/>
      </c>
      <c r="I1162" s="32" t="str">
        <f t="shared" si="2"/>
        <v/>
      </c>
      <c r="J1162" s="33" t="str">
        <f t="shared" si="3"/>
        <v/>
      </c>
    </row>
    <row r="1163" ht="15.75" customHeight="1">
      <c r="A1163" s="22" t="s">
        <v>113</v>
      </c>
      <c r="B1163" s="22" t="str">
        <f>IF(MOV_CC_NACIONAL!A1163="","",MOV_CC_NACIONAL!A1163)</f>
        <v/>
      </c>
      <c r="C1163" s="22" t="str">
        <f>IF(MOV_CC_NACIONAL!B1163="","",MOV_CC_NACIONAL!B1163)</f>
        <v/>
      </c>
      <c r="D1163" s="34" t="str">
        <f>IF(MOV_CC_NACIONAL!C1163="","",MOV_CC_NACIONAL!C1163)</f>
        <v/>
      </c>
      <c r="E1163" s="22" t="str">
        <f t="shared" si="1"/>
        <v/>
      </c>
      <c r="F1163" s="22" t="str">
        <f>IFERROR(__xludf.DUMMYFUNCTION("IF(C1163="""","""", OR(REGEXMATCH(LOWER(C1163),""cuota""), REGEXMATCH(C1163,""\d+\s*/\s*\d+"")))"),"")</f>
        <v/>
      </c>
      <c r="G1163" s="22" t="str">
        <f>IFERROR(__xludf.DUMMYFUNCTION("IFERROR(VALUE(REGEXEXTRACT(C1163,""(\d+)\s*/\s*\d+"")),"""")"),"")</f>
        <v/>
      </c>
      <c r="H1163" s="22" t="str">
        <f>IFERROR(__xludf.DUMMYFUNCTION("IFERROR(VALUE(REGEXEXTRACT(C1163,""\d+\s*/\s*(\d+)"")),"""")"),"")</f>
        <v/>
      </c>
      <c r="I1163" s="22" t="str">
        <f t="shared" si="2"/>
        <v/>
      </c>
      <c r="J1163" s="34" t="str">
        <f t="shared" si="3"/>
        <v/>
      </c>
    </row>
    <row r="1164" ht="15.75" customHeight="1">
      <c r="A1164" s="32" t="s">
        <v>113</v>
      </c>
      <c r="B1164" s="32" t="str">
        <f>IF(MOV_CC_NACIONAL!A1164="","",MOV_CC_NACIONAL!A1164)</f>
        <v/>
      </c>
      <c r="C1164" s="32" t="str">
        <f>IF(MOV_CC_NACIONAL!B1164="","",MOV_CC_NACIONAL!B1164)</f>
        <v/>
      </c>
      <c r="D1164" s="33" t="str">
        <f>IF(MOV_CC_NACIONAL!C1164="","",MOV_CC_NACIONAL!C1164)</f>
        <v/>
      </c>
      <c r="E1164" s="32" t="str">
        <f t="shared" si="1"/>
        <v/>
      </c>
      <c r="F1164" s="32" t="str">
        <f>IFERROR(__xludf.DUMMYFUNCTION("IF(C1164="""","""", OR(REGEXMATCH(LOWER(C1164),""cuota""), REGEXMATCH(C1164,""\d+\s*/\s*\d+"")))"),"")</f>
        <v/>
      </c>
      <c r="G1164" s="32" t="str">
        <f>IFERROR(__xludf.DUMMYFUNCTION("IFERROR(VALUE(REGEXEXTRACT(C1164,""(\d+)\s*/\s*\d+"")),"""")"),"")</f>
        <v/>
      </c>
      <c r="H1164" s="32" t="str">
        <f>IFERROR(__xludf.DUMMYFUNCTION("IFERROR(VALUE(REGEXEXTRACT(C1164,""\d+\s*/\s*(\d+)"")),"""")"),"")</f>
        <v/>
      </c>
      <c r="I1164" s="32" t="str">
        <f t="shared" si="2"/>
        <v/>
      </c>
      <c r="J1164" s="33" t="str">
        <f t="shared" si="3"/>
        <v/>
      </c>
    </row>
    <row r="1165" ht="15.75" customHeight="1">
      <c r="A1165" s="22" t="s">
        <v>113</v>
      </c>
      <c r="B1165" s="22" t="str">
        <f>IF(MOV_CC_NACIONAL!A1165="","",MOV_CC_NACIONAL!A1165)</f>
        <v/>
      </c>
      <c r="C1165" s="22" t="str">
        <f>IF(MOV_CC_NACIONAL!B1165="","",MOV_CC_NACIONAL!B1165)</f>
        <v/>
      </c>
      <c r="D1165" s="34" t="str">
        <f>IF(MOV_CC_NACIONAL!C1165="","",MOV_CC_NACIONAL!C1165)</f>
        <v/>
      </c>
      <c r="E1165" s="22" t="str">
        <f t="shared" si="1"/>
        <v/>
      </c>
      <c r="F1165" s="22" t="str">
        <f>IFERROR(__xludf.DUMMYFUNCTION("IF(C1165="""","""", OR(REGEXMATCH(LOWER(C1165),""cuota""), REGEXMATCH(C1165,""\d+\s*/\s*\d+"")))"),"")</f>
        <v/>
      </c>
      <c r="G1165" s="22" t="str">
        <f>IFERROR(__xludf.DUMMYFUNCTION("IFERROR(VALUE(REGEXEXTRACT(C1165,""(\d+)\s*/\s*\d+"")),"""")"),"")</f>
        <v/>
      </c>
      <c r="H1165" s="22" t="str">
        <f>IFERROR(__xludf.DUMMYFUNCTION("IFERROR(VALUE(REGEXEXTRACT(C1165,""\d+\s*/\s*(\d+)"")),"""")"),"")</f>
        <v/>
      </c>
      <c r="I1165" s="22" t="str">
        <f t="shared" si="2"/>
        <v/>
      </c>
      <c r="J1165" s="34" t="str">
        <f t="shared" si="3"/>
        <v/>
      </c>
    </row>
    <row r="1166" ht="15.75" customHeight="1">
      <c r="A1166" s="32" t="s">
        <v>113</v>
      </c>
      <c r="B1166" s="32" t="str">
        <f>IF(MOV_CC_NACIONAL!A1166="","",MOV_CC_NACIONAL!A1166)</f>
        <v/>
      </c>
      <c r="C1166" s="32" t="str">
        <f>IF(MOV_CC_NACIONAL!B1166="","",MOV_CC_NACIONAL!B1166)</f>
        <v/>
      </c>
      <c r="D1166" s="33" t="str">
        <f>IF(MOV_CC_NACIONAL!C1166="","",MOV_CC_NACIONAL!C1166)</f>
        <v/>
      </c>
      <c r="E1166" s="32" t="str">
        <f t="shared" si="1"/>
        <v/>
      </c>
      <c r="F1166" s="32" t="str">
        <f>IFERROR(__xludf.DUMMYFUNCTION("IF(C1166="""","""", OR(REGEXMATCH(LOWER(C1166),""cuota""), REGEXMATCH(C1166,""\d+\s*/\s*\d+"")))"),"")</f>
        <v/>
      </c>
      <c r="G1166" s="32" t="str">
        <f>IFERROR(__xludf.DUMMYFUNCTION("IFERROR(VALUE(REGEXEXTRACT(C1166,""(\d+)\s*/\s*\d+"")),"""")"),"")</f>
        <v/>
      </c>
      <c r="H1166" s="32" t="str">
        <f>IFERROR(__xludf.DUMMYFUNCTION("IFERROR(VALUE(REGEXEXTRACT(C1166,""\d+\s*/\s*(\d+)"")),"""")"),"")</f>
        <v/>
      </c>
      <c r="I1166" s="32" t="str">
        <f t="shared" si="2"/>
        <v/>
      </c>
      <c r="J1166" s="33" t="str">
        <f t="shared" si="3"/>
        <v/>
      </c>
    </row>
    <row r="1167" ht="15.75" customHeight="1">
      <c r="A1167" s="22" t="s">
        <v>113</v>
      </c>
      <c r="B1167" s="22" t="str">
        <f>IF(MOV_CC_NACIONAL!A1167="","",MOV_CC_NACIONAL!A1167)</f>
        <v/>
      </c>
      <c r="C1167" s="22" t="str">
        <f>IF(MOV_CC_NACIONAL!B1167="","",MOV_CC_NACIONAL!B1167)</f>
        <v/>
      </c>
      <c r="D1167" s="34" t="str">
        <f>IF(MOV_CC_NACIONAL!C1167="","",MOV_CC_NACIONAL!C1167)</f>
        <v/>
      </c>
      <c r="E1167" s="22" t="str">
        <f t="shared" si="1"/>
        <v/>
      </c>
      <c r="F1167" s="22" t="str">
        <f>IFERROR(__xludf.DUMMYFUNCTION("IF(C1167="""","""", OR(REGEXMATCH(LOWER(C1167),""cuota""), REGEXMATCH(C1167,""\d+\s*/\s*\d+"")))"),"")</f>
        <v/>
      </c>
      <c r="G1167" s="22" t="str">
        <f>IFERROR(__xludf.DUMMYFUNCTION("IFERROR(VALUE(REGEXEXTRACT(C1167,""(\d+)\s*/\s*\d+"")),"""")"),"")</f>
        <v/>
      </c>
      <c r="H1167" s="22" t="str">
        <f>IFERROR(__xludf.DUMMYFUNCTION("IFERROR(VALUE(REGEXEXTRACT(C1167,""\d+\s*/\s*(\d+)"")),"""")"),"")</f>
        <v/>
      </c>
      <c r="I1167" s="22" t="str">
        <f t="shared" si="2"/>
        <v/>
      </c>
      <c r="J1167" s="34" t="str">
        <f t="shared" si="3"/>
        <v/>
      </c>
    </row>
    <row r="1168" ht="15.75" customHeight="1">
      <c r="A1168" s="32" t="s">
        <v>113</v>
      </c>
      <c r="B1168" s="32" t="str">
        <f>IF(MOV_CC_NACIONAL!A1168="","",MOV_CC_NACIONAL!A1168)</f>
        <v/>
      </c>
      <c r="C1168" s="32" t="str">
        <f>IF(MOV_CC_NACIONAL!B1168="","",MOV_CC_NACIONAL!B1168)</f>
        <v/>
      </c>
      <c r="D1168" s="33" t="str">
        <f>IF(MOV_CC_NACIONAL!C1168="","",MOV_CC_NACIONAL!C1168)</f>
        <v/>
      </c>
      <c r="E1168" s="32" t="str">
        <f t="shared" si="1"/>
        <v/>
      </c>
      <c r="F1168" s="32" t="str">
        <f>IFERROR(__xludf.DUMMYFUNCTION("IF(C1168="""","""", OR(REGEXMATCH(LOWER(C1168),""cuota""), REGEXMATCH(C1168,""\d+\s*/\s*\d+"")))"),"")</f>
        <v/>
      </c>
      <c r="G1168" s="32" t="str">
        <f>IFERROR(__xludf.DUMMYFUNCTION("IFERROR(VALUE(REGEXEXTRACT(C1168,""(\d+)\s*/\s*\d+"")),"""")"),"")</f>
        <v/>
      </c>
      <c r="H1168" s="32" t="str">
        <f>IFERROR(__xludf.DUMMYFUNCTION("IFERROR(VALUE(REGEXEXTRACT(C1168,""\d+\s*/\s*(\d+)"")),"""")"),"")</f>
        <v/>
      </c>
      <c r="I1168" s="32" t="str">
        <f t="shared" si="2"/>
        <v/>
      </c>
      <c r="J1168" s="33" t="str">
        <f t="shared" si="3"/>
        <v/>
      </c>
    </row>
    <row r="1169" ht="15.75" customHeight="1">
      <c r="A1169" s="22" t="s">
        <v>113</v>
      </c>
      <c r="B1169" s="22" t="str">
        <f>IF(MOV_CC_NACIONAL!A1169="","",MOV_CC_NACIONAL!A1169)</f>
        <v/>
      </c>
      <c r="C1169" s="22" t="str">
        <f>IF(MOV_CC_NACIONAL!B1169="","",MOV_CC_NACIONAL!B1169)</f>
        <v/>
      </c>
      <c r="D1169" s="34" t="str">
        <f>IF(MOV_CC_NACIONAL!C1169="","",MOV_CC_NACIONAL!C1169)</f>
        <v/>
      </c>
      <c r="E1169" s="22" t="str">
        <f t="shared" si="1"/>
        <v/>
      </c>
      <c r="F1169" s="22" t="str">
        <f>IFERROR(__xludf.DUMMYFUNCTION("IF(C1169="""","""", OR(REGEXMATCH(LOWER(C1169),""cuota""), REGEXMATCH(C1169,""\d+\s*/\s*\d+"")))"),"")</f>
        <v/>
      </c>
      <c r="G1169" s="22" t="str">
        <f>IFERROR(__xludf.DUMMYFUNCTION("IFERROR(VALUE(REGEXEXTRACT(C1169,""(\d+)\s*/\s*\d+"")),"""")"),"")</f>
        <v/>
      </c>
      <c r="H1169" s="22" t="str">
        <f>IFERROR(__xludf.DUMMYFUNCTION("IFERROR(VALUE(REGEXEXTRACT(C1169,""\d+\s*/\s*(\d+)"")),"""")"),"")</f>
        <v/>
      </c>
      <c r="I1169" s="22" t="str">
        <f t="shared" si="2"/>
        <v/>
      </c>
      <c r="J1169" s="34" t="str">
        <f t="shared" si="3"/>
        <v/>
      </c>
    </row>
    <row r="1170" ht="15.75" customHeight="1">
      <c r="A1170" s="32" t="s">
        <v>113</v>
      </c>
      <c r="B1170" s="32" t="str">
        <f>IF(MOV_CC_NACIONAL!A1170="","",MOV_CC_NACIONAL!A1170)</f>
        <v/>
      </c>
      <c r="C1170" s="32" t="str">
        <f>IF(MOV_CC_NACIONAL!B1170="","",MOV_CC_NACIONAL!B1170)</f>
        <v/>
      </c>
      <c r="D1170" s="33" t="str">
        <f>IF(MOV_CC_NACIONAL!C1170="","",MOV_CC_NACIONAL!C1170)</f>
        <v/>
      </c>
      <c r="E1170" s="32" t="str">
        <f t="shared" si="1"/>
        <v/>
      </c>
      <c r="F1170" s="32" t="str">
        <f>IFERROR(__xludf.DUMMYFUNCTION("IF(C1170="""","""", OR(REGEXMATCH(LOWER(C1170),""cuota""), REGEXMATCH(C1170,""\d+\s*/\s*\d+"")))"),"")</f>
        <v/>
      </c>
      <c r="G1170" s="32" t="str">
        <f>IFERROR(__xludf.DUMMYFUNCTION("IFERROR(VALUE(REGEXEXTRACT(C1170,""(\d+)\s*/\s*\d+"")),"""")"),"")</f>
        <v/>
      </c>
      <c r="H1170" s="32" t="str">
        <f>IFERROR(__xludf.DUMMYFUNCTION("IFERROR(VALUE(REGEXEXTRACT(C1170,""\d+\s*/\s*(\d+)"")),"""")"),"")</f>
        <v/>
      </c>
      <c r="I1170" s="32" t="str">
        <f t="shared" si="2"/>
        <v/>
      </c>
      <c r="J1170" s="33" t="str">
        <f t="shared" si="3"/>
        <v/>
      </c>
    </row>
    <row r="1171" ht="15.75" customHeight="1">
      <c r="A1171" s="22" t="s">
        <v>113</v>
      </c>
      <c r="B1171" s="22" t="str">
        <f>IF(MOV_CC_NACIONAL!A1171="","",MOV_CC_NACIONAL!A1171)</f>
        <v/>
      </c>
      <c r="C1171" s="22" t="str">
        <f>IF(MOV_CC_NACIONAL!B1171="","",MOV_CC_NACIONAL!B1171)</f>
        <v/>
      </c>
      <c r="D1171" s="34" t="str">
        <f>IF(MOV_CC_NACIONAL!C1171="","",MOV_CC_NACIONAL!C1171)</f>
        <v/>
      </c>
      <c r="E1171" s="22" t="str">
        <f t="shared" si="1"/>
        <v/>
      </c>
      <c r="F1171" s="22" t="str">
        <f>IFERROR(__xludf.DUMMYFUNCTION("IF(C1171="""","""", OR(REGEXMATCH(LOWER(C1171),""cuota""), REGEXMATCH(C1171,""\d+\s*/\s*\d+"")))"),"")</f>
        <v/>
      </c>
      <c r="G1171" s="22" t="str">
        <f>IFERROR(__xludf.DUMMYFUNCTION("IFERROR(VALUE(REGEXEXTRACT(C1171,""(\d+)\s*/\s*\d+"")),"""")"),"")</f>
        <v/>
      </c>
      <c r="H1171" s="22" t="str">
        <f>IFERROR(__xludf.DUMMYFUNCTION("IFERROR(VALUE(REGEXEXTRACT(C1171,""\d+\s*/\s*(\d+)"")),"""")"),"")</f>
        <v/>
      </c>
      <c r="I1171" s="22" t="str">
        <f t="shared" si="2"/>
        <v/>
      </c>
      <c r="J1171" s="34" t="str">
        <f t="shared" si="3"/>
        <v/>
      </c>
    </row>
    <row r="1172" ht="15.75" customHeight="1">
      <c r="A1172" s="32" t="s">
        <v>113</v>
      </c>
      <c r="B1172" s="32" t="str">
        <f>IF(MOV_CC_NACIONAL!A1172="","",MOV_CC_NACIONAL!A1172)</f>
        <v/>
      </c>
      <c r="C1172" s="32" t="str">
        <f>IF(MOV_CC_NACIONAL!B1172="","",MOV_CC_NACIONAL!B1172)</f>
        <v/>
      </c>
      <c r="D1172" s="33" t="str">
        <f>IF(MOV_CC_NACIONAL!C1172="","",MOV_CC_NACIONAL!C1172)</f>
        <v/>
      </c>
      <c r="E1172" s="32" t="str">
        <f t="shared" si="1"/>
        <v/>
      </c>
      <c r="F1172" s="32" t="str">
        <f>IFERROR(__xludf.DUMMYFUNCTION("IF(C1172="""","""", OR(REGEXMATCH(LOWER(C1172),""cuota""), REGEXMATCH(C1172,""\d+\s*/\s*\d+"")))"),"")</f>
        <v/>
      </c>
      <c r="G1172" s="32" t="str">
        <f>IFERROR(__xludf.DUMMYFUNCTION("IFERROR(VALUE(REGEXEXTRACT(C1172,""(\d+)\s*/\s*\d+"")),"""")"),"")</f>
        <v/>
      </c>
      <c r="H1172" s="32" t="str">
        <f>IFERROR(__xludf.DUMMYFUNCTION("IFERROR(VALUE(REGEXEXTRACT(C1172,""\d+\s*/\s*(\d+)"")),"""")"),"")</f>
        <v/>
      </c>
      <c r="I1172" s="32" t="str">
        <f t="shared" si="2"/>
        <v/>
      </c>
      <c r="J1172" s="33" t="str">
        <f t="shared" si="3"/>
        <v/>
      </c>
    </row>
    <row r="1173" ht="15.75" customHeight="1">
      <c r="A1173" s="22" t="s">
        <v>113</v>
      </c>
      <c r="B1173" s="22" t="str">
        <f>IF(MOV_CC_NACIONAL!A1173="","",MOV_CC_NACIONAL!A1173)</f>
        <v/>
      </c>
      <c r="C1173" s="22" t="str">
        <f>IF(MOV_CC_NACIONAL!B1173="","",MOV_CC_NACIONAL!B1173)</f>
        <v/>
      </c>
      <c r="D1173" s="34" t="str">
        <f>IF(MOV_CC_NACIONAL!C1173="","",MOV_CC_NACIONAL!C1173)</f>
        <v/>
      </c>
      <c r="E1173" s="22" t="str">
        <f t="shared" si="1"/>
        <v/>
      </c>
      <c r="F1173" s="22" t="str">
        <f>IFERROR(__xludf.DUMMYFUNCTION("IF(C1173="""","""", OR(REGEXMATCH(LOWER(C1173),""cuota""), REGEXMATCH(C1173,""\d+\s*/\s*\d+"")))"),"")</f>
        <v/>
      </c>
      <c r="G1173" s="22" t="str">
        <f>IFERROR(__xludf.DUMMYFUNCTION("IFERROR(VALUE(REGEXEXTRACT(C1173,""(\d+)\s*/\s*\d+"")),"""")"),"")</f>
        <v/>
      </c>
      <c r="H1173" s="22" t="str">
        <f>IFERROR(__xludf.DUMMYFUNCTION("IFERROR(VALUE(REGEXEXTRACT(C1173,""\d+\s*/\s*(\d+)"")),"""")"),"")</f>
        <v/>
      </c>
      <c r="I1173" s="22" t="str">
        <f t="shared" si="2"/>
        <v/>
      </c>
      <c r="J1173" s="34" t="str">
        <f t="shared" si="3"/>
        <v/>
      </c>
    </row>
    <row r="1174" ht="15.75" customHeight="1">
      <c r="A1174" s="32" t="s">
        <v>113</v>
      </c>
      <c r="B1174" s="32" t="str">
        <f>IF(MOV_CC_NACIONAL!A1174="","",MOV_CC_NACIONAL!A1174)</f>
        <v/>
      </c>
      <c r="C1174" s="32" t="str">
        <f>IF(MOV_CC_NACIONAL!B1174="","",MOV_CC_NACIONAL!B1174)</f>
        <v/>
      </c>
      <c r="D1174" s="33" t="str">
        <f>IF(MOV_CC_NACIONAL!C1174="","",MOV_CC_NACIONAL!C1174)</f>
        <v/>
      </c>
      <c r="E1174" s="32" t="str">
        <f t="shared" si="1"/>
        <v/>
      </c>
      <c r="F1174" s="32" t="str">
        <f>IFERROR(__xludf.DUMMYFUNCTION("IF(C1174="""","""", OR(REGEXMATCH(LOWER(C1174),""cuota""), REGEXMATCH(C1174,""\d+\s*/\s*\d+"")))"),"")</f>
        <v/>
      </c>
      <c r="G1174" s="32" t="str">
        <f>IFERROR(__xludf.DUMMYFUNCTION("IFERROR(VALUE(REGEXEXTRACT(C1174,""(\d+)\s*/\s*\d+"")),"""")"),"")</f>
        <v/>
      </c>
      <c r="H1174" s="32" t="str">
        <f>IFERROR(__xludf.DUMMYFUNCTION("IFERROR(VALUE(REGEXEXTRACT(C1174,""\d+\s*/\s*(\d+)"")),"""")"),"")</f>
        <v/>
      </c>
      <c r="I1174" s="32" t="str">
        <f t="shared" si="2"/>
        <v/>
      </c>
      <c r="J1174" s="33" t="str">
        <f t="shared" si="3"/>
        <v/>
      </c>
    </row>
    <row r="1175" ht="15.75" customHeight="1">
      <c r="A1175" s="22" t="s">
        <v>113</v>
      </c>
      <c r="B1175" s="22" t="str">
        <f>IF(MOV_CC_NACIONAL!A1175="","",MOV_CC_NACIONAL!A1175)</f>
        <v/>
      </c>
      <c r="C1175" s="22" t="str">
        <f>IF(MOV_CC_NACIONAL!B1175="","",MOV_CC_NACIONAL!B1175)</f>
        <v/>
      </c>
      <c r="D1175" s="34" t="str">
        <f>IF(MOV_CC_NACIONAL!C1175="","",MOV_CC_NACIONAL!C1175)</f>
        <v/>
      </c>
      <c r="E1175" s="22" t="str">
        <f t="shared" si="1"/>
        <v/>
      </c>
      <c r="F1175" s="22" t="str">
        <f>IFERROR(__xludf.DUMMYFUNCTION("IF(C1175="""","""", OR(REGEXMATCH(LOWER(C1175),""cuota""), REGEXMATCH(C1175,""\d+\s*/\s*\d+"")))"),"")</f>
        <v/>
      </c>
      <c r="G1175" s="22" t="str">
        <f>IFERROR(__xludf.DUMMYFUNCTION("IFERROR(VALUE(REGEXEXTRACT(C1175,""(\d+)\s*/\s*\d+"")),"""")"),"")</f>
        <v/>
      </c>
      <c r="H1175" s="22" t="str">
        <f>IFERROR(__xludf.DUMMYFUNCTION("IFERROR(VALUE(REGEXEXTRACT(C1175,""\d+\s*/\s*(\d+)"")),"""")"),"")</f>
        <v/>
      </c>
      <c r="I1175" s="22" t="str">
        <f t="shared" si="2"/>
        <v/>
      </c>
      <c r="J1175" s="34" t="str">
        <f t="shared" si="3"/>
        <v/>
      </c>
    </row>
    <row r="1176" ht="15.75" customHeight="1">
      <c r="A1176" s="32" t="s">
        <v>113</v>
      </c>
      <c r="B1176" s="32" t="str">
        <f>IF(MOV_CC_NACIONAL!A1176="","",MOV_CC_NACIONAL!A1176)</f>
        <v/>
      </c>
      <c r="C1176" s="32" t="str">
        <f>IF(MOV_CC_NACIONAL!B1176="","",MOV_CC_NACIONAL!B1176)</f>
        <v/>
      </c>
      <c r="D1176" s="33" t="str">
        <f>IF(MOV_CC_NACIONAL!C1176="","",MOV_CC_NACIONAL!C1176)</f>
        <v/>
      </c>
      <c r="E1176" s="32" t="str">
        <f t="shared" si="1"/>
        <v/>
      </c>
      <c r="F1176" s="32" t="str">
        <f>IFERROR(__xludf.DUMMYFUNCTION("IF(C1176="""","""", OR(REGEXMATCH(LOWER(C1176),""cuota""), REGEXMATCH(C1176,""\d+\s*/\s*\d+"")))"),"")</f>
        <v/>
      </c>
      <c r="G1176" s="32" t="str">
        <f>IFERROR(__xludf.DUMMYFUNCTION("IFERROR(VALUE(REGEXEXTRACT(C1176,""(\d+)\s*/\s*\d+"")),"""")"),"")</f>
        <v/>
      </c>
      <c r="H1176" s="32" t="str">
        <f>IFERROR(__xludf.DUMMYFUNCTION("IFERROR(VALUE(REGEXEXTRACT(C1176,""\d+\s*/\s*(\d+)"")),"""")"),"")</f>
        <v/>
      </c>
      <c r="I1176" s="32" t="str">
        <f t="shared" si="2"/>
        <v/>
      </c>
      <c r="J1176" s="33" t="str">
        <f t="shared" si="3"/>
        <v/>
      </c>
    </row>
    <row r="1177" ht="15.75" customHeight="1">
      <c r="A1177" s="22" t="s">
        <v>113</v>
      </c>
      <c r="B1177" s="22" t="str">
        <f>IF(MOV_CC_NACIONAL!A1177="","",MOV_CC_NACIONAL!A1177)</f>
        <v/>
      </c>
      <c r="C1177" s="22" t="str">
        <f>IF(MOV_CC_NACIONAL!B1177="","",MOV_CC_NACIONAL!B1177)</f>
        <v/>
      </c>
      <c r="D1177" s="34" t="str">
        <f>IF(MOV_CC_NACIONAL!C1177="","",MOV_CC_NACIONAL!C1177)</f>
        <v/>
      </c>
      <c r="E1177" s="22" t="str">
        <f t="shared" si="1"/>
        <v/>
      </c>
      <c r="F1177" s="22" t="str">
        <f>IFERROR(__xludf.DUMMYFUNCTION("IF(C1177="""","""", OR(REGEXMATCH(LOWER(C1177),""cuota""), REGEXMATCH(C1177,""\d+\s*/\s*\d+"")))"),"")</f>
        <v/>
      </c>
      <c r="G1177" s="22" t="str">
        <f>IFERROR(__xludf.DUMMYFUNCTION("IFERROR(VALUE(REGEXEXTRACT(C1177,""(\d+)\s*/\s*\d+"")),"""")"),"")</f>
        <v/>
      </c>
      <c r="H1177" s="22" t="str">
        <f>IFERROR(__xludf.DUMMYFUNCTION("IFERROR(VALUE(REGEXEXTRACT(C1177,""\d+\s*/\s*(\d+)"")),"""")"),"")</f>
        <v/>
      </c>
      <c r="I1177" s="22" t="str">
        <f t="shared" si="2"/>
        <v/>
      </c>
      <c r="J1177" s="34" t="str">
        <f t="shared" si="3"/>
        <v/>
      </c>
    </row>
    <row r="1178" ht="15.75" customHeight="1">
      <c r="A1178" s="32" t="s">
        <v>113</v>
      </c>
      <c r="B1178" s="32" t="str">
        <f>IF(MOV_CC_NACIONAL!A1178="","",MOV_CC_NACIONAL!A1178)</f>
        <v/>
      </c>
      <c r="C1178" s="32" t="str">
        <f>IF(MOV_CC_NACIONAL!B1178="","",MOV_CC_NACIONAL!B1178)</f>
        <v/>
      </c>
      <c r="D1178" s="33" t="str">
        <f>IF(MOV_CC_NACIONAL!C1178="","",MOV_CC_NACIONAL!C1178)</f>
        <v/>
      </c>
      <c r="E1178" s="32" t="str">
        <f t="shared" si="1"/>
        <v/>
      </c>
      <c r="F1178" s="32" t="str">
        <f>IFERROR(__xludf.DUMMYFUNCTION("IF(C1178="""","""", OR(REGEXMATCH(LOWER(C1178),""cuota""), REGEXMATCH(C1178,""\d+\s*/\s*\d+"")))"),"")</f>
        <v/>
      </c>
      <c r="G1178" s="32" t="str">
        <f>IFERROR(__xludf.DUMMYFUNCTION("IFERROR(VALUE(REGEXEXTRACT(C1178,""(\d+)\s*/\s*\d+"")),"""")"),"")</f>
        <v/>
      </c>
      <c r="H1178" s="32" t="str">
        <f>IFERROR(__xludf.DUMMYFUNCTION("IFERROR(VALUE(REGEXEXTRACT(C1178,""\d+\s*/\s*(\d+)"")),"""")"),"")</f>
        <v/>
      </c>
      <c r="I1178" s="32" t="str">
        <f t="shared" si="2"/>
        <v/>
      </c>
      <c r="J1178" s="33" t="str">
        <f t="shared" si="3"/>
        <v/>
      </c>
    </row>
    <row r="1179" ht="15.75" customHeight="1">
      <c r="A1179" s="22" t="s">
        <v>113</v>
      </c>
      <c r="B1179" s="22" t="str">
        <f>IF(MOV_CC_NACIONAL!A1179="","",MOV_CC_NACIONAL!A1179)</f>
        <v/>
      </c>
      <c r="C1179" s="22" t="str">
        <f>IF(MOV_CC_NACIONAL!B1179="","",MOV_CC_NACIONAL!B1179)</f>
        <v/>
      </c>
      <c r="D1179" s="34" t="str">
        <f>IF(MOV_CC_NACIONAL!C1179="","",MOV_CC_NACIONAL!C1179)</f>
        <v/>
      </c>
      <c r="E1179" s="22" t="str">
        <f t="shared" si="1"/>
        <v/>
      </c>
      <c r="F1179" s="22" t="str">
        <f>IFERROR(__xludf.DUMMYFUNCTION("IF(C1179="""","""", OR(REGEXMATCH(LOWER(C1179),""cuota""), REGEXMATCH(C1179,""\d+\s*/\s*\d+"")))"),"")</f>
        <v/>
      </c>
      <c r="G1179" s="22" t="str">
        <f>IFERROR(__xludf.DUMMYFUNCTION("IFERROR(VALUE(REGEXEXTRACT(C1179,""(\d+)\s*/\s*\d+"")),"""")"),"")</f>
        <v/>
      </c>
      <c r="H1179" s="22" t="str">
        <f>IFERROR(__xludf.DUMMYFUNCTION("IFERROR(VALUE(REGEXEXTRACT(C1179,""\d+\s*/\s*(\d+)"")),"""")"),"")</f>
        <v/>
      </c>
      <c r="I1179" s="22" t="str">
        <f t="shared" si="2"/>
        <v/>
      </c>
      <c r="J1179" s="34" t="str">
        <f t="shared" si="3"/>
        <v/>
      </c>
    </row>
    <row r="1180" ht="15.75" customHeight="1">
      <c r="A1180" s="32" t="s">
        <v>113</v>
      </c>
      <c r="B1180" s="32" t="str">
        <f>IF(MOV_CC_NACIONAL!A1180="","",MOV_CC_NACIONAL!A1180)</f>
        <v/>
      </c>
      <c r="C1180" s="32" t="str">
        <f>IF(MOV_CC_NACIONAL!B1180="","",MOV_CC_NACIONAL!B1180)</f>
        <v/>
      </c>
      <c r="D1180" s="33" t="str">
        <f>IF(MOV_CC_NACIONAL!C1180="","",MOV_CC_NACIONAL!C1180)</f>
        <v/>
      </c>
      <c r="E1180" s="32" t="str">
        <f t="shared" si="1"/>
        <v/>
      </c>
      <c r="F1180" s="32" t="str">
        <f>IFERROR(__xludf.DUMMYFUNCTION("IF(C1180="""","""", OR(REGEXMATCH(LOWER(C1180),""cuota""), REGEXMATCH(C1180,""\d+\s*/\s*\d+"")))"),"")</f>
        <v/>
      </c>
      <c r="G1180" s="32" t="str">
        <f>IFERROR(__xludf.DUMMYFUNCTION("IFERROR(VALUE(REGEXEXTRACT(C1180,""(\d+)\s*/\s*\d+"")),"""")"),"")</f>
        <v/>
      </c>
      <c r="H1180" s="32" t="str">
        <f>IFERROR(__xludf.DUMMYFUNCTION("IFERROR(VALUE(REGEXEXTRACT(C1180,""\d+\s*/\s*(\d+)"")),"""")"),"")</f>
        <v/>
      </c>
      <c r="I1180" s="32" t="str">
        <f t="shared" si="2"/>
        <v/>
      </c>
      <c r="J1180" s="33" t="str">
        <f t="shared" si="3"/>
        <v/>
      </c>
    </row>
    <row r="1181" ht="15.75" customHeight="1">
      <c r="A1181" s="22" t="s">
        <v>113</v>
      </c>
      <c r="B1181" s="22" t="str">
        <f>IF(MOV_CC_NACIONAL!A1181="","",MOV_CC_NACIONAL!A1181)</f>
        <v/>
      </c>
      <c r="C1181" s="22" t="str">
        <f>IF(MOV_CC_NACIONAL!B1181="","",MOV_CC_NACIONAL!B1181)</f>
        <v/>
      </c>
      <c r="D1181" s="34" t="str">
        <f>IF(MOV_CC_NACIONAL!C1181="","",MOV_CC_NACIONAL!C1181)</f>
        <v/>
      </c>
      <c r="E1181" s="22" t="str">
        <f t="shared" si="1"/>
        <v/>
      </c>
      <c r="F1181" s="22" t="str">
        <f>IFERROR(__xludf.DUMMYFUNCTION("IF(C1181="""","""", OR(REGEXMATCH(LOWER(C1181),""cuota""), REGEXMATCH(C1181,""\d+\s*/\s*\d+"")))"),"")</f>
        <v/>
      </c>
      <c r="G1181" s="22" t="str">
        <f>IFERROR(__xludf.DUMMYFUNCTION("IFERROR(VALUE(REGEXEXTRACT(C1181,""(\d+)\s*/\s*\d+"")),"""")"),"")</f>
        <v/>
      </c>
      <c r="H1181" s="22" t="str">
        <f>IFERROR(__xludf.DUMMYFUNCTION("IFERROR(VALUE(REGEXEXTRACT(C1181,""\d+\s*/\s*(\d+)"")),"""")"),"")</f>
        <v/>
      </c>
      <c r="I1181" s="22" t="str">
        <f t="shared" si="2"/>
        <v/>
      </c>
      <c r="J1181" s="34" t="str">
        <f t="shared" si="3"/>
        <v/>
      </c>
    </row>
    <row r="1182" ht="15.75" customHeight="1">
      <c r="A1182" s="32" t="s">
        <v>113</v>
      </c>
      <c r="B1182" s="32" t="str">
        <f>IF(MOV_CC_NACIONAL!A1182="","",MOV_CC_NACIONAL!A1182)</f>
        <v/>
      </c>
      <c r="C1182" s="32" t="str">
        <f>IF(MOV_CC_NACIONAL!B1182="","",MOV_CC_NACIONAL!B1182)</f>
        <v/>
      </c>
      <c r="D1182" s="33" t="str">
        <f>IF(MOV_CC_NACIONAL!C1182="","",MOV_CC_NACIONAL!C1182)</f>
        <v/>
      </c>
      <c r="E1182" s="32" t="str">
        <f t="shared" si="1"/>
        <v/>
      </c>
      <c r="F1182" s="32" t="str">
        <f>IFERROR(__xludf.DUMMYFUNCTION("IF(C1182="""","""", OR(REGEXMATCH(LOWER(C1182),""cuota""), REGEXMATCH(C1182,""\d+\s*/\s*\d+"")))"),"")</f>
        <v/>
      </c>
      <c r="G1182" s="32" t="str">
        <f>IFERROR(__xludf.DUMMYFUNCTION("IFERROR(VALUE(REGEXEXTRACT(C1182,""(\d+)\s*/\s*\d+"")),"""")"),"")</f>
        <v/>
      </c>
      <c r="H1182" s="32" t="str">
        <f>IFERROR(__xludf.DUMMYFUNCTION("IFERROR(VALUE(REGEXEXTRACT(C1182,""\d+\s*/\s*(\d+)"")),"""")"),"")</f>
        <v/>
      </c>
      <c r="I1182" s="32" t="str">
        <f t="shared" si="2"/>
        <v/>
      </c>
      <c r="J1182" s="33" t="str">
        <f t="shared" si="3"/>
        <v/>
      </c>
    </row>
    <row r="1183" ht="15.75" customHeight="1">
      <c r="A1183" s="22" t="s">
        <v>113</v>
      </c>
      <c r="B1183" s="22" t="str">
        <f>IF(MOV_CC_NACIONAL!A1183="","",MOV_CC_NACIONAL!A1183)</f>
        <v/>
      </c>
      <c r="C1183" s="22" t="str">
        <f>IF(MOV_CC_NACIONAL!B1183="","",MOV_CC_NACIONAL!B1183)</f>
        <v/>
      </c>
      <c r="D1183" s="34" t="str">
        <f>IF(MOV_CC_NACIONAL!C1183="","",MOV_CC_NACIONAL!C1183)</f>
        <v/>
      </c>
      <c r="E1183" s="22" t="str">
        <f t="shared" si="1"/>
        <v/>
      </c>
      <c r="F1183" s="22" t="str">
        <f>IFERROR(__xludf.DUMMYFUNCTION("IF(C1183="""","""", OR(REGEXMATCH(LOWER(C1183),""cuota""), REGEXMATCH(C1183,""\d+\s*/\s*\d+"")))"),"")</f>
        <v/>
      </c>
      <c r="G1183" s="22" t="str">
        <f>IFERROR(__xludf.DUMMYFUNCTION("IFERROR(VALUE(REGEXEXTRACT(C1183,""(\d+)\s*/\s*\d+"")),"""")"),"")</f>
        <v/>
      </c>
      <c r="H1183" s="22" t="str">
        <f>IFERROR(__xludf.DUMMYFUNCTION("IFERROR(VALUE(REGEXEXTRACT(C1183,""\d+\s*/\s*(\d+)"")),"""")"),"")</f>
        <v/>
      </c>
      <c r="I1183" s="22" t="str">
        <f t="shared" si="2"/>
        <v/>
      </c>
      <c r="J1183" s="34" t="str">
        <f t="shared" si="3"/>
        <v/>
      </c>
    </row>
    <row r="1184" ht="15.75" customHeight="1">
      <c r="A1184" s="32" t="s">
        <v>113</v>
      </c>
      <c r="B1184" s="32" t="str">
        <f>IF(MOV_CC_NACIONAL!A1184="","",MOV_CC_NACIONAL!A1184)</f>
        <v/>
      </c>
      <c r="C1184" s="32" t="str">
        <f>IF(MOV_CC_NACIONAL!B1184="","",MOV_CC_NACIONAL!B1184)</f>
        <v/>
      </c>
      <c r="D1184" s="33" t="str">
        <f>IF(MOV_CC_NACIONAL!C1184="","",MOV_CC_NACIONAL!C1184)</f>
        <v/>
      </c>
      <c r="E1184" s="32" t="str">
        <f t="shared" si="1"/>
        <v/>
      </c>
      <c r="F1184" s="32" t="str">
        <f>IFERROR(__xludf.DUMMYFUNCTION("IF(C1184="""","""", OR(REGEXMATCH(LOWER(C1184),""cuota""), REGEXMATCH(C1184,""\d+\s*/\s*\d+"")))"),"")</f>
        <v/>
      </c>
      <c r="G1184" s="32" t="str">
        <f>IFERROR(__xludf.DUMMYFUNCTION("IFERROR(VALUE(REGEXEXTRACT(C1184,""(\d+)\s*/\s*\d+"")),"""")"),"")</f>
        <v/>
      </c>
      <c r="H1184" s="32" t="str">
        <f>IFERROR(__xludf.DUMMYFUNCTION("IFERROR(VALUE(REGEXEXTRACT(C1184,""\d+\s*/\s*(\d+)"")),"""")"),"")</f>
        <v/>
      </c>
      <c r="I1184" s="32" t="str">
        <f t="shared" si="2"/>
        <v/>
      </c>
      <c r="J1184" s="33" t="str">
        <f t="shared" si="3"/>
        <v/>
      </c>
    </row>
    <row r="1185" ht="15.75" customHeight="1">
      <c r="A1185" s="22" t="s">
        <v>113</v>
      </c>
      <c r="B1185" s="22" t="str">
        <f>IF(MOV_CC_NACIONAL!A1185="","",MOV_CC_NACIONAL!A1185)</f>
        <v/>
      </c>
      <c r="C1185" s="22" t="str">
        <f>IF(MOV_CC_NACIONAL!B1185="","",MOV_CC_NACIONAL!B1185)</f>
        <v/>
      </c>
      <c r="D1185" s="34" t="str">
        <f>IF(MOV_CC_NACIONAL!C1185="","",MOV_CC_NACIONAL!C1185)</f>
        <v/>
      </c>
      <c r="E1185" s="22" t="str">
        <f t="shared" si="1"/>
        <v/>
      </c>
      <c r="F1185" s="22" t="str">
        <f>IFERROR(__xludf.DUMMYFUNCTION("IF(C1185="""","""", OR(REGEXMATCH(LOWER(C1185),""cuota""), REGEXMATCH(C1185,""\d+\s*/\s*\d+"")))"),"")</f>
        <v/>
      </c>
      <c r="G1185" s="22" t="str">
        <f>IFERROR(__xludf.DUMMYFUNCTION("IFERROR(VALUE(REGEXEXTRACT(C1185,""(\d+)\s*/\s*\d+"")),"""")"),"")</f>
        <v/>
      </c>
      <c r="H1185" s="22" t="str">
        <f>IFERROR(__xludf.DUMMYFUNCTION("IFERROR(VALUE(REGEXEXTRACT(C1185,""\d+\s*/\s*(\d+)"")),"""")"),"")</f>
        <v/>
      </c>
      <c r="I1185" s="22" t="str">
        <f t="shared" si="2"/>
        <v/>
      </c>
      <c r="J1185" s="34" t="str">
        <f t="shared" si="3"/>
        <v/>
      </c>
    </row>
    <row r="1186" ht="15.75" customHeight="1">
      <c r="A1186" s="32" t="s">
        <v>113</v>
      </c>
      <c r="B1186" s="32" t="str">
        <f>IF(MOV_CC_NACIONAL!A1186="","",MOV_CC_NACIONAL!A1186)</f>
        <v/>
      </c>
      <c r="C1186" s="32" t="str">
        <f>IF(MOV_CC_NACIONAL!B1186="","",MOV_CC_NACIONAL!B1186)</f>
        <v/>
      </c>
      <c r="D1186" s="33" t="str">
        <f>IF(MOV_CC_NACIONAL!C1186="","",MOV_CC_NACIONAL!C1186)</f>
        <v/>
      </c>
      <c r="E1186" s="32" t="str">
        <f t="shared" si="1"/>
        <v/>
      </c>
      <c r="F1186" s="32" t="str">
        <f>IFERROR(__xludf.DUMMYFUNCTION("IF(C1186="""","""", OR(REGEXMATCH(LOWER(C1186),""cuota""), REGEXMATCH(C1186,""\d+\s*/\s*\d+"")))"),"")</f>
        <v/>
      </c>
      <c r="G1186" s="32" t="str">
        <f>IFERROR(__xludf.DUMMYFUNCTION("IFERROR(VALUE(REGEXEXTRACT(C1186,""(\d+)\s*/\s*\d+"")),"""")"),"")</f>
        <v/>
      </c>
      <c r="H1186" s="32" t="str">
        <f>IFERROR(__xludf.DUMMYFUNCTION("IFERROR(VALUE(REGEXEXTRACT(C1186,""\d+\s*/\s*(\d+)"")),"""")"),"")</f>
        <v/>
      </c>
      <c r="I1186" s="32" t="str">
        <f t="shared" si="2"/>
        <v/>
      </c>
      <c r="J1186" s="33" t="str">
        <f t="shared" si="3"/>
        <v/>
      </c>
    </row>
    <row r="1187" ht="15.75" customHeight="1">
      <c r="A1187" s="22" t="s">
        <v>113</v>
      </c>
      <c r="B1187" s="22" t="str">
        <f>IF(MOV_CC_NACIONAL!A1187="","",MOV_CC_NACIONAL!A1187)</f>
        <v/>
      </c>
      <c r="C1187" s="22" t="str">
        <f>IF(MOV_CC_NACIONAL!B1187="","",MOV_CC_NACIONAL!B1187)</f>
        <v/>
      </c>
      <c r="D1187" s="34" t="str">
        <f>IF(MOV_CC_NACIONAL!C1187="","",MOV_CC_NACIONAL!C1187)</f>
        <v/>
      </c>
      <c r="E1187" s="22" t="str">
        <f t="shared" si="1"/>
        <v/>
      </c>
      <c r="F1187" s="22" t="str">
        <f>IFERROR(__xludf.DUMMYFUNCTION("IF(C1187="""","""", OR(REGEXMATCH(LOWER(C1187),""cuota""), REGEXMATCH(C1187,""\d+\s*/\s*\d+"")))"),"")</f>
        <v/>
      </c>
      <c r="G1187" s="22" t="str">
        <f>IFERROR(__xludf.DUMMYFUNCTION("IFERROR(VALUE(REGEXEXTRACT(C1187,""(\d+)\s*/\s*\d+"")),"""")"),"")</f>
        <v/>
      </c>
      <c r="H1187" s="22" t="str">
        <f>IFERROR(__xludf.DUMMYFUNCTION("IFERROR(VALUE(REGEXEXTRACT(C1187,""\d+\s*/\s*(\d+)"")),"""")"),"")</f>
        <v/>
      </c>
      <c r="I1187" s="22" t="str">
        <f t="shared" si="2"/>
        <v/>
      </c>
      <c r="J1187" s="34" t="str">
        <f t="shared" si="3"/>
        <v/>
      </c>
    </row>
    <row r="1188" ht="15.75" customHeight="1">
      <c r="A1188" s="32" t="s">
        <v>113</v>
      </c>
      <c r="B1188" s="32" t="str">
        <f>IF(MOV_CC_NACIONAL!A1188="","",MOV_CC_NACIONAL!A1188)</f>
        <v/>
      </c>
      <c r="C1188" s="32" t="str">
        <f>IF(MOV_CC_NACIONAL!B1188="","",MOV_CC_NACIONAL!B1188)</f>
        <v/>
      </c>
      <c r="D1188" s="33" t="str">
        <f>IF(MOV_CC_NACIONAL!C1188="","",MOV_CC_NACIONAL!C1188)</f>
        <v/>
      </c>
      <c r="E1188" s="32" t="str">
        <f t="shared" si="1"/>
        <v/>
      </c>
      <c r="F1188" s="32" t="str">
        <f>IFERROR(__xludf.DUMMYFUNCTION("IF(C1188="""","""", OR(REGEXMATCH(LOWER(C1188),""cuota""), REGEXMATCH(C1188,""\d+\s*/\s*\d+"")))"),"")</f>
        <v/>
      </c>
      <c r="G1188" s="32" t="str">
        <f>IFERROR(__xludf.DUMMYFUNCTION("IFERROR(VALUE(REGEXEXTRACT(C1188,""(\d+)\s*/\s*\d+"")),"""")"),"")</f>
        <v/>
      </c>
      <c r="H1188" s="32" t="str">
        <f>IFERROR(__xludf.DUMMYFUNCTION("IFERROR(VALUE(REGEXEXTRACT(C1188,""\d+\s*/\s*(\d+)"")),"""")"),"")</f>
        <v/>
      </c>
      <c r="I1188" s="32" t="str">
        <f t="shared" si="2"/>
        <v/>
      </c>
      <c r="J1188" s="33" t="str">
        <f t="shared" si="3"/>
        <v/>
      </c>
    </row>
    <row r="1189" ht="15.75" customHeight="1">
      <c r="A1189" s="22" t="s">
        <v>113</v>
      </c>
      <c r="B1189" s="22" t="str">
        <f>IF(MOV_CC_NACIONAL!A1189="","",MOV_CC_NACIONAL!A1189)</f>
        <v/>
      </c>
      <c r="C1189" s="22" t="str">
        <f>IF(MOV_CC_NACIONAL!B1189="","",MOV_CC_NACIONAL!B1189)</f>
        <v/>
      </c>
      <c r="D1189" s="34" t="str">
        <f>IF(MOV_CC_NACIONAL!C1189="","",MOV_CC_NACIONAL!C1189)</f>
        <v/>
      </c>
      <c r="E1189" s="22" t="str">
        <f t="shared" si="1"/>
        <v/>
      </c>
      <c r="F1189" s="22" t="str">
        <f>IFERROR(__xludf.DUMMYFUNCTION("IF(C1189="""","""", OR(REGEXMATCH(LOWER(C1189),""cuota""), REGEXMATCH(C1189,""\d+\s*/\s*\d+"")))"),"")</f>
        <v/>
      </c>
      <c r="G1189" s="22" t="str">
        <f>IFERROR(__xludf.DUMMYFUNCTION("IFERROR(VALUE(REGEXEXTRACT(C1189,""(\d+)\s*/\s*\d+"")),"""")"),"")</f>
        <v/>
      </c>
      <c r="H1189" s="22" t="str">
        <f>IFERROR(__xludf.DUMMYFUNCTION("IFERROR(VALUE(REGEXEXTRACT(C1189,""\d+\s*/\s*(\d+)"")),"""")"),"")</f>
        <v/>
      </c>
      <c r="I1189" s="22" t="str">
        <f t="shared" si="2"/>
        <v/>
      </c>
      <c r="J1189" s="34" t="str">
        <f t="shared" si="3"/>
        <v/>
      </c>
    </row>
    <row r="1190" ht="15.75" customHeight="1">
      <c r="A1190" s="32" t="s">
        <v>113</v>
      </c>
      <c r="B1190" s="32" t="str">
        <f>IF(MOV_CC_NACIONAL!A1190="","",MOV_CC_NACIONAL!A1190)</f>
        <v/>
      </c>
      <c r="C1190" s="32" t="str">
        <f>IF(MOV_CC_NACIONAL!B1190="","",MOV_CC_NACIONAL!B1190)</f>
        <v/>
      </c>
      <c r="D1190" s="33" t="str">
        <f>IF(MOV_CC_NACIONAL!C1190="","",MOV_CC_NACIONAL!C1190)</f>
        <v/>
      </c>
      <c r="E1190" s="32" t="str">
        <f t="shared" si="1"/>
        <v/>
      </c>
      <c r="F1190" s="32" t="str">
        <f>IFERROR(__xludf.DUMMYFUNCTION("IF(C1190="""","""", OR(REGEXMATCH(LOWER(C1190),""cuota""), REGEXMATCH(C1190,""\d+\s*/\s*\d+"")))"),"")</f>
        <v/>
      </c>
      <c r="G1190" s="32" t="str">
        <f>IFERROR(__xludf.DUMMYFUNCTION("IFERROR(VALUE(REGEXEXTRACT(C1190,""(\d+)\s*/\s*\d+"")),"""")"),"")</f>
        <v/>
      </c>
      <c r="H1190" s="32" t="str">
        <f>IFERROR(__xludf.DUMMYFUNCTION("IFERROR(VALUE(REGEXEXTRACT(C1190,""\d+\s*/\s*(\d+)"")),"""")"),"")</f>
        <v/>
      </c>
      <c r="I1190" s="32" t="str">
        <f t="shared" si="2"/>
        <v/>
      </c>
      <c r="J1190" s="33" t="str">
        <f t="shared" si="3"/>
        <v/>
      </c>
    </row>
    <row r="1191" ht="15.75" customHeight="1">
      <c r="A1191" s="22" t="s">
        <v>113</v>
      </c>
      <c r="B1191" s="22" t="str">
        <f>IF(MOV_CC_NACIONAL!A1191="","",MOV_CC_NACIONAL!A1191)</f>
        <v/>
      </c>
      <c r="C1191" s="22" t="str">
        <f>IF(MOV_CC_NACIONAL!B1191="","",MOV_CC_NACIONAL!B1191)</f>
        <v/>
      </c>
      <c r="D1191" s="34" t="str">
        <f>IF(MOV_CC_NACIONAL!C1191="","",MOV_CC_NACIONAL!C1191)</f>
        <v/>
      </c>
      <c r="E1191" s="22" t="str">
        <f t="shared" si="1"/>
        <v/>
      </c>
      <c r="F1191" s="22" t="str">
        <f>IFERROR(__xludf.DUMMYFUNCTION("IF(C1191="""","""", OR(REGEXMATCH(LOWER(C1191),""cuota""), REGEXMATCH(C1191,""\d+\s*/\s*\d+"")))"),"")</f>
        <v/>
      </c>
      <c r="G1191" s="22" t="str">
        <f>IFERROR(__xludf.DUMMYFUNCTION("IFERROR(VALUE(REGEXEXTRACT(C1191,""(\d+)\s*/\s*\d+"")),"""")"),"")</f>
        <v/>
      </c>
      <c r="H1191" s="22" t="str">
        <f>IFERROR(__xludf.DUMMYFUNCTION("IFERROR(VALUE(REGEXEXTRACT(C1191,""\d+\s*/\s*(\d+)"")),"""")"),"")</f>
        <v/>
      </c>
      <c r="I1191" s="22" t="str">
        <f t="shared" si="2"/>
        <v/>
      </c>
      <c r="J1191" s="34" t="str">
        <f t="shared" si="3"/>
        <v/>
      </c>
    </row>
    <row r="1192" ht="15.75" customHeight="1">
      <c r="A1192" s="32" t="s">
        <v>113</v>
      </c>
      <c r="B1192" s="32" t="str">
        <f>IF(MOV_CC_NACIONAL!A1192="","",MOV_CC_NACIONAL!A1192)</f>
        <v/>
      </c>
      <c r="C1192" s="32" t="str">
        <f>IF(MOV_CC_NACIONAL!B1192="","",MOV_CC_NACIONAL!B1192)</f>
        <v/>
      </c>
      <c r="D1192" s="33" t="str">
        <f>IF(MOV_CC_NACIONAL!C1192="","",MOV_CC_NACIONAL!C1192)</f>
        <v/>
      </c>
      <c r="E1192" s="32" t="str">
        <f t="shared" si="1"/>
        <v/>
      </c>
      <c r="F1192" s="32" t="str">
        <f>IFERROR(__xludf.DUMMYFUNCTION("IF(C1192="""","""", OR(REGEXMATCH(LOWER(C1192),""cuota""), REGEXMATCH(C1192,""\d+\s*/\s*\d+"")))"),"")</f>
        <v/>
      </c>
      <c r="G1192" s="32" t="str">
        <f>IFERROR(__xludf.DUMMYFUNCTION("IFERROR(VALUE(REGEXEXTRACT(C1192,""(\d+)\s*/\s*\d+"")),"""")"),"")</f>
        <v/>
      </c>
      <c r="H1192" s="32" t="str">
        <f>IFERROR(__xludf.DUMMYFUNCTION("IFERROR(VALUE(REGEXEXTRACT(C1192,""\d+\s*/\s*(\d+)"")),"""")"),"")</f>
        <v/>
      </c>
      <c r="I1192" s="32" t="str">
        <f t="shared" si="2"/>
        <v/>
      </c>
      <c r="J1192" s="33" t="str">
        <f t="shared" si="3"/>
        <v/>
      </c>
    </row>
    <row r="1193" ht="15.75" customHeight="1">
      <c r="A1193" s="22" t="s">
        <v>113</v>
      </c>
      <c r="B1193" s="22" t="str">
        <f>IF(MOV_CC_NACIONAL!A1193="","",MOV_CC_NACIONAL!A1193)</f>
        <v/>
      </c>
      <c r="C1193" s="22" t="str">
        <f>IF(MOV_CC_NACIONAL!B1193="","",MOV_CC_NACIONAL!B1193)</f>
        <v/>
      </c>
      <c r="D1193" s="34" t="str">
        <f>IF(MOV_CC_NACIONAL!C1193="","",MOV_CC_NACIONAL!C1193)</f>
        <v/>
      </c>
      <c r="E1193" s="22" t="str">
        <f t="shared" si="1"/>
        <v/>
      </c>
      <c r="F1193" s="22" t="str">
        <f>IFERROR(__xludf.DUMMYFUNCTION("IF(C1193="""","""", OR(REGEXMATCH(LOWER(C1193),""cuota""), REGEXMATCH(C1193,""\d+\s*/\s*\d+"")))"),"")</f>
        <v/>
      </c>
      <c r="G1193" s="22" t="str">
        <f>IFERROR(__xludf.DUMMYFUNCTION("IFERROR(VALUE(REGEXEXTRACT(C1193,""(\d+)\s*/\s*\d+"")),"""")"),"")</f>
        <v/>
      </c>
      <c r="H1193" s="22" t="str">
        <f>IFERROR(__xludf.DUMMYFUNCTION("IFERROR(VALUE(REGEXEXTRACT(C1193,""\d+\s*/\s*(\d+)"")),"""")"),"")</f>
        <v/>
      </c>
      <c r="I1193" s="22" t="str">
        <f t="shared" si="2"/>
        <v/>
      </c>
      <c r="J1193" s="34" t="str">
        <f t="shared" si="3"/>
        <v/>
      </c>
    </row>
    <row r="1194" ht="15.75" customHeight="1">
      <c r="A1194" s="32" t="s">
        <v>113</v>
      </c>
      <c r="B1194" s="32" t="str">
        <f>IF(MOV_CC_NACIONAL!A1194="","",MOV_CC_NACIONAL!A1194)</f>
        <v/>
      </c>
      <c r="C1194" s="32" t="str">
        <f>IF(MOV_CC_NACIONAL!B1194="","",MOV_CC_NACIONAL!B1194)</f>
        <v/>
      </c>
      <c r="D1194" s="33" t="str">
        <f>IF(MOV_CC_NACIONAL!C1194="","",MOV_CC_NACIONAL!C1194)</f>
        <v/>
      </c>
      <c r="E1194" s="32" t="str">
        <f t="shared" si="1"/>
        <v/>
      </c>
      <c r="F1194" s="32" t="str">
        <f>IFERROR(__xludf.DUMMYFUNCTION("IF(C1194="""","""", OR(REGEXMATCH(LOWER(C1194),""cuota""), REGEXMATCH(C1194,""\d+\s*/\s*\d+"")))"),"")</f>
        <v/>
      </c>
      <c r="G1194" s="32" t="str">
        <f>IFERROR(__xludf.DUMMYFUNCTION("IFERROR(VALUE(REGEXEXTRACT(C1194,""(\d+)\s*/\s*\d+"")),"""")"),"")</f>
        <v/>
      </c>
      <c r="H1194" s="32" t="str">
        <f>IFERROR(__xludf.DUMMYFUNCTION("IFERROR(VALUE(REGEXEXTRACT(C1194,""\d+\s*/\s*(\d+)"")),"""")"),"")</f>
        <v/>
      </c>
      <c r="I1194" s="32" t="str">
        <f t="shared" si="2"/>
        <v/>
      </c>
      <c r="J1194" s="33" t="str">
        <f t="shared" si="3"/>
        <v/>
      </c>
    </row>
    <row r="1195" ht="15.75" customHeight="1">
      <c r="A1195" s="22" t="s">
        <v>113</v>
      </c>
      <c r="B1195" s="22" t="str">
        <f>IF(MOV_CC_NACIONAL!A1195="","",MOV_CC_NACIONAL!A1195)</f>
        <v/>
      </c>
      <c r="C1195" s="22" t="str">
        <f>IF(MOV_CC_NACIONAL!B1195="","",MOV_CC_NACIONAL!B1195)</f>
        <v/>
      </c>
      <c r="D1195" s="34" t="str">
        <f>IF(MOV_CC_NACIONAL!C1195="","",MOV_CC_NACIONAL!C1195)</f>
        <v/>
      </c>
      <c r="E1195" s="22" t="str">
        <f t="shared" si="1"/>
        <v/>
      </c>
      <c r="F1195" s="22" t="str">
        <f>IFERROR(__xludf.DUMMYFUNCTION("IF(C1195="""","""", OR(REGEXMATCH(LOWER(C1195),""cuota""), REGEXMATCH(C1195,""\d+\s*/\s*\d+"")))"),"")</f>
        <v/>
      </c>
      <c r="G1195" s="22" t="str">
        <f>IFERROR(__xludf.DUMMYFUNCTION("IFERROR(VALUE(REGEXEXTRACT(C1195,""(\d+)\s*/\s*\d+"")),"""")"),"")</f>
        <v/>
      </c>
      <c r="H1195" s="22" t="str">
        <f>IFERROR(__xludf.DUMMYFUNCTION("IFERROR(VALUE(REGEXEXTRACT(C1195,""\d+\s*/\s*(\d+)"")),"""")"),"")</f>
        <v/>
      </c>
      <c r="I1195" s="22" t="str">
        <f t="shared" si="2"/>
        <v/>
      </c>
      <c r="J1195" s="34" t="str">
        <f t="shared" si="3"/>
        <v/>
      </c>
    </row>
    <row r="1196" ht="15.75" customHeight="1">
      <c r="A1196" s="32" t="s">
        <v>113</v>
      </c>
      <c r="B1196" s="32" t="str">
        <f>IF(MOV_CC_NACIONAL!A1196="","",MOV_CC_NACIONAL!A1196)</f>
        <v/>
      </c>
      <c r="C1196" s="32" t="str">
        <f>IF(MOV_CC_NACIONAL!B1196="","",MOV_CC_NACIONAL!B1196)</f>
        <v/>
      </c>
      <c r="D1196" s="33" t="str">
        <f>IF(MOV_CC_NACIONAL!C1196="","",MOV_CC_NACIONAL!C1196)</f>
        <v/>
      </c>
      <c r="E1196" s="32" t="str">
        <f t="shared" si="1"/>
        <v/>
      </c>
      <c r="F1196" s="32" t="str">
        <f>IFERROR(__xludf.DUMMYFUNCTION("IF(C1196="""","""", OR(REGEXMATCH(LOWER(C1196),""cuota""), REGEXMATCH(C1196,""\d+\s*/\s*\d+"")))"),"")</f>
        <v/>
      </c>
      <c r="G1196" s="32" t="str">
        <f>IFERROR(__xludf.DUMMYFUNCTION("IFERROR(VALUE(REGEXEXTRACT(C1196,""(\d+)\s*/\s*\d+"")),"""")"),"")</f>
        <v/>
      </c>
      <c r="H1196" s="32" t="str">
        <f>IFERROR(__xludf.DUMMYFUNCTION("IFERROR(VALUE(REGEXEXTRACT(C1196,""\d+\s*/\s*(\d+)"")),"""")"),"")</f>
        <v/>
      </c>
      <c r="I1196" s="32" t="str">
        <f t="shared" si="2"/>
        <v/>
      </c>
      <c r="J1196" s="33" t="str">
        <f t="shared" si="3"/>
        <v/>
      </c>
    </row>
    <row r="1197" ht="15.75" customHeight="1">
      <c r="A1197" s="22" t="s">
        <v>113</v>
      </c>
      <c r="B1197" s="22" t="str">
        <f>IF(MOV_CC_NACIONAL!A1197="","",MOV_CC_NACIONAL!A1197)</f>
        <v/>
      </c>
      <c r="C1197" s="22" t="str">
        <f>IF(MOV_CC_NACIONAL!B1197="","",MOV_CC_NACIONAL!B1197)</f>
        <v/>
      </c>
      <c r="D1197" s="34" t="str">
        <f>IF(MOV_CC_NACIONAL!C1197="","",MOV_CC_NACIONAL!C1197)</f>
        <v/>
      </c>
      <c r="E1197" s="22" t="str">
        <f t="shared" si="1"/>
        <v/>
      </c>
      <c r="F1197" s="22" t="str">
        <f>IFERROR(__xludf.DUMMYFUNCTION("IF(C1197="""","""", OR(REGEXMATCH(LOWER(C1197),""cuota""), REGEXMATCH(C1197,""\d+\s*/\s*\d+"")))"),"")</f>
        <v/>
      </c>
      <c r="G1197" s="22" t="str">
        <f>IFERROR(__xludf.DUMMYFUNCTION("IFERROR(VALUE(REGEXEXTRACT(C1197,""(\d+)\s*/\s*\d+"")),"""")"),"")</f>
        <v/>
      </c>
      <c r="H1197" s="22" t="str">
        <f>IFERROR(__xludf.DUMMYFUNCTION("IFERROR(VALUE(REGEXEXTRACT(C1197,""\d+\s*/\s*(\d+)"")),"""")"),"")</f>
        <v/>
      </c>
      <c r="I1197" s="22" t="str">
        <f t="shared" si="2"/>
        <v/>
      </c>
      <c r="J1197" s="34" t="str">
        <f t="shared" si="3"/>
        <v/>
      </c>
    </row>
    <row r="1198" ht="15.75" customHeight="1">
      <c r="A1198" s="32" t="s">
        <v>113</v>
      </c>
      <c r="B1198" s="32" t="str">
        <f>IF(MOV_CC_NACIONAL!A1198="","",MOV_CC_NACIONAL!A1198)</f>
        <v/>
      </c>
      <c r="C1198" s="32" t="str">
        <f>IF(MOV_CC_NACIONAL!B1198="","",MOV_CC_NACIONAL!B1198)</f>
        <v/>
      </c>
      <c r="D1198" s="33" t="str">
        <f>IF(MOV_CC_NACIONAL!C1198="","",MOV_CC_NACIONAL!C1198)</f>
        <v/>
      </c>
      <c r="E1198" s="32" t="str">
        <f t="shared" si="1"/>
        <v/>
      </c>
      <c r="F1198" s="32" t="str">
        <f>IFERROR(__xludf.DUMMYFUNCTION("IF(C1198="""","""", OR(REGEXMATCH(LOWER(C1198),""cuota""), REGEXMATCH(C1198,""\d+\s*/\s*\d+"")))"),"")</f>
        <v/>
      </c>
      <c r="G1198" s="32" t="str">
        <f>IFERROR(__xludf.DUMMYFUNCTION("IFERROR(VALUE(REGEXEXTRACT(C1198,""(\d+)\s*/\s*\d+"")),"""")"),"")</f>
        <v/>
      </c>
      <c r="H1198" s="32" t="str">
        <f>IFERROR(__xludf.DUMMYFUNCTION("IFERROR(VALUE(REGEXEXTRACT(C1198,""\d+\s*/\s*(\d+)"")),"""")"),"")</f>
        <v/>
      </c>
      <c r="I1198" s="32" t="str">
        <f t="shared" si="2"/>
        <v/>
      </c>
      <c r="J1198" s="33" t="str">
        <f t="shared" si="3"/>
        <v/>
      </c>
    </row>
    <row r="1199" ht="15.75" customHeight="1">
      <c r="A1199" s="22" t="s">
        <v>113</v>
      </c>
      <c r="B1199" s="22" t="str">
        <f>IF(MOV_CC_NACIONAL!A1199="","",MOV_CC_NACIONAL!A1199)</f>
        <v/>
      </c>
      <c r="C1199" s="22" t="str">
        <f>IF(MOV_CC_NACIONAL!B1199="","",MOV_CC_NACIONAL!B1199)</f>
        <v/>
      </c>
      <c r="D1199" s="34" t="str">
        <f>IF(MOV_CC_NACIONAL!C1199="","",MOV_CC_NACIONAL!C1199)</f>
        <v/>
      </c>
      <c r="E1199" s="22" t="str">
        <f t="shared" si="1"/>
        <v/>
      </c>
      <c r="F1199" s="22" t="str">
        <f>IFERROR(__xludf.DUMMYFUNCTION("IF(C1199="""","""", OR(REGEXMATCH(LOWER(C1199),""cuota""), REGEXMATCH(C1199,""\d+\s*/\s*\d+"")))"),"")</f>
        <v/>
      </c>
      <c r="G1199" s="22" t="str">
        <f>IFERROR(__xludf.DUMMYFUNCTION("IFERROR(VALUE(REGEXEXTRACT(C1199,""(\d+)\s*/\s*\d+"")),"""")"),"")</f>
        <v/>
      </c>
      <c r="H1199" s="22" t="str">
        <f>IFERROR(__xludf.DUMMYFUNCTION("IFERROR(VALUE(REGEXEXTRACT(C1199,""\d+\s*/\s*(\d+)"")),"""")"),"")</f>
        <v/>
      </c>
      <c r="I1199" s="22" t="str">
        <f t="shared" si="2"/>
        <v/>
      </c>
      <c r="J1199" s="34" t="str">
        <f t="shared" si="3"/>
        <v/>
      </c>
    </row>
    <row r="1200" ht="15.75" customHeight="1">
      <c r="A1200" s="32" t="s">
        <v>113</v>
      </c>
      <c r="B1200" s="32" t="str">
        <f>IF(MOV_CC_NACIONAL!A1200="","",MOV_CC_NACIONAL!A1200)</f>
        <v/>
      </c>
      <c r="C1200" s="32" t="str">
        <f>IF(MOV_CC_NACIONAL!B1200="","",MOV_CC_NACIONAL!B1200)</f>
        <v/>
      </c>
      <c r="D1200" s="33" t="str">
        <f>IF(MOV_CC_NACIONAL!C1200="","",MOV_CC_NACIONAL!C1200)</f>
        <v/>
      </c>
      <c r="E1200" s="32" t="str">
        <f t="shared" si="1"/>
        <v/>
      </c>
      <c r="F1200" s="32" t="str">
        <f>IFERROR(__xludf.DUMMYFUNCTION("IF(C1200="""","""", OR(REGEXMATCH(LOWER(C1200),""cuota""), REGEXMATCH(C1200,""\d+\s*/\s*\d+"")))"),"")</f>
        <v/>
      </c>
      <c r="G1200" s="32" t="str">
        <f>IFERROR(__xludf.DUMMYFUNCTION("IFERROR(VALUE(REGEXEXTRACT(C1200,""(\d+)\s*/\s*\d+"")),"""")"),"")</f>
        <v/>
      </c>
      <c r="H1200" s="32" t="str">
        <f>IFERROR(__xludf.DUMMYFUNCTION("IFERROR(VALUE(REGEXEXTRACT(C1200,""\d+\s*/\s*(\d+)"")),"""")"),"")</f>
        <v/>
      </c>
      <c r="I1200" s="32" t="str">
        <f t="shared" si="2"/>
        <v/>
      </c>
      <c r="J1200" s="33" t="str">
        <f t="shared" si="3"/>
        <v/>
      </c>
    </row>
    <row r="1201" ht="15.75" customHeight="1">
      <c r="A1201" s="22" t="s">
        <v>113</v>
      </c>
      <c r="B1201" s="22" t="str">
        <f>IF(MOV_CC_NACIONAL!A1201="","",MOV_CC_NACIONAL!A1201)</f>
        <v/>
      </c>
      <c r="C1201" s="22" t="str">
        <f>IF(MOV_CC_NACIONAL!B1201="","",MOV_CC_NACIONAL!B1201)</f>
        <v/>
      </c>
      <c r="D1201" s="34" t="str">
        <f>IF(MOV_CC_NACIONAL!C1201="","",MOV_CC_NACIONAL!C1201)</f>
        <v/>
      </c>
      <c r="E1201" s="22" t="str">
        <f t="shared" si="1"/>
        <v/>
      </c>
      <c r="F1201" s="22" t="str">
        <f>IFERROR(__xludf.DUMMYFUNCTION("IF(C1201="""","""", OR(REGEXMATCH(LOWER(C1201),""cuota""), REGEXMATCH(C1201,""\d+\s*/\s*\d+"")))"),"")</f>
        <v/>
      </c>
      <c r="G1201" s="22" t="str">
        <f>IFERROR(__xludf.DUMMYFUNCTION("IFERROR(VALUE(REGEXEXTRACT(C1201,""(\d+)\s*/\s*\d+"")),"""")"),"")</f>
        <v/>
      </c>
      <c r="H1201" s="22" t="str">
        <f>IFERROR(__xludf.DUMMYFUNCTION("IFERROR(VALUE(REGEXEXTRACT(C1201,""\d+\s*/\s*(\d+)"")),"""")"),"")</f>
        <v/>
      </c>
      <c r="I1201" s="22" t="str">
        <f t="shared" si="2"/>
        <v/>
      </c>
      <c r="J1201" s="34" t="str">
        <f t="shared" si="3"/>
        <v/>
      </c>
    </row>
    <row r="1202" ht="15.75" customHeight="1">
      <c r="A1202" s="32" t="s">
        <v>113</v>
      </c>
      <c r="B1202" s="32" t="str">
        <f>IF(MOV_CC_NACIONAL!A1202="","",MOV_CC_NACIONAL!A1202)</f>
        <v/>
      </c>
      <c r="C1202" s="32" t="str">
        <f>IF(MOV_CC_NACIONAL!B1202="","",MOV_CC_NACIONAL!B1202)</f>
        <v/>
      </c>
      <c r="D1202" s="33" t="str">
        <f>IF(MOV_CC_NACIONAL!C1202="","",MOV_CC_NACIONAL!C1202)</f>
        <v/>
      </c>
      <c r="E1202" s="32" t="str">
        <f t="shared" si="1"/>
        <v/>
      </c>
      <c r="F1202" s="32" t="str">
        <f>IFERROR(__xludf.DUMMYFUNCTION("IF(C1202="""","""", OR(REGEXMATCH(LOWER(C1202),""cuota""), REGEXMATCH(C1202,""\d+\s*/\s*\d+"")))"),"")</f>
        <v/>
      </c>
      <c r="G1202" s="32" t="str">
        <f>IFERROR(__xludf.DUMMYFUNCTION("IFERROR(VALUE(REGEXEXTRACT(C1202,""(\d+)\s*/\s*\d+"")),"""")"),"")</f>
        <v/>
      </c>
      <c r="H1202" s="32" t="str">
        <f>IFERROR(__xludf.DUMMYFUNCTION("IFERROR(VALUE(REGEXEXTRACT(C1202,""\d+\s*/\s*(\d+)"")),"""")"),"")</f>
        <v/>
      </c>
      <c r="I1202" s="32" t="str">
        <f t="shared" si="2"/>
        <v/>
      </c>
      <c r="J1202" s="33" t="str">
        <f t="shared" si="3"/>
        <v/>
      </c>
    </row>
    <row r="1203" ht="15.75" customHeight="1">
      <c r="A1203" s="22" t="s">
        <v>113</v>
      </c>
      <c r="B1203" s="22" t="str">
        <f>IF(MOV_CC_NACIONAL!A1203="","",MOV_CC_NACIONAL!A1203)</f>
        <v/>
      </c>
      <c r="C1203" s="22" t="str">
        <f>IF(MOV_CC_NACIONAL!B1203="","",MOV_CC_NACIONAL!B1203)</f>
        <v/>
      </c>
      <c r="D1203" s="34" t="str">
        <f>IF(MOV_CC_NACIONAL!C1203="","",MOV_CC_NACIONAL!C1203)</f>
        <v/>
      </c>
      <c r="E1203" s="22" t="str">
        <f t="shared" si="1"/>
        <v/>
      </c>
      <c r="F1203" s="22" t="str">
        <f>IFERROR(__xludf.DUMMYFUNCTION("IF(C1203="""","""", OR(REGEXMATCH(LOWER(C1203),""cuota""), REGEXMATCH(C1203,""\d+\s*/\s*\d+"")))"),"")</f>
        <v/>
      </c>
      <c r="G1203" s="22" t="str">
        <f>IFERROR(__xludf.DUMMYFUNCTION("IFERROR(VALUE(REGEXEXTRACT(C1203,""(\d+)\s*/\s*\d+"")),"""")"),"")</f>
        <v/>
      </c>
      <c r="H1203" s="22" t="str">
        <f>IFERROR(__xludf.DUMMYFUNCTION("IFERROR(VALUE(REGEXEXTRACT(C1203,""\d+\s*/\s*(\d+)"")),"""")"),"")</f>
        <v/>
      </c>
      <c r="I1203" s="22" t="str">
        <f t="shared" si="2"/>
        <v/>
      </c>
      <c r="J1203" s="34" t="str">
        <f t="shared" si="3"/>
        <v/>
      </c>
    </row>
    <row r="1204" ht="15.75" customHeight="1">
      <c r="A1204" s="32" t="s">
        <v>113</v>
      </c>
      <c r="B1204" s="32" t="str">
        <f>IF(MOV_CC_NACIONAL!A1204="","",MOV_CC_NACIONAL!A1204)</f>
        <v/>
      </c>
      <c r="C1204" s="32" t="str">
        <f>IF(MOV_CC_NACIONAL!B1204="","",MOV_CC_NACIONAL!B1204)</f>
        <v/>
      </c>
      <c r="D1204" s="33" t="str">
        <f>IF(MOV_CC_NACIONAL!C1204="","",MOV_CC_NACIONAL!C1204)</f>
        <v/>
      </c>
      <c r="E1204" s="32" t="str">
        <f t="shared" si="1"/>
        <v/>
      </c>
      <c r="F1204" s="32" t="str">
        <f>IFERROR(__xludf.DUMMYFUNCTION("IF(C1204="""","""", OR(REGEXMATCH(LOWER(C1204),""cuota""), REGEXMATCH(C1204,""\d+\s*/\s*\d+"")))"),"")</f>
        <v/>
      </c>
      <c r="G1204" s="32" t="str">
        <f>IFERROR(__xludf.DUMMYFUNCTION("IFERROR(VALUE(REGEXEXTRACT(C1204,""(\d+)\s*/\s*\d+"")),"""")"),"")</f>
        <v/>
      </c>
      <c r="H1204" s="32" t="str">
        <f>IFERROR(__xludf.DUMMYFUNCTION("IFERROR(VALUE(REGEXEXTRACT(C1204,""\d+\s*/\s*(\d+)"")),"""")"),"")</f>
        <v/>
      </c>
      <c r="I1204" s="32" t="str">
        <f t="shared" si="2"/>
        <v/>
      </c>
      <c r="J1204" s="33" t="str">
        <f t="shared" si="3"/>
        <v/>
      </c>
    </row>
    <row r="1205" ht="15.75" customHeight="1">
      <c r="A1205" s="22" t="s">
        <v>113</v>
      </c>
      <c r="B1205" s="22" t="str">
        <f>IF(MOV_CC_NACIONAL!A1205="","",MOV_CC_NACIONAL!A1205)</f>
        <v/>
      </c>
      <c r="C1205" s="22" t="str">
        <f>IF(MOV_CC_NACIONAL!B1205="","",MOV_CC_NACIONAL!B1205)</f>
        <v/>
      </c>
      <c r="D1205" s="34" t="str">
        <f>IF(MOV_CC_NACIONAL!C1205="","",MOV_CC_NACIONAL!C1205)</f>
        <v/>
      </c>
      <c r="E1205" s="22" t="str">
        <f t="shared" si="1"/>
        <v/>
      </c>
      <c r="F1205" s="22" t="str">
        <f>IFERROR(__xludf.DUMMYFUNCTION("IF(C1205="""","""", OR(REGEXMATCH(LOWER(C1205),""cuota""), REGEXMATCH(C1205,""\d+\s*/\s*\d+"")))"),"")</f>
        <v/>
      </c>
      <c r="G1205" s="22" t="str">
        <f>IFERROR(__xludf.DUMMYFUNCTION("IFERROR(VALUE(REGEXEXTRACT(C1205,""(\d+)\s*/\s*\d+"")),"""")"),"")</f>
        <v/>
      </c>
      <c r="H1205" s="22" t="str">
        <f>IFERROR(__xludf.DUMMYFUNCTION("IFERROR(VALUE(REGEXEXTRACT(C1205,""\d+\s*/\s*(\d+)"")),"""")"),"")</f>
        <v/>
      </c>
      <c r="I1205" s="22" t="str">
        <f t="shared" si="2"/>
        <v/>
      </c>
      <c r="J1205" s="34" t="str">
        <f t="shared" si="3"/>
        <v/>
      </c>
    </row>
    <row r="1206" ht="15.75" customHeight="1">
      <c r="A1206" s="32" t="s">
        <v>113</v>
      </c>
      <c r="B1206" s="32" t="str">
        <f>IF(MOV_CC_NACIONAL!A1206="","",MOV_CC_NACIONAL!A1206)</f>
        <v/>
      </c>
      <c r="C1206" s="32" t="str">
        <f>IF(MOV_CC_NACIONAL!B1206="","",MOV_CC_NACIONAL!B1206)</f>
        <v/>
      </c>
      <c r="D1206" s="33" t="str">
        <f>IF(MOV_CC_NACIONAL!C1206="","",MOV_CC_NACIONAL!C1206)</f>
        <v/>
      </c>
      <c r="E1206" s="32" t="str">
        <f t="shared" si="1"/>
        <v/>
      </c>
      <c r="F1206" s="32" t="str">
        <f>IFERROR(__xludf.DUMMYFUNCTION("IF(C1206="""","""", OR(REGEXMATCH(LOWER(C1206),""cuota""), REGEXMATCH(C1206,""\d+\s*/\s*\d+"")))"),"")</f>
        <v/>
      </c>
      <c r="G1206" s="32" t="str">
        <f>IFERROR(__xludf.DUMMYFUNCTION("IFERROR(VALUE(REGEXEXTRACT(C1206,""(\d+)\s*/\s*\d+"")),"""")"),"")</f>
        <v/>
      </c>
      <c r="H1206" s="32" t="str">
        <f>IFERROR(__xludf.DUMMYFUNCTION("IFERROR(VALUE(REGEXEXTRACT(C1206,""\d+\s*/\s*(\d+)"")),"""")"),"")</f>
        <v/>
      </c>
      <c r="I1206" s="32" t="str">
        <f t="shared" si="2"/>
        <v/>
      </c>
      <c r="J1206" s="33" t="str">
        <f t="shared" si="3"/>
        <v/>
      </c>
    </row>
    <row r="1207" ht="15.75" customHeight="1">
      <c r="A1207" s="22" t="s">
        <v>113</v>
      </c>
      <c r="B1207" s="22" t="str">
        <f>IF(MOV_CC_NACIONAL!A1207="","",MOV_CC_NACIONAL!A1207)</f>
        <v/>
      </c>
      <c r="C1207" s="22" t="str">
        <f>IF(MOV_CC_NACIONAL!B1207="","",MOV_CC_NACIONAL!B1207)</f>
        <v/>
      </c>
      <c r="D1207" s="34" t="str">
        <f>IF(MOV_CC_NACIONAL!C1207="","",MOV_CC_NACIONAL!C1207)</f>
        <v/>
      </c>
      <c r="E1207" s="22" t="str">
        <f t="shared" si="1"/>
        <v/>
      </c>
      <c r="F1207" s="22" t="str">
        <f>IFERROR(__xludf.DUMMYFUNCTION("IF(C1207="""","""", OR(REGEXMATCH(LOWER(C1207),""cuota""), REGEXMATCH(C1207,""\d+\s*/\s*\d+"")))"),"")</f>
        <v/>
      </c>
      <c r="G1207" s="22" t="str">
        <f>IFERROR(__xludf.DUMMYFUNCTION("IFERROR(VALUE(REGEXEXTRACT(C1207,""(\d+)\s*/\s*\d+"")),"""")"),"")</f>
        <v/>
      </c>
      <c r="H1207" s="22" t="str">
        <f>IFERROR(__xludf.DUMMYFUNCTION("IFERROR(VALUE(REGEXEXTRACT(C1207,""\d+\s*/\s*(\d+)"")),"""")"),"")</f>
        <v/>
      </c>
      <c r="I1207" s="22" t="str">
        <f t="shared" si="2"/>
        <v/>
      </c>
      <c r="J1207" s="34" t="str">
        <f t="shared" si="3"/>
        <v/>
      </c>
    </row>
    <row r="1208" ht="15.75" customHeight="1">
      <c r="A1208" s="32" t="s">
        <v>113</v>
      </c>
      <c r="B1208" s="32" t="str">
        <f>IF(MOV_CC_NACIONAL!A1208="","",MOV_CC_NACIONAL!A1208)</f>
        <v/>
      </c>
      <c r="C1208" s="32" t="str">
        <f>IF(MOV_CC_NACIONAL!B1208="","",MOV_CC_NACIONAL!B1208)</f>
        <v/>
      </c>
      <c r="D1208" s="33" t="str">
        <f>IF(MOV_CC_NACIONAL!C1208="","",MOV_CC_NACIONAL!C1208)</f>
        <v/>
      </c>
      <c r="E1208" s="32" t="str">
        <f t="shared" si="1"/>
        <v/>
      </c>
      <c r="F1208" s="32" t="str">
        <f>IFERROR(__xludf.DUMMYFUNCTION("IF(C1208="""","""", OR(REGEXMATCH(LOWER(C1208),""cuota""), REGEXMATCH(C1208,""\d+\s*/\s*\d+"")))"),"")</f>
        <v/>
      </c>
      <c r="G1208" s="32" t="str">
        <f>IFERROR(__xludf.DUMMYFUNCTION("IFERROR(VALUE(REGEXEXTRACT(C1208,""(\d+)\s*/\s*\d+"")),"""")"),"")</f>
        <v/>
      </c>
      <c r="H1208" s="32" t="str">
        <f>IFERROR(__xludf.DUMMYFUNCTION("IFERROR(VALUE(REGEXEXTRACT(C1208,""\d+\s*/\s*(\d+)"")),"""")"),"")</f>
        <v/>
      </c>
      <c r="I1208" s="32" t="str">
        <f t="shared" si="2"/>
        <v/>
      </c>
      <c r="J1208" s="33" t="str">
        <f t="shared" si="3"/>
        <v/>
      </c>
    </row>
    <row r="1209" ht="15.75" customHeight="1">
      <c r="A1209" s="22" t="s">
        <v>113</v>
      </c>
      <c r="B1209" s="22" t="str">
        <f>IF(MOV_CC_NACIONAL!A1209="","",MOV_CC_NACIONAL!A1209)</f>
        <v/>
      </c>
      <c r="C1209" s="22" t="str">
        <f>IF(MOV_CC_NACIONAL!B1209="","",MOV_CC_NACIONAL!B1209)</f>
        <v/>
      </c>
      <c r="D1209" s="34" t="str">
        <f>IF(MOV_CC_NACIONAL!C1209="","",MOV_CC_NACIONAL!C1209)</f>
        <v/>
      </c>
      <c r="E1209" s="22" t="str">
        <f t="shared" si="1"/>
        <v/>
      </c>
      <c r="F1209" s="22" t="str">
        <f>IFERROR(__xludf.DUMMYFUNCTION("IF(C1209="""","""", OR(REGEXMATCH(LOWER(C1209),""cuota""), REGEXMATCH(C1209,""\d+\s*/\s*\d+"")))"),"")</f>
        <v/>
      </c>
      <c r="G1209" s="22" t="str">
        <f>IFERROR(__xludf.DUMMYFUNCTION("IFERROR(VALUE(REGEXEXTRACT(C1209,""(\d+)\s*/\s*\d+"")),"""")"),"")</f>
        <v/>
      </c>
      <c r="H1209" s="22" t="str">
        <f>IFERROR(__xludf.DUMMYFUNCTION("IFERROR(VALUE(REGEXEXTRACT(C1209,""\d+\s*/\s*(\d+)"")),"""")"),"")</f>
        <v/>
      </c>
      <c r="I1209" s="22" t="str">
        <f t="shared" si="2"/>
        <v/>
      </c>
      <c r="J1209" s="34" t="str">
        <f t="shared" si="3"/>
        <v/>
      </c>
    </row>
    <row r="1210" ht="15.75" customHeight="1">
      <c r="A1210" s="32" t="s">
        <v>113</v>
      </c>
      <c r="B1210" s="32" t="str">
        <f>IF(MOV_CC_NACIONAL!A1210="","",MOV_CC_NACIONAL!A1210)</f>
        <v/>
      </c>
      <c r="C1210" s="32" t="str">
        <f>IF(MOV_CC_NACIONAL!B1210="","",MOV_CC_NACIONAL!B1210)</f>
        <v/>
      </c>
      <c r="D1210" s="33" t="str">
        <f>IF(MOV_CC_NACIONAL!C1210="","",MOV_CC_NACIONAL!C1210)</f>
        <v/>
      </c>
      <c r="E1210" s="32" t="str">
        <f t="shared" si="1"/>
        <v/>
      </c>
      <c r="F1210" s="32" t="str">
        <f>IFERROR(__xludf.DUMMYFUNCTION("IF(C1210="""","""", OR(REGEXMATCH(LOWER(C1210),""cuota""), REGEXMATCH(C1210,""\d+\s*/\s*\d+"")))"),"")</f>
        <v/>
      </c>
      <c r="G1210" s="32" t="str">
        <f>IFERROR(__xludf.DUMMYFUNCTION("IFERROR(VALUE(REGEXEXTRACT(C1210,""(\d+)\s*/\s*\d+"")),"""")"),"")</f>
        <v/>
      </c>
      <c r="H1210" s="32" t="str">
        <f>IFERROR(__xludf.DUMMYFUNCTION("IFERROR(VALUE(REGEXEXTRACT(C1210,""\d+\s*/\s*(\d+)"")),"""")"),"")</f>
        <v/>
      </c>
      <c r="I1210" s="32" t="str">
        <f t="shared" si="2"/>
        <v/>
      </c>
      <c r="J1210" s="33" t="str">
        <f t="shared" si="3"/>
        <v/>
      </c>
    </row>
    <row r="1211" ht="15.75" customHeight="1">
      <c r="A1211" s="22" t="s">
        <v>113</v>
      </c>
      <c r="B1211" s="22" t="str">
        <f>IF(MOV_CC_NACIONAL!A1211="","",MOV_CC_NACIONAL!A1211)</f>
        <v/>
      </c>
      <c r="C1211" s="22" t="str">
        <f>IF(MOV_CC_NACIONAL!B1211="","",MOV_CC_NACIONAL!B1211)</f>
        <v/>
      </c>
      <c r="D1211" s="34" t="str">
        <f>IF(MOV_CC_NACIONAL!C1211="","",MOV_CC_NACIONAL!C1211)</f>
        <v/>
      </c>
      <c r="E1211" s="22" t="str">
        <f t="shared" si="1"/>
        <v/>
      </c>
      <c r="F1211" s="22" t="str">
        <f>IFERROR(__xludf.DUMMYFUNCTION("IF(C1211="""","""", OR(REGEXMATCH(LOWER(C1211),""cuota""), REGEXMATCH(C1211,""\d+\s*/\s*\d+"")))"),"")</f>
        <v/>
      </c>
      <c r="G1211" s="22" t="str">
        <f>IFERROR(__xludf.DUMMYFUNCTION("IFERROR(VALUE(REGEXEXTRACT(C1211,""(\d+)\s*/\s*\d+"")),"""")"),"")</f>
        <v/>
      </c>
      <c r="H1211" s="22" t="str">
        <f>IFERROR(__xludf.DUMMYFUNCTION("IFERROR(VALUE(REGEXEXTRACT(C1211,""\d+\s*/\s*(\d+)"")),"""")"),"")</f>
        <v/>
      </c>
      <c r="I1211" s="22" t="str">
        <f t="shared" si="2"/>
        <v/>
      </c>
      <c r="J1211" s="34" t="str">
        <f t="shared" si="3"/>
        <v/>
      </c>
    </row>
    <row r="1212" ht="15.75" customHeight="1">
      <c r="A1212" s="32" t="s">
        <v>113</v>
      </c>
      <c r="B1212" s="32" t="str">
        <f>IF(MOV_CC_NACIONAL!A1212="","",MOV_CC_NACIONAL!A1212)</f>
        <v/>
      </c>
      <c r="C1212" s="32" t="str">
        <f>IF(MOV_CC_NACIONAL!B1212="","",MOV_CC_NACIONAL!B1212)</f>
        <v/>
      </c>
      <c r="D1212" s="33" t="str">
        <f>IF(MOV_CC_NACIONAL!C1212="","",MOV_CC_NACIONAL!C1212)</f>
        <v/>
      </c>
      <c r="E1212" s="32" t="str">
        <f t="shared" si="1"/>
        <v/>
      </c>
      <c r="F1212" s="32" t="str">
        <f>IFERROR(__xludf.DUMMYFUNCTION("IF(C1212="""","""", OR(REGEXMATCH(LOWER(C1212),""cuota""), REGEXMATCH(C1212,""\d+\s*/\s*\d+"")))"),"")</f>
        <v/>
      </c>
      <c r="G1212" s="32" t="str">
        <f>IFERROR(__xludf.DUMMYFUNCTION("IFERROR(VALUE(REGEXEXTRACT(C1212,""(\d+)\s*/\s*\d+"")),"""")"),"")</f>
        <v/>
      </c>
      <c r="H1212" s="32" t="str">
        <f>IFERROR(__xludf.DUMMYFUNCTION("IFERROR(VALUE(REGEXEXTRACT(C1212,""\d+\s*/\s*(\d+)"")),"""")"),"")</f>
        <v/>
      </c>
      <c r="I1212" s="32" t="str">
        <f t="shared" si="2"/>
        <v/>
      </c>
      <c r="J1212" s="33" t="str">
        <f t="shared" si="3"/>
        <v/>
      </c>
    </row>
    <row r="1213" ht="15.75" customHeight="1">
      <c r="A1213" s="22" t="s">
        <v>113</v>
      </c>
      <c r="B1213" s="22" t="str">
        <f>IF(MOV_CC_NACIONAL!A1213="","",MOV_CC_NACIONAL!A1213)</f>
        <v/>
      </c>
      <c r="C1213" s="22" t="str">
        <f>IF(MOV_CC_NACIONAL!B1213="","",MOV_CC_NACIONAL!B1213)</f>
        <v/>
      </c>
      <c r="D1213" s="34" t="str">
        <f>IF(MOV_CC_NACIONAL!C1213="","",MOV_CC_NACIONAL!C1213)</f>
        <v/>
      </c>
      <c r="E1213" s="22" t="str">
        <f t="shared" si="1"/>
        <v/>
      </c>
      <c r="F1213" s="22" t="str">
        <f>IFERROR(__xludf.DUMMYFUNCTION("IF(C1213="""","""", OR(REGEXMATCH(LOWER(C1213),""cuota""), REGEXMATCH(C1213,""\d+\s*/\s*\d+"")))"),"")</f>
        <v/>
      </c>
      <c r="G1213" s="22" t="str">
        <f>IFERROR(__xludf.DUMMYFUNCTION("IFERROR(VALUE(REGEXEXTRACT(C1213,""(\d+)\s*/\s*\d+"")),"""")"),"")</f>
        <v/>
      </c>
      <c r="H1213" s="22" t="str">
        <f>IFERROR(__xludf.DUMMYFUNCTION("IFERROR(VALUE(REGEXEXTRACT(C1213,""\d+\s*/\s*(\d+)"")),"""")"),"")</f>
        <v/>
      </c>
      <c r="I1213" s="22" t="str">
        <f t="shared" si="2"/>
        <v/>
      </c>
      <c r="J1213" s="34" t="str">
        <f t="shared" si="3"/>
        <v/>
      </c>
    </row>
    <row r="1214" ht="15.75" customHeight="1">
      <c r="A1214" s="32" t="s">
        <v>113</v>
      </c>
      <c r="B1214" s="32" t="str">
        <f>IF(MOV_CC_NACIONAL!A1214="","",MOV_CC_NACIONAL!A1214)</f>
        <v/>
      </c>
      <c r="C1214" s="32" t="str">
        <f>IF(MOV_CC_NACIONAL!B1214="","",MOV_CC_NACIONAL!B1214)</f>
        <v/>
      </c>
      <c r="D1214" s="33" t="str">
        <f>IF(MOV_CC_NACIONAL!C1214="","",MOV_CC_NACIONAL!C1214)</f>
        <v/>
      </c>
      <c r="E1214" s="32" t="str">
        <f t="shared" si="1"/>
        <v/>
      </c>
      <c r="F1214" s="32" t="str">
        <f>IFERROR(__xludf.DUMMYFUNCTION("IF(C1214="""","""", OR(REGEXMATCH(LOWER(C1214),""cuota""), REGEXMATCH(C1214,""\d+\s*/\s*\d+"")))"),"")</f>
        <v/>
      </c>
      <c r="G1214" s="32" t="str">
        <f>IFERROR(__xludf.DUMMYFUNCTION("IFERROR(VALUE(REGEXEXTRACT(C1214,""(\d+)\s*/\s*\d+"")),"""")"),"")</f>
        <v/>
      </c>
      <c r="H1214" s="32" t="str">
        <f>IFERROR(__xludf.DUMMYFUNCTION("IFERROR(VALUE(REGEXEXTRACT(C1214,""\d+\s*/\s*(\d+)"")),"""")"),"")</f>
        <v/>
      </c>
      <c r="I1214" s="32" t="str">
        <f t="shared" si="2"/>
        <v/>
      </c>
      <c r="J1214" s="33" t="str">
        <f t="shared" si="3"/>
        <v/>
      </c>
    </row>
    <row r="1215" ht="15.75" customHeight="1">
      <c r="A1215" s="22" t="s">
        <v>113</v>
      </c>
      <c r="B1215" s="22" t="str">
        <f>IF(MOV_CC_NACIONAL!A1215="","",MOV_CC_NACIONAL!A1215)</f>
        <v/>
      </c>
      <c r="C1215" s="22" t="str">
        <f>IF(MOV_CC_NACIONAL!B1215="","",MOV_CC_NACIONAL!B1215)</f>
        <v/>
      </c>
      <c r="D1215" s="34" t="str">
        <f>IF(MOV_CC_NACIONAL!C1215="","",MOV_CC_NACIONAL!C1215)</f>
        <v/>
      </c>
      <c r="E1215" s="22" t="str">
        <f t="shared" si="1"/>
        <v/>
      </c>
      <c r="F1215" s="22" t="str">
        <f>IFERROR(__xludf.DUMMYFUNCTION("IF(C1215="""","""", OR(REGEXMATCH(LOWER(C1215),""cuota""), REGEXMATCH(C1215,""\d+\s*/\s*\d+"")))"),"")</f>
        <v/>
      </c>
      <c r="G1215" s="22" t="str">
        <f>IFERROR(__xludf.DUMMYFUNCTION("IFERROR(VALUE(REGEXEXTRACT(C1215,""(\d+)\s*/\s*\d+"")),"""")"),"")</f>
        <v/>
      </c>
      <c r="H1215" s="22" t="str">
        <f>IFERROR(__xludf.DUMMYFUNCTION("IFERROR(VALUE(REGEXEXTRACT(C1215,""\d+\s*/\s*(\d+)"")),"""")"),"")</f>
        <v/>
      </c>
      <c r="I1215" s="22" t="str">
        <f t="shared" si="2"/>
        <v/>
      </c>
      <c r="J1215" s="34" t="str">
        <f t="shared" si="3"/>
        <v/>
      </c>
    </row>
    <row r="1216" ht="15.75" customHeight="1">
      <c r="A1216" s="32" t="s">
        <v>113</v>
      </c>
      <c r="B1216" s="32" t="str">
        <f>IF(MOV_CC_NACIONAL!A1216="","",MOV_CC_NACIONAL!A1216)</f>
        <v/>
      </c>
      <c r="C1216" s="32" t="str">
        <f>IF(MOV_CC_NACIONAL!B1216="","",MOV_CC_NACIONAL!B1216)</f>
        <v/>
      </c>
      <c r="D1216" s="33" t="str">
        <f>IF(MOV_CC_NACIONAL!C1216="","",MOV_CC_NACIONAL!C1216)</f>
        <v/>
      </c>
      <c r="E1216" s="32" t="str">
        <f t="shared" si="1"/>
        <v/>
      </c>
      <c r="F1216" s="32" t="str">
        <f>IFERROR(__xludf.DUMMYFUNCTION("IF(C1216="""","""", OR(REGEXMATCH(LOWER(C1216),""cuota""), REGEXMATCH(C1216,""\d+\s*/\s*\d+"")))"),"")</f>
        <v/>
      </c>
      <c r="G1216" s="32" t="str">
        <f>IFERROR(__xludf.DUMMYFUNCTION("IFERROR(VALUE(REGEXEXTRACT(C1216,""(\d+)\s*/\s*\d+"")),"""")"),"")</f>
        <v/>
      </c>
      <c r="H1216" s="32" t="str">
        <f>IFERROR(__xludf.DUMMYFUNCTION("IFERROR(VALUE(REGEXEXTRACT(C1216,""\d+\s*/\s*(\d+)"")),"""")"),"")</f>
        <v/>
      </c>
      <c r="I1216" s="32" t="str">
        <f t="shared" si="2"/>
        <v/>
      </c>
      <c r="J1216" s="33" t="str">
        <f t="shared" si="3"/>
        <v/>
      </c>
    </row>
    <row r="1217" ht="15.75" customHeight="1">
      <c r="A1217" s="22" t="s">
        <v>113</v>
      </c>
      <c r="B1217" s="22" t="str">
        <f>IF(MOV_CC_NACIONAL!A1217="","",MOV_CC_NACIONAL!A1217)</f>
        <v/>
      </c>
      <c r="C1217" s="22" t="str">
        <f>IF(MOV_CC_NACIONAL!B1217="","",MOV_CC_NACIONAL!B1217)</f>
        <v/>
      </c>
      <c r="D1217" s="34" t="str">
        <f>IF(MOV_CC_NACIONAL!C1217="","",MOV_CC_NACIONAL!C1217)</f>
        <v/>
      </c>
      <c r="E1217" s="22" t="str">
        <f t="shared" si="1"/>
        <v/>
      </c>
      <c r="F1217" s="22" t="str">
        <f>IFERROR(__xludf.DUMMYFUNCTION("IF(C1217="""","""", OR(REGEXMATCH(LOWER(C1217),""cuota""), REGEXMATCH(C1217,""\d+\s*/\s*\d+"")))"),"")</f>
        <v/>
      </c>
      <c r="G1217" s="22" t="str">
        <f>IFERROR(__xludf.DUMMYFUNCTION("IFERROR(VALUE(REGEXEXTRACT(C1217,""(\d+)\s*/\s*\d+"")),"""")"),"")</f>
        <v/>
      </c>
      <c r="H1217" s="22" t="str">
        <f>IFERROR(__xludf.DUMMYFUNCTION("IFERROR(VALUE(REGEXEXTRACT(C1217,""\d+\s*/\s*(\d+)"")),"""")"),"")</f>
        <v/>
      </c>
      <c r="I1217" s="22" t="str">
        <f t="shared" si="2"/>
        <v/>
      </c>
      <c r="J1217" s="34" t="str">
        <f t="shared" si="3"/>
        <v/>
      </c>
    </row>
    <row r="1218" ht="15.75" customHeight="1">
      <c r="A1218" s="32" t="s">
        <v>113</v>
      </c>
      <c r="B1218" s="32" t="str">
        <f>IF(MOV_CC_NACIONAL!A1218="","",MOV_CC_NACIONAL!A1218)</f>
        <v/>
      </c>
      <c r="C1218" s="32" t="str">
        <f>IF(MOV_CC_NACIONAL!B1218="","",MOV_CC_NACIONAL!B1218)</f>
        <v/>
      </c>
      <c r="D1218" s="33" t="str">
        <f>IF(MOV_CC_NACIONAL!C1218="","",MOV_CC_NACIONAL!C1218)</f>
        <v/>
      </c>
      <c r="E1218" s="32" t="str">
        <f t="shared" si="1"/>
        <v/>
      </c>
      <c r="F1218" s="32" t="str">
        <f>IFERROR(__xludf.DUMMYFUNCTION("IF(C1218="""","""", OR(REGEXMATCH(LOWER(C1218),""cuota""), REGEXMATCH(C1218,""\d+\s*/\s*\d+"")))"),"")</f>
        <v/>
      </c>
      <c r="G1218" s="32" t="str">
        <f>IFERROR(__xludf.DUMMYFUNCTION("IFERROR(VALUE(REGEXEXTRACT(C1218,""(\d+)\s*/\s*\d+"")),"""")"),"")</f>
        <v/>
      </c>
      <c r="H1218" s="32" t="str">
        <f>IFERROR(__xludf.DUMMYFUNCTION("IFERROR(VALUE(REGEXEXTRACT(C1218,""\d+\s*/\s*(\d+)"")),"""")"),"")</f>
        <v/>
      </c>
      <c r="I1218" s="32" t="str">
        <f t="shared" si="2"/>
        <v/>
      </c>
      <c r="J1218" s="33" t="str">
        <f t="shared" si="3"/>
        <v/>
      </c>
    </row>
    <row r="1219" ht="15.75" customHeight="1">
      <c r="A1219" s="22" t="s">
        <v>113</v>
      </c>
      <c r="B1219" s="22" t="str">
        <f>IF(MOV_CC_NACIONAL!A1219="","",MOV_CC_NACIONAL!A1219)</f>
        <v/>
      </c>
      <c r="C1219" s="22" t="str">
        <f>IF(MOV_CC_NACIONAL!B1219="","",MOV_CC_NACIONAL!B1219)</f>
        <v/>
      </c>
      <c r="D1219" s="34" t="str">
        <f>IF(MOV_CC_NACIONAL!C1219="","",MOV_CC_NACIONAL!C1219)</f>
        <v/>
      </c>
      <c r="E1219" s="22" t="str">
        <f t="shared" si="1"/>
        <v/>
      </c>
      <c r="F1219" s="22" t="str">
        <f>IFERROR(__xludf.DUMMYFUNCTION("IF(C1219="""","""", OR(REGEXMATCH(LOWER(C1219),""cuota""), REGEXMATCH(C1219,""\d+\s*/\s*\d+"")))"),"")</f>
        <v/>
      </c>
      <c r="G1219" s="22" t="str">
        <f>IFERROR(__xludf.DUMMYFUNCTION("IFERROR(VALUE(REGEXEXTRACT(C1219,""(\d+)\s*/\s*\d+"")),"""")"),"")</f>
        <v/>
      </c>
      <c r="H1219" s="22" t="str">
        <f>IFERROR(__xludf.DUMMYFUNCTION("IFERROR(VALUE(REGEXEXTRACT(C1219,""\d+\s*/\s*(\d+)"")),"""")"),"")</f>
        <v/>
      </c>
      <c r="I1219" s="22" t="str">
        <f t="shared" si="2"/>
        <v/>
      </c>
      <c r="J1219" s="34" t="str">
        <f t="shared" si="3"/>
        <v/>
      </c>
    </row>
    <row r="1220" ht="15.75" customHeight="1">
      <c r="A1220" s="32" t="s">
        <v>113</v>
      </c>
      <c r="B1220" s="32" t="str">
        <f>IF(MOV_CC_NACIONAL!A1220="","",MOV_CC_NACIONAL!A1220)</f>
        <v/>
      </c>
      <c r="C1220" s="32" t="str">
        <f>IF(MOV_CC_NACIONAL!B1220="","",MOV_CC_NACIONAL!B1220)</f>
        <v/>
      </c>
      <c r="D1220" s="33" t="str">
        <f>IF(MOV_CC_NACIONAL!C1220="","",MOV_CC_NACIONAL!C1220)</f>
        <v/>
      </c>
      <c r="E1220" s="32" t="str">
        <f t="shared" si="1"/>
        <v/>
      </c>
      <c r="F1220" s="32" t="str">
        <f>IFERROR(__xludf.DUMMYFUNCTION("IF(C1220="""","""", OR(REGEXMATCH(LOWER(C1220),""cuota""), REGEXMATCH(C1220,""\d+\s*/\s*\d+"")))"),"")</f>
        <v/>
      </c>
      <c r="G1220" s="32" t="str">
        <f>IFERROR(__xludf.DUMMYFUNCTION("IFERROR(VALUE(REGEXEXTRACT(C1220,""(\d+)\s*/\s*\d+"")),"""")"),"")</f>
        <v/>
      </c>
      <c r="H1220" s="32" t="str">
        <f>IFERROR(__xludf.DUMMYFUNCTION("IFERROR(VALUE(REGEXEXTRACT(C1220,""\d+\s*/\s*(\d+)"")),"""")"),"")</f>
        <v/>
      </c>
      <c r="I1220" s="32" t="str">
        <f t="shared" si="2"/>
        <v/>
      </c>
      <c r="J1220" s="33" t="str">
        <f t="shared" si="3"/>
        <v/>
      </c>
    </row>
    <row r="1221" ht="15.75" customHeight="1">
      <c r="A1221" s="22" t="s">
        <v>113</v>
      </c>
      <c r="B1221" s="22" t="str">
        <f>IF(MOV_CC_NACIONAL!A1221="","",MOV_CC_NACIONAL!A1221)</f>
        <v/>
      </c>
      <c r="C1221" s="22" t="str">
        <f>IF(MOV_CC_NACIONAL!B1221="","",MOV_CC_NACIONAL!B1221)</f>
        <v/>
      </c>
      <c r="D1221" s="34" t="str">
        <f>IF(MOV_CC_NACIONAL!C1221="","",MOV_CC_NACIONAL!C1221)</f>
        <v/>
      </c>
      <c r="E1221" s="22" t="str">
        <f t="shared" si="1"/>
        <v/>
      </c>
      <c r="F1221" s="22" t="str">
        <f>IFERROR(__xludf.DUMMYFUNCTION("IF(C1221="""","""", OR(REGEXMATCH(LOWER(C1221),""cuota""), REGEXMATCH(C1221,""\d+\s*/\s*\d+"")))"),"")</f>
        <v/>
      </c>
      <c r="G1221" s="22" t="str">
        <f>IFERROR(__xludf.DUMMYFUNCTION("IFERROR(VALUE(REGEXEXTRACT(C1221,""(\d+)\s*/\s*\d+"")),"""")"),"")</f>
        <v/>
      </c>
      <c r="H1221" s="22" t="str">
        <f>IFERROR(__xludf.DUMMYFUNCTION("IFERROR(VALUE(REGEXEXTRACT(C1221,""\d+\s*/\s*(\d+)"")),"""")"),"")</f>
        <v/>
      </c>
      <c r="I1221" s="22" t="str">
        <f t="shared" si="2"/>
        <v/>
      </c>
      <c r="J1221" s="34" t="str">
        <f t="shared" si="3"/>
        <v/>
      </c>
    </row>
    <row r="1222" ht="15.75" customHeight="1">
      <c r="A1222" s="32" t="s">
        <v>113</v>
      </c>
      <c r="B1222" s="32" t="str">
        <f>IF(MOV_CC_NACIONAL!A1222="","",MOV_CC_NACIONAL!A1222)</f>
        <v/>
      </c>
      <c r="C1222" s="32" t="str">
        <f>IF(MOV_CC_NACIONAL!B1222="","",MOV_CC_NACIONAL!B1222)</f>
        <v/>
      </c>
      <c r="D1222" s="33" t="str">
        <f>IF(MOV_CC_NACIONAL!C1222="","",MOV_CC_NACIONAL!C1222)</f>
        <v/>
      </c>
      <c r="E1222" s="32" t="str">
        <f t="shared" si="1"/>
        <v/>
      </c>
      <c r="F1222" s="32" t="str">
        <f>IFERROR(__xludf.DUMMYFUNCTION("IF(C1222="""","""", OR(REGEXMATCH(LOWER(C1222),""cuota""), REGEXMATCH(C1222,""\d+\s*/\s*\d+"")))"),"")</f>
        <v/>
      </c>
      <c r="G1222" s="32" t="str">
        <f>IFERROR(__xludf.DUMMYFUNCTION("IFERROR(VALUE(REGEXEXTRACT(C1222,""(\d+)\s*/\s*\d+"")),"""")"),"")</f>
        <v/>
      </c>
      <c r="H1222" s="32" t="str">
        <f>IFERROR(__xludf.DUMMYFUNCTION("IFERROR(VALUE(REGEXEXTRACT(C1222,""\d+\s*/\s*(\d+)"")),"""")"),"")</f>
        <v/>
      </c>
      <c r="I1222" s="32" t="str">
        <f t="shared" si="2"/>
        <v/>
      </c>
      <c r="J1222" s="33" t="str">
        <f t="shared" si="3"/>
        <v/>
      </c>
    </row>
    <row r="1223" ht="15.75" customHeight="1">
      <c r="A1223" s="22" t="s">
        <v>113</v>
      </c>
      <c r="B1223" s="22" t="str">
        <f>IF(MOV_CC_NACIONAL!A1223="","",MOV_CC_NACIONAL!A1223)</f>
        <v/>
      </c>
      <c r="C1223" s="22" t="str">
        <f>IF(MOV_CC_NACIONAL!B1223="","",MOV_CC_NACIONAL!B1223)</f>
        <v/>
      </c>
      <c r="D1223" s="34" t="str">
        <f>IF(MOV_CC_NACIONAL!C1223="","",MOV_CC_NACIONAL!C1223)</f>
        <v/>
      </c>
      <c r="E1223" s="22" t="str">
        <f t="shared" si="1"/>
        <v/>
      </c>
      <c r="F1223" s="22" t="str">
        <f>IFERROR(__xludf.DUMMYFUNCTION("IF(C1223="""","""", OR(REGEXMATCH(LOWER(C1223),""cuota""), REGEXMATCH(C1223,""\d+\s*/\s*\d+"")))"),"")</f>
        <v/>
      </c>
      <c r="G1223" s="22" t="str">
        <f>IFERROR(__xludf.DUMMYFUNCTION("IFERROR(VALUE(REGEXEXTRACT(C1223,""(\d+)\s*/\s*\d+"")),"""")"),"")</f>
        <v/>
      </c>
      <c r="H1223" s="22" t="str">
        <f>IFERROR(__xludf.DUMMYFUNCTION("IFERROR(VALUE(REGEXEXTRACT(C1223,""\d+\s*/\s*(\d+)"")),"""")"),"")</f>
        <v/>
      </c>
      <c r="I1223" s="22" t="str">
        <f t="shared" si="2"/>
        <v/>
      </c>
      <c r="J1223" s="34" t="str">
        <f t="shared" si="3"/>
        <v/>
      </c>
    </row>
    <row r="1224" ht="15.75" customHeight="1">
      <c r="A1224" s="32" t="s">
        <v>113</v>
      </c>
      <c r="B1224" s="32" t="str">
        <f>IF(MOV_CC_NACIONAL!A1224="","",MOV_CC_NACIONAL!A1224)</f>
        <v/>
      </c>
      <c r="C1224" s="32" t="str">
        <f>IF(MOV_CC_NACIONAL!B1224="","",MOV_CC_NACIONAL!B1224)</f>
        <v/>
      </c>
      <c r="D1224" s="33" t="str">
        <f>IF(MOV_CC_NACIONAL!C1224="","",MOV_CC_NACIONAL!C1224)</f>
        <v/>
      </c>
      <c r="E1224" s="32" t="str">
        <f t="shared" si="1"/>
        <v/>
      </c>
      <c r="F1224" s="32" t="str">
        <f>IFERROR(__xludf.DUMMYFUNCTION("IF(C1224="""","""", OR(REGEXMATCH(LOWER(C1224),""cuota""), REGEXMATCH(C1224,""\d+\s*/\s*\d+"")))"),"")</f>
        <v/>
      </c>
      <c r="G1224" s="32" t="str">
        <f>IFERROR(__xludf.DUMMYFUNCTION("IFERROR(VALUE(REGEXEXTRACT(C1224,""(\d+)\s*/\s*\d+"")),"""")"),"")</f>
        <v/>
      </c>
      <c r="H1224" s="32" t="str">
        <f>IFERROR(__xludf.DUMMYFUNCTION("IFERROR(VALUE(REGEXEXTRACT(C1224,""\d+\s*/\s*(\d+)"")),"""")"),"")</f>
        <v/>
      </c>
      <c r="I1224" s="32" t="str">
        <f t="shared" si="2"/>
        <v/>
      </c>
      <c r="J1224" s="33" t="str">
        <f t="shared" si="3"/>
        <v/>
      </c>
    </row>
    <row r="1225" ht="15.75" customHeight="1">
      <c r="A1225" s="22" t="s">
        <v>113</v>
      </c>
      <c r="B1225" s="22" t="str">
        <f>IF(MOV_CC_NACIONAL!A1225="","",MOV_CC_NACIONAL!A1225)</f>
        <v/>
      </c>
      <c r="C1225" s="22" t="str">
        <f>IF(MOV_CC_NACIONAL!B1225="","",MOV_CC_NACIONAL!B1225)</f>
        <v/>
      </c>
      <c r="D1225" s="34" t="str">
        <f>IF(MOV_CC_NACIONAL!C1225="","",MOV_CC_NACIONAL!C1225)</f>
        <v/>
      </c>
      <c r="E1225" s="22" t="str">
        <f t="shared" si="1"/>
        <v/>
      </c>
      <c r="F1225" s="22" t="str">
        <f>IFERROR(__xludf.DUMMYFUNCTION("IF(C1225="""","""", OR(REGEXMATCH(LOWER(C1225),""cuota""), REGEXMATCH(C1225,""\d+\s*/\s*\d+"")))"),"")</f>
        <v/>
      </c>
      <c r="G1225" s="22" t="str">
        <f>IFERROR(__xludf.DUMMYFUNCTION("IFERROR(VALUE(REGEXEXTRACT(C1225,""(\d+)\s*/\s*\d+"")),"""")"),"")</f>
        <v/>
      </c>
      <c r="H1225" s="22" t="str">
        <f>IFERROR(__xludf.DUMMYFUNCTION("IFERROR(VALUE(REGEXEXTRACT(C1225,""\d+\s*/\s*(\d+)"")),"""")"),"")</f>
        <v/>
      </c>
      <c r="I1225" s="22" t="str">
        <f t="shared" si="2"/>
        <v/>
      </c>
      <c r="J1225" s="34" t="str">
        <f t="shared" si="3"/>
        <v/>
      </c>
    </row>
    <row r="1226" ht="15.75" customHeight="1">
      <c r="A1226" s="32" t="s">
        <v>113</v>
      </c>
      <c r="B1226" s="32" t="str">
        <f>IF(MOV_CC_NACIONAL!A1226="","",MOV_CC_NACIONAL!A1226)</f>
        <v/>
      </c>
      <c r="C1226" s="32" t="str">
        <f>IF(MOV_CC_NACIONAL!B1226="","",MOV_CC_NACIONAL!B1226)</f>
        <v/>
      </c>
      <c r="D1226" s="33" t="str">
        <f>IF(MOV_CC_NACIONAL!C1226="","",MOV_CC_NACIONAL!C1226)</f>
        <v/>
      </c>
      <c r="E1226" s="32" t="str">
        <f t="shared" si="1"/>
        <v/>
      </c>
      <c r="F1226" s="32" t="str">
        <f>IFERROR(__xludf.DUMMYFUNCTION("IF(C1226="""","""", OR(REGEXMATCH(LOWER(C1226),""cuota""), REGEXMATCH(C1226,""\d+\s*/\s*\d+"")))"),"")</f>
        <v/>
      </c>
      <c r="G1226" s="32" t="str">
        <f>IFERROR(__xludf.DUMMYFUNCTION("IFERROR(VALUE(REGEXEXTRACT(C1226,""(\d+)\s*/\s*\d+"")),"""")"),"")</f>
        <v/>
      </c>
      <c r="H1226" s="32" t="str">
        <f>IFERROR(__xludf.DUMMYFUNCTION("IFERROR(VALUE(REGEXEXTRACT(C1226,""\d+\s*/\s*(\d+)"")),"""")"),"")</f>
        <v/>
      </c>
      <c r="I1226" s="32" t="str">
        <f t="shared" si="2"/>
        <v/>
      </c>
      <c r="J1226" s="33" t="str">
        <f t="shared" si="3"/>
        <v/>
      </c>
    </row>
    <row r="1227" ht="15.75" customHeight="1">
      <c r="A1227" s="22" t="s">
        <v>113</v>
      </c>
      <c r="B1227" s="22" t="str">
        <f>IF(MOV_CC_NACIONAL!A1227="","",MOV_CC_NACIONAL!A1227)</f>
        <v/>
      </c>
      <c r="C1227" s="22" t="str">
        <f>IF(MOV_CC_NACIONAL!B1227="","",MOV_CC_NACIONAL!B1227)</f>
        <v/>
      </c>
      <c r="D1227" s="34" t="str">
        <f>IF(MOV_CC_NACIONAL!C1227="","",MOV_CC_NACIONAL!C1227)</f>
        <v/>
      </c>
      <c r="E1227" s="22" t="str">
        <f t="shared" si="1"/>
        <v/>
      </c>
      <c r="F1227" s="22" t="str">
        <f>IFERROR(__xludf.DUMMYFUNCTION("IF(C1227="""","""", OR(REGEXMATCH(LOWER(C1227),""cuota""), REGEXMATCH(C1227,""\d+\s*/\s*\d+"")))"),"")</f>
        <v/>
      </c>
      <c r="G1227" s="22" t="str">
        <f>IFERROR(__xludf.DUMMYFUNCTION("IFERROR(VALUE(REGEXEXTRACT(C1227,""(\d+)\s*/\s*\d+"")),"""")"),"")</f>
        <v/>
      </c>
      <c r="H1227" s="22" t="str">
        <f>IFERROR(__xludf.DUMMYFUNCTION("IFERROR(VALUE(REGEXEXTRACT(C1227,""\d+\s*/\s*(\d+)"")),"""")"),"")</f>
        <v/>
      </c>
      <c r="I1227" s="22" t="str">
        <f t="shared" si="2"/>
        <v/>
      </c>
      <c r="J1227" s="34" t="str">
        <f t="shared" si="3"/>
        <v/>
      </c>
    </row>
    <row r="1228" ht="15.75" customHeight="1">
      <c r="A1228" s="32" t="s">
        <v>113</v>
      </c>
      <c r="B1228" s="32" t="str">
        <f>IF(MOV_CC_NACIONAL!A1228="","",MOV_CC_NACIONAL!A1228)</f>
        <v/>
      </c>
      <c r="C1228" s="32" t="str">
        <f>IF(MOV_CC_NACIONAL!B1228="","",MOV_CC_NACIONAL!B1228)</f>
        <v/>
      </c>
      <c r="D1228" s="33" t="str">
        <f>IF(MOV_CC_NACIONAL!C1228="","",MOV_CC_NACIONAL!C1228)</f>
        <v/>
      </c>
      <c r="E1228" s="32" t="str">
        <f t="shared" si="1"/>
        <v/>
      </c>
      <c r="F1228" s="32" t="str">
        <f>IFERROR(__xludf.DUMMYFUNCTION("IF(C1228="""","""", OR(REGEXMATCH(LOWER(C1228),""cuota""), REGEXMATCH(C1228,""\d+\s*/\s*\d+"")))"),"")</f>
        <v/>
      </c>
      <c r="G1228" s="32" t="str">
        <f>IFERROR(__xludf.DUMMYFUNCTION("IFERROR(VALUE(REGEXEXTRACT(C1228,""(\d+)\s*/\s*\d+"")),"""")"),"")</f>
        <v/>
      </c>
      <c r="H1228" s="32" t="str">
        <f>IFERROR(__xludf.DUMMYFUNCTION("IFERROR(VALUE(REGEXEXTRACT(C1228,""\d+\s*/\s*(\d+)"")),"""")"),"")</f>
        <v/>
      </c>
      <c r="I1228" s="32" t="str">
        <f t="shared" si="2"/>
        <v/>
      </c>
      <c r="J1228" s="33" t="str">
        <f t="shared" si="3"/>
        <v/>
      </c>
    </row>
    <row r="1229" ht="15.75" customHeight="1">
      <c r="A1229" s="22" t="s">
        <v>113</v>
      </c>
      <c r="B1229" s="22" t="str">
        <f>IF(MOV_CC_NACIONAL!A1229="","",MOV_CC_NACIONAL!A1229)</f>
        <v/>
      </c>
      <c r="C1229" s="22" t="str">
        <f>IF(MOV_CC_NACIONAL!B1229="","",MOV_CC_NACIONAL!B1229)</f>
        <v/>
      </c>
      <c r="D1229" s="34" t="str">
        <f>IF(MOV_CC_NACIONAL!C1229="","",MOV_CC_NACIONAL!C1229)</f>
        <v/>
      </c>
      <c r="E1229" s="22" t="str">
        <f t="shared" si="1"/>
        <v/>
      </c>
      <c r="F1229" s="22" t="str">
        <f>IFERROR(__xludf.DUMMYFUNCTION("IF(C1229="""","""", OR(REGEXMATCH(LOWER(C1229),""cuota""), REGEXMATCH(C1229,""\d+\s*/\s*\d+"")))"),"")</f>
        <v/>
      </c>
      <c r="G1229" s="22" t="str">
        <f>IFERROR(__xludf.DUMMYFUNCTION("IFERROR(VALUE(REGEXEXTRACT(C1229,""(\d+)\s*/\s*\d+"")),"""")"),"")</f>
        <v/>
      </c>
      <c r="H1229" s="22" t="str">
        <f>IFERROR(__xludf.DUMMYFUNCTION("IFERROR(VALUE(REGEXEXTRACT(C1229,""\d+\s*/\s*(\d+)"")),"""")"),"")</f>
        <v/>
      </c>
      <c r="I1229" s="22" t="str">
        <f t="shared" si="2"/>
        <v/>
      </c>
      <c r="J1229" s="34" t="str">
        <f t="shared" si="3"/>
        <v/>
      </c>
    </row>
    <row r="1230" ht="15.75" customHeight="1">
      <c r="A1230" s="32" t="s">
        <v>113</v>
      </c>
      <c r="B1230" s="32" t="str">
        <f>IF(MOV_CC_NACIONAL!A1230="","",MOV_CC_NACIONAL!A1230)</f>
        <v/>
      </c>
      <c r="C1230" s="32" t="str">
        <f>IF(MOV_CC_NACIONAL!B1230="","",MOV_CC_NACIONAL!B1230)</f>
        <v/>
      </c>
      <c r="D1230" s="33" t="str">
        <f>IF(MOV_CC_NACIONAL!C1230="","",MOV_CC_NACIONAL!C1230)</f>
        <v/>
      </c>
      <c r="E1230" s="32" t="str">
        <f t="shared" si="1"/>
        <v/>
      </c>
      <c r="F1230" s="32" t="str">
        <f>IFERROR(__xludf.DUMMYFUNCTION("IF(C1230="""","""", OR(REGEXMATCH(LOWER(C1230),""cuota""), REGEXMATCH(C1230,""\d+\s*/\s*\d+"")))"),"")</f>
        <v/>
      </c>
      <c r="G1230" s="32" t="str">
        <f>IFERROR(__xludf.DUMMYFUNCTION("IFERROR(VALUE(REGEXEXTRACT(C1230,""(\d+)\s*/\s*\d+"")),"""")"),"")</f>
        <v/>
      </c>
      <c r="H1230" s="32" t="str">
        <f>IFERROR(__xludf.DUMMYFUNCTION("IFERROR(VALUE(REGEXEXTRACT(C1230,""\d+\s*/\s*(\d+)"")),"""")"),"")</f>
        <v/>
      </c>
      <c r="I1230" s="32" t="str">
        <f t="shared" si="2"/>
        <v/>
      </c>
      <c r="J1230" s="33" t="str">
        <f t="shared" si="3"/>
        <v/>
      </c>
    </row>
    <row r="1231" ht="15.75" customHeight="1">
      <c r="A1231" s="22" t="s">
        <v>113</v>
      </c>
      <c r="B1231" s="22" t="str">
        <f>IF(MOV_CC_NACIONAL!A1231="","",MOV_CC_NACIONAL!A1231)</f>
        <v/>
      </c>
      <c r="C1231" s="22" t="str">
        <f>IF(MOV_CC_NACIONAL!B1231="","",MOV_CC_NACIONAL!B1231)</f>
        <v/>
      </c>
      <c r="D1231" s="34" t="str">
        <f>IF(MOV_CC_NACIONAL!C1231="","",MOV_CC_NACIONAL!C1231)</f>
        <v/>
      </c>
      <c r="E1231" s="22" t="str">
        <f t="shared" si="1"/>
        <v/>
      </c>
      <c r="F1231" s="22" t="str">
        <f>IFERROR(__xludf.DUMMYFUNCTION("IF(C1231="""","""", OR(REGEXMATCH(LOWER(C1231),""cuota""), REGEXMATCH(C1231,""\d+\s*/\s*\d+"")))"),"")</f>
        <v/>
      </c>
      <c r="G1231" s="22" t="str">
        <f>IFERROR(__xludf.DUMMYFUNCTION("IFERROR(VALUE(REGEXEXTRACT(C1231,""(\d+)\s*/\s*\d+"")),"""")"),"")</f>
        <v/>
      </c>
      <c r="H1231" s="22" t="str">
        <f>IFERROR(__xludf.DUMMYFUNCTION("IFERROR(VALUE(REGEXEXTRACT(C1231,""\d+\s*/\s*(\d+)"")),"""")"),"")</f>
        <v/>
      </c>
      <c r="I1231" s="22" t="str">
        <f t="shared" si="2"/>
        <v/>
      </c>
      <c r="J1231" s="34" t="str">
        <f t="shared" si="3"/>
        <v/>
      </c>
    </row>
    <row r="1232" ht="15.75" customHeight="1">
      <c r="A1232" s="32" t="s">
        <v>113</v>
      </c>
      <c r="B1232" s="32" t="str">
        <f>IF(MOV_CC_NACIONAL!A1232="","",MOV_CC_NACIONAL!A1232)</f>
        <v/>
      </c>
      <c r="C1232" s="32" t="str">
        <f>IF(MOV_CC_NACIONAL!B1232="","",MOV_CC_NACIONAL!B1232)</f>
        <v/>
      </c>
      <c r="D1232" s="33" t="str">
        <f>IF(MOV_CC_NACIONAL!C1232="","",MOV_CC_NACIONAL!C1232)</f>
        <v/>
      </c>
      <c r="E1232" s="32" t="str">
        <f t="shared" si="1"/>
        <v/>
      </c>
      <c r="F1232" s="32" t="str">
        <f>IFERROR(__xludf.DUMMYFUNCTION("IF(C1232="""","""", OR(REGEXMATCH(LOWER(C1232),""cuota""), REGEXMATCH(C1232,""\d+\s*/\s*\d+"")))"),"")</f>
        <v/>
      </c>
      <c r="G1232" s="32" t="str">
        <f>IFERROR(__xludf.DUMMYFUNCTION("IFERROR(VALUE(REGEXEXTRACT(C1232,""(\d+)\s*/\s*\d+"")),"""")"),"")</f>
        <v/>
      </c>
      <c r="H1232" s="32" t="str">
        <f>IFERROR(__xludf.DUMMYFUNCTION("IFERROR(VALUE(REGEXEXTRACT(C1232,""\d+\s*/\s*(\d+)"")),"""")"),"")</f>
        <v/>
      </c>
      <c r="I1232" s="32" t="str">
        <f t="shared" si="2"/>
        <v/>
      </c>
      <c r="J1232" s="33" t="str">
        <f t="shared" si="3"/>
        <v/>
      </c>
    </row>
    <row r="1233" ht="15.75" customHeight="1">
      <c r="A1233" s="22" t="s">
        <v>113</v>
      </c>
      <c r="B1233" s="22" t="str">
        <f>IF(MOV_CC_NACIONAL!A1233="","",MOV_CC_NACIONAL!A1233)</f>
        <v/>
      </c>
      <c r="C1233" s="22" t="str">
        <f>IF(MOV_CC_NACIONAL!B1233="","",MOV_CC_NACIONAL!B1233)</f>
        <v/>
      </c>
      <c r="D1233" s="34" t="str">
        <f>IF(MOV_CC_NACIONAL!C1233="","",MOV_CC_NACIONAL!C1233)</f>
        <v/>
      </c>
      <c r="E1233" s="22" t="str">
        <f t="shared" si="1"/>
        <v/>
      </c>
      <c r="F1233" s="22" t="str">
        <f>IFERROR(__xludf.DUMMYFUNCTION("IF(C1233="""","""", OR(REGEXMATCH(LOWER(C1233),""cuota""), REGEXMATCH(C1233,""\d+\s*/\s*\d+"")))"),"")</f>
        <v/>
      </c>
      <c r="G1233" s="22" t="str">
        <f>IFERROR(__xludf.DUMMYFUNCTION("IFERROR(VALUE(REGEXEXTRACT(C1233,""(\d+)\s*/\s*\d+"")),"""")"),"")</f>
        <v/>
      </c>
      <c r="H1233" s="22" t="str">
        <f>IFERROR(__xludf.DUMMYFUNCTION("IFERROR(VALUE(REGEXEXTRACT(C1233,""\d+\s*/\s*(\d+)"")),"""")"),"")</f>
        <v/>
      </c>
      <c r="I1233" s="22" t="str">
        <f t="shared" si="2"/>
        <v/>
      </c>
      <c r="J1233" s="34" t="str">
        <f t="shared" si="3"/>
        <v/>
      </c>
    </row>
    <row r="1234" ht="15.75" customHeight="1">
      <c r="A1234" s="32" t="s">
        <v>113</v>
      </c>
      <c r="B1234" s="32" t="str">
        <f>IF(MOV_CC_NACIONAL!A1234="","",MOV_CC_NACIONAL!A1234)</f>
        <v/>
      </c>
      <c r="C1234" s="32" t="str">
        <f>IF(MOV_CC_NACIONAL!B1234="","",MOV_CC_NACIONAL!B1234)</f>
        <v/>
      </c>
      <c r="D1234" s="33" t="str">
        <f>IF(MOV_CC_NACIONAL!C1234="","",MOV_CC_NACIONAL!C1234)</f>
        <v/>
      </c>
      <c r="E1234" s="32" t="str">
        <f t="shared" si="1"/>
        <v/>
      </c>
      <c r="F1234" s="32" t="str">
        <f>IFERROR(__xludf.DUMMYFUNCTION("IF(C1234="""","""", OR(REGEXMATCH(LOWER(C1234),""cuota""), REGEXMATCH(C1234,""\d+\s*/\s*\d+"")))"),"")</f>
        <v/>
      </c>
      <c r="G1234" s="32" t="str">
        <f>IFERROR(__xludf.DUMMYFUNCTION("IFERROR(VALUE(REGEXEXTRACT(C1234,""(\d+)\s*/\s*\d+"")),"""")"),"")</f>
        <v/>
      </c>
      <c r="H1234" s="32" t="str">
        <f>IFERROR(__xludf.DUMMYFUNCTION("IFERROR(VALUE(REGEXEXTRACT(C1234,""\d+\s*/\s*(\d+)"")),"""")"),"")</f>
        <v/>
      </c>
      <c r="I1234" s="32" t="str">
        <f t="shared" si="2"/>
        <v/>
      </c>
      <c r="J1234" s="33" t="str">
        <f t="shared" si="3"/>
        <v/>
      </c>
    </row>
    <row r="1235" ht="15.75" customHeight="1">
      <c r="A1235" s="22" t="s">
        <v>113</v>
      </c>
      <c r="B1235" s="22" t="str">
        <f>IF(MOV_CC_NACIONAL!A1235="","",MOV_CC_NACIONAL!A1235)</f>
        <v/>
      </c>
      <c r="C1235" s="22" t="str">
        <f>IF(MOV_CC_NACIONAL!B1235="","",MOV_CC_NACIONAL!B1235)</f>
        <v/>
      </c>
      <c r="D1235" s="34" t="str">
        <f>IF(MOV_CC_NACIONAL!C1235="","",MOV_CC_NACIONAL!C1235)</f>
        <v/>
      </c>
      <c r="E1235" s="22" t="str">
        <f t="shared" si="1"/>
        <v/>
      </c>
      <c r="F1235" s="22" t="str">
        <f>IFERROR(__xludf.DUMMYFUNCTION("IF(C1235="""","""", OR(REGEXMATCH(LOWER(C1235),""cuota""), REGEXMATCH(C1235,""\d+\s*/\s*\d+"")))"),"")</f>
        <v/>
      </c>
      <c r="G1235" s="22" t="str">
        <f>IFERROR(__xludf.DUMMYFUNCTION("IFERROR(VALUE(REGEXEXTRACT(C1235,""(\d+)\s*/\s*\d+"")),"""")"),"")</f>
        <v/>
      </c>
      <c r="H1235" s="22" t="str">
        <f>IFERROR(__xludf.DUMMYFUNCTION("IFERROR(VALUE(REGEXEXTRACT(C1235,""\d+\s*/\s*(\d+)"")),"""")"),"")</f>
        <v/>
      </c>
      <c r="I1235" s="22" t="str">
        <f t="shared" si="2"/>
        <v/>
      </c>
      <c r="J1235" s="34" t="str">
        <f t="shared" si="3"/>
        <v/>
      </c>
    </row>
    <row r="1236" ht="15.75" customHeight="1">
      <c r="A1236" s="32" t="s">
        <v>113</v>
      </c>
      <c r="B1236" s="32" t="str">
        <f>IF(MOV_CC_NACIONAL!A1236="","",MOV_CC_NACIONAL!A1236)</f>
        <v/>
      </c>
      <c r="C1236" s="32" t="str">
        <f>IF(MOV_CC_NACIONAL!B1236="","",MOV_CC_NACIONAL!B1236)</f>
        <v/>
      </c>
      <c r="D1236" s="33" t="str">
        <f>IF(MOV_CC_NACIONAL!C1236="","",MOV_CC_NACIONAL!C1236)</f>
        <v/>
      </c>
      <c r="E1236" s="32" t="str">
        <f t="shared" si="1"/>
        <v/>
      </c>
      <c r="F1236" s="32" t="str">
        <f>IFERROR(__xludf.DUMMYFUNCTION("IF(C1236="""","""", OR(REGEXMATCH(LOWER(C1236),""cuota""), REGEXMATCH(C1236,""\d+\s*/\s*\d+"")))"),"")</f>
        <v/>
      </c>
      <c r="G1236" s="32" t="str">
        <f>IFERROR(__xludf.DUMMYFUNCTION("IFERROR(VALUE(REGEXEXTRACT(C1236,""(\d+)\s*/\s*\d+"")),"""")"),"")</f>
        <v/>
      </c>
      <c r="H1236" s="32" t="str">
        <f>IFERROR(__xludf.DUMMYFUNCTION("IFERROR(VALUE(REGEXEXTRACT(C1236,""\d+\s*/\s*(\d+)"")),"""")"),"")</f>
        <v/>
      </c>
      <c r="I1236" s="32" t="str">
        <f t="shared" si="2"/>
        <v/>
      </c>
      <c r="J1236" s="33" t="str">
        <f t="shared" si="3"/>
        <v/>
      </c>
    </row>
    <row r="1237" ht="15.75" customHeight="1">
      <c r="A1237" s="22" t="s">
        <v>113</v>
      </c>
      <c r="B1237" s="22" t="str">
        <f>IF(MOV_CC_NACIONAL!A1237="","",MOV_CC_NACIONAL!A1237)</f>
        <v/>
      </c>
      <c r="C1237" s="22" t="str">
        <f>IF(MOV_CC_NACIONAL!B1237="","",MOV_CC_NACIONAL!B1237)</f>
        <v/>
      </c>
      <c r="D1237" s="34" t="str">
        <f>IF(MOV_CC_NACIONAL!C1237="","",MOV_CC_NACIONAL!C1237)</f>
        <v/>
      </c>
      <c r="E1237" s="22" t="str">
        <f t="shared" si="1"/>
        <v/>
      </c>
      <c r="F1237" s="22" t="str">
        <f>IFERROR(__xludf.DUMMYFUNCTION("IF(C1237="""","""", OR(REGEXMATCH(LOWER(C1237),""cuota""), REGEXMATCH(C1237,""\d+\s*/\s*\d+"")))"),"")</f>
        <v/>
      </c>
      <c r="G1237" s="22" t="str">
        <f>IFERROR(__xludf.DUMMYFUNCTION("IFERROR(VALUE(REGEXEXTRACT(C1237,""(\d+)\s*/\s*\d+"")),"""")"),"")</f>
        <v/>
      </c>
      <c r="H1237" s="22" t="str">
        <f>IFERROR(__xludf.DUMMYFUNCTION("IFERROR(VALUE(REGEXEXTRACT(C1237,""\d+\s*/\s*(\d+)"")),"""")"),"")</f>
        <v/>
      </c>
      <c r="I1237" s="22" t="str">
        <f t="shared" si="2"/>
        <v/>
      </c>
      <c r="J1237" s="34" t="str">
        <f t="shared" si="3"/>
        <v/>
      </c>
    </row>
    <row r="1238" ht="15.75" customHeight="1">
      <c r="A1238" s="32" t="s">
        <v>113</v>
      </c>
      <c r="B1238" s="32" t="str">
        <f>IF(MOV_CC_NACIONAL!A1238="","",MOV_CC_NACIONAL!A1238)</f>
        <v/>
      </c>
      <c r="C1238" s="32" t="str">
        <f>IF(MOV_CC_NACIONAL!B1238="","",MOV_CC_NACIONAL!B1238)</f>
        <v/>
      </c>
      <c r="D1238" s="33" t="str">
        <f>IF(MOV_CC_NACIONAL!C1238="","",MOV_CC_NACIONAL!C1238)</f>
        <v/>
      </c>
      <c r="E1238" s="32" t="str">
        <f t="shared" si="1"/>
        <v/>
      </c>
      <c r="F1238" s="32" t="str">
        <f>IFERROR(__xludf.DUMMYFUNCTION("IF(C1238="""","""", OR(REGEXMATCH(LOWER(C1238),""cuota""), REGEXMATCH(C1238,""\d+\s*/\s*\d+"")))"),"")</f>
        <v/>
      </c>
      <c r="G1238" s="32" t="str">
        <f>IFERROR(__xludf.DUMMYFUNCTION("IFERROR(VALUE(REGEXEXTRACT(C1238,""(\d+)\s*/\s*\d+"")),"""")"),"")</f>
        <v/>
      </c>
      <c r="H1238" s="32" t="str">
        <f>IFERROR(__xludf.DUMMYFUNCTION("IFERROR(VALUE(REGEXEXTRACT(C1238,""\d+\s*/\s*(\d+)"")),"""")"),"")</f>
        <v/>
      </c>
      <c r="I1238" s="32" t="str">
        <f t="shared" si="2"/>
        <v/>
      </c>
      <c r="J1238" s="33" t="str">
        <f t="shared" si="3"/>
        <v/>
      </c>
    </row>
    <row r="1239" ht="15.75" customHeight="1">
      <c r="A1239" s="22" t="s">
        <v>113</v>
      </c>
      <c r="B1239" s="22" t="str">
        <f>IF(MOV_CC_NACIONAL!A1239="","",MOV_CC_NACIONAL!A1239)</f>
        <v/>
      </c>
      <c r="C1239" s="22" t="str">
        <f>IF(MOV_CC_NACIONAL!B1239="","",MOV_CC_NACIONAL!B1239)</f>
        <v/>
      </c>
      <c r="D1239" s="34" t="str">
        <f>IF(MOV_CC_NACIONAL!C1239="","",MOV_CC_NACIONAL!C1239)</f>
        <v/>
      </c>
      <c r="E1239" s="22" t="str">
        <f t="shared" si="1"/>
        <v/>
      </c>
      <c r="F1239" s="22" t="str">
        <f>IFERROR(__xludf.DUMMYFUNCTION("IF(C1239="""","""", OR(REGEXMATCH(LOWER(C1239),""cuota""), REGEXMATCH(C1239,""\d+\s*/\s*\d+"")))"),"")</f>
        <v/>
      </c>
      <c r="G1239" s="22" t="str">
        <f>IFERROR(__xludf.DUMMYFUNCTION("IFERROR(VALUE(REGEXEXTRACT(C1239,""(\d+)\s*/\s*\d+"")),"""")"),"")</f>
        <v/>
      </c>
      <c r="H1239" s="22" t="str">
        <f>IFERROR(__xludf.DUMMYFUNCTION("IFERROR(VALUE(REGEXEXTRACT(C1239,""\d+\s*/\s*(\d+)"")),"""")"),"")</f>
        <v/>
      </c>
      <c r="I1239" s="22" t="str">
        <f t="shared" si="2"/>
        <v/>
      </c>
      <c r="J1239" s="34" t="str">
        <f t="shared" si="3"/>
        <v/>
      </c>
    </row>
    <row r="1240" ht="15.75" customHeight="1">
      <c r="A1240" s="32" t="s">
        <v>113</v>
      </c>
      <c r="B1240" s="32" t="str">
        <f>IF(MOV_CC_NACIONAL!A1240="","",MOV_CC_NACIONAL!A1240)</f>
        <v/>
      </c>
      <c r="C1240" s="32" t="str">
        <f>IF(MOV_CC_NACIONAL!B1240="","",MOV_CC_NACIONAL!B1240)</f>
        <v/>
      </c>
      <c r="D1240" s="33" t="str">
        <f>IF(MOV_CC_NACIONAL!C1240="","",MOV_CC_NACIONAL!C1240)</f>
        <v/>
      </c>
      <c r="E1240" s="32" t="str">
        <f t="shared" si="1"/>
        <v/>
      </c>
      <c r="F1240" s="32" t="str">
        <f>IFERROR(__xludf.DUMMYFUNCTION("IF(C1240="""","""", OR(REGEXMATCH(LOWER(C1240),""cuota""), REGEXMATCH(C1240,""\d+\s*/\s*\d+"")))"),"")</f>
        <v/>
      </c>
      <c r="G1240" s="32" t="str">
        <f>IFERROR(__xludf.DUMMYFUNCTION("IFERROR(VALUE(REGEXEXTRACT(C1240,""(\d+)\s*/\s*\d+"")),"""")"),"")</f>
        <v/>
      </c>
      <c r="H1240" s="32" t="str">
        <f>IFERROR(__xludf.DUMMYFUNCTION("IFERROR(VALUE(REGEXEXTRACT(C1240,""\d+\s*/\s*(\d+)"")),"""")"),"")</f>
        <v/>
      </c>
      <c r="I1240" s="32" t="str">
        <f t="shared" si="2"/>
        <v/>
      </c>
      <c r="J1240" s="33" t="str">
        <f t="shared" si="3"/>
        <v/>
      </c>
    </row>
    <row r="1241" ht="15.75" customHeight="1">
      <c r="A1241" s="22" t="s">
        <v>113</v>
      </c>
      <c r="B1241" s="22" t="str">
        <f>IF(MOV_CC_NACIONAL!A1241="","",MOV_CC_NACIONAL!A1241)</f>
        <v/>
      </c>
      <c r="C1241" s="22" t="str">
        <f>IF(MOV_CC_NACIONAL!B1241="","",MOV_CC_NACIONAL!B1241)</f>
        <v/>
      </c>
      <c r="D1241" s="34" t="str">
        <f>IF(MOV_CC_NACIONAL!C1241="","",MOV_CC_NACIONAL!C1241)</f>
        <v/>
      </c>
      <c r="E1241" s="22" t="str">
        <f t="shared" si="1"/>
        <v/>
      </c>
      <c r="F1241" s="22" t="str">
        <f>IFERROR(__xludf.DUMMYFUNCTION("IF(C1241="""","""", OR(REGEXMATCH(LOWER(C1241),""cuota""), REGEXMATCH(C1241,""\d+\s*/\s*\d+"")))"),"")</f>
        <v/>
      </c>
      <c r="G1241" s="22" t="str">
        <f>IFERROR(__xludf.DUMMYFUNCTION("IFERROR(VALUE(REGEXEXTRACT(C1241,""(\d+)\s*/\s*\d+"")),"""")"),"")</f>
        <v/>
      </c>
      <c r="H1241" s="22" t="str">
        <f>IFERROR(__xludf.DUMMYFUNCTION("IFERROR(VALUE(REGEXEXTRACT(C1241,""\d+\s*/\s*(\d+)"")),"""")"),"")</f>
        <v/>
      </c>
      <c r="I1241" s="22" t="str">
        <f t="shared" si="2"/>
        <v/>
      </c>
      <c r="J1241" s="34" t="str">
        <f t="shared" si="3"/>
        <v/>
      </c>
    </row>
    <row r="1242" ht="15.75" customHeight="1">
      <c r="A1242" s="32" t="s">
        <v>113</v>
      </c>
      <c r="B1242" s="32" t="str">
        <f>IF(MOV_CC_NACIONAL!A1242="","",MOV_CC_NACIONAL!A1242)</f>
        <v/>
      </c>
      <c r="C1242" s="32" t="str">
        <f>IF(MOV_CC_NACIONAL!B1242="","",MOV_CC_NACIONAL!B1242)</f>
        <v/>
      </c>
      <c r="D1242" s="33" t="str">
        <f>IF(MOV_CC_NACIONAL!C1242="","",MOV_CC_NACIONAL!C1242)</f>
        <v/>
      </c>
      <c r="E1242" s="32" t="str">
        <f t="shared" si="1"/>
        <v/>
      </c>
      <c r="F1242" s="32" t="str">
        <f>IFERROR(__xludf.DUMMYFUNCTION("IF(C1242="""","""", OR(REGEXMATCH(LOWER(C1242),""cuota""), REGEXMATCH(C1242,""\d+\s*/\s*\d+"")))"),"")</f>
        <v/>
      </c>
      <c r="G1242" s="32" t="str">
        <f>IFERROR(__xludf.DUMMYFUNCTION("IFERROR(VALUE(REGEXEXTRACT(C1242,""(\d+)\s*/\s*\d+"")),"""")"),"")</f>
        <v/>
      </c>
      <c r="H1242" s="32" t="str">
        <f>IFERROR(__xludf.DUMMYFUNCTION("IFERROR(VALUE(REGEXEXTRACT(C1242,""\d+\s*/\s*(\d+)"")),"""")"),"")</f>
        <v/>
      </c>
      <c r="I1242" s="32" t="str">
        <f t="shared" si="2"/>
        <v/>
      </c>
      <c r="J1242" s="33" t="str">
        <f t="shared" si="3"/>
        <v/>
      </c>
    </row>
    <row r="1243" ht="15.75" customHeight="1">
      <c r="A1243" s="22" t="s">
        <v>113</v>
      </c>
      <c r="B1243" s="22" t="str">
        <f>IF(MOV_CC_NACIONAL!A1243="","",MOV_CC_NACIONAL!A1243)</f>
        <v/>
      </c>
      <c r="C1243" s="22" t="str">
        <f>IF(MOV_CC_NACIONAL!B1243="","",MOV_CC_NACIONAL!B1243)</f>
        <v/>
      </c>
      <c r="D1243" s="34" t="str">
        <f>IF(MOV_CC_NACIONAL!C1243="","",MOV_CC_NACIONAL!C1243)</f>
        <v/>
      </c>
      <c r="E1243" s="22" t="str">
        <f t="shared" si="1"/>
        <v/>
      </c>
      <c r="F1243" s="22" t="str">
        <f>IFERROR(__xludf.DUMMYFUNCTION("IF(C1243="""","""", OR(REGEXMATCH(LOWER(C1243),""cuota""), REGEXMATCH(C1243,""\d+\s*/\s*\d+"")))"),"")</f>
        <v/>
      </c>
      <c r="G1243" s="22" t="str">
        <f>IFERROR(__xludf.DUMMYFUNCTION("IFERROR(VALUE(REGEXEXTRACT(C1243,""(\d+)\s*/\s*\d+"")),"""")"),"")</f>
        <v/>
      </c>
      <c r="H1243" s="22" t="str">
        <f>IFERROR(__xludf.DUMMYFUNCTION("IFERROR(VALUE(REGEXEXTRACT(C1243,""\d+\s*/\s*(\d+)"")),"""")"),"")</f>
        <v/>
      </c>
      <c r="I1243" s="22" t="str">
        <f t="shared" si="2"/>
        <v/>
      </c>
      <c r="J1243" s="34" t="str">
        <f t="shared" si="3"/>
        <v/>
      </c>
    </row>
    <row r="1244" ht="15.75" customHeight="1">
      <c r="A1244" s="32" t="s">
        <v>113</v>
      </c>
      <c r="B1244" s="32" t="str">
        <f>IF(MOV_CC_NACIONAL!A1244="","",MOV_CC_NACIONAL!A1244)</f>
        <v/>
      </c>
      <c r="C1244" s="32" t="str">
        <f>IF(MOV_CC_NACIONAL!B1244="","",MOV_CC_NACIONAL!B1244)</f>
        <v/>
      </c>
      <c r="D1244" s="33" t="str">
        <f>IF(MOV_CC_NACIONAL!C1244="","",MOV_CC_NACIONAL!C1244)</f>
        <v/>
      </c>
      <c r="E1244" s="32" t="str">
        <f t="shared" si="1"/>
        <v/>
      </c>
      <c r="F1244" s="32" t="str">
        <f>IFERROR(__xludf.DUMMYFUNCTION("IF(C1244="""","""", OR(REGEXMATCH(LOWER(C1244),""cuota""), REGEXMATCH(C1244,""\d+\s*/\s*\d+"")))"),"")</f>
        <v/>
      </c>
      <c r="G1244" s="32" t="str">
        <f>IFERROR(__xludf.DUMMYFUNCTION("IFERROR(VALUE(REGEXEXTRACT(C1244,""(\d+)\s*/\s*\d+"")),"""")"),"")</f>
        <v/>
      </c>
      <c r="H1244" s="32" t="str">
        <f>IFERROR(__xludf.DUMMYFUNCTION("IFERROR(VALUE(REGEXEXTRACT(C1244,""\d+\s*/\s*(\d+)"")),"""")"),"")</f>
        <v/>
      </c>
      <c r="I1244" s="32" t="str">
        <f t="shared" si="2"/>
        <v/>
      </c>
      <c r="J1244" s="33" t="str">
        <f t="shared" si="3"/>
        <v/>
      </c>
    </row>
    <row r="1245" ht="15.75" customHeight="1">
      <c r="A1245" s="22" t="s">
        <v>113</v>
      </c>
      <c r="B1245" s="22" t="str">
        <f>IF(MOV_CC_NACIONAL!A1245="","",MOV_CC_NACIONAL!A1245)</f>
        <v/>
      </c>
      <c r="C1245" s="22" t="str">
        <f>IF(MOV_CC_NACIONAL!B1245="","",MOV_CC_NACIONAL!B1245)</f>
        <v/>
      </c>
      <c r="D1245" s="34" t="str">
        <f>IF(MOV_CC_NACIONAL!C1245="","",MOV_CC_NACIONAL!C1245)</f>
        <v/>
      </c>
      <c r="E1245" s="22" t="str">
        <f t="shared" si="1"/>
        <v/>
      </c>
      <c r="F1245" s="22" t="str">
        <f>IFERROR(__xludf.DUMMYFUNCTION("IF(C1245="""","""", OR(REGEXMATCH(LOWER(C1245),""cuota""), REGEXMATCH(C1245,""\d+\s*/\s*\d+"")))"),"")</f>
        <v/>
      </c>
      <c r="G1245" s="22" t="str">
        <f>IFERROR(__xludf.DUMMYFUNCTION("IFERROR(VALUE(REGEXEXTRACT(C1245,""(\d+)\s*/\s*\d+"")),"""")"),"")</f>
        <v/>
      </c>
      <c r="H1245" s="22" t="str">
        <f>IFERROR(__xludf.DUMMYFUNCTION("IFERROR(VALUE(REGEXEXTRACT(C1245,""\d+\s*/\s*(\d+)"")),"""")"),"")</f>
        <v/>
      </c>
      <c r="I1245" s="22" t="str">
        <f t="shared" si="2"/>
        <v/>
      </c>
      <c r="J1245" s="34" t="str">
        <f t="shared" si="3"/>
        <v/>
      </c>
    </row>
    <row r="1246" ht="15.75" customHeight="1">
      <c r="A1246" s="32" t="s">
        <v>113</v>
      </c>
      <c r="B1246" s="32" t="str">
        <f>IF(MOV_CC_NACIONAL!A1246="","",MOV_CC_NACIONAL!A1246)</f>
        <v/>
      </c>
      <c r="C1246" s="32" t="str">
        <f>IF(MOV_CC_NACIONAL!B1246="","",MOV_CC_NACIONAL!B1246)</f>
        <v/>
      </c>
      <c r="D1246" s="33" t="str">
        <f>IF(MOV_CC_NACIONAL!C1246="","",MOV_CC_NACIONAL!C1246)</f>
        <v/>
      </c>
      <c r="E1246" s="32" t="str">
        <f t="shared" si="1"/>
        <v/>
      </c>
      <c r="F1246" s="32" t="str">
        <f>IFERROR(__xludf.DUMMYFUNCTION("IF(C1246="""","""", OR(REGEXMATCH(LOWER(C1246),""cuota""), REGEXMATCH(C1246,""\d+\s*/\s*\d+"")))"),"")</f>
        <v/>
      </c>
      <c r="G1246" s="32" t="str">
        <f>IFERROR(__xludf.DUMMYFUNCTION("IFERROR(VALUE(REGEXEXTRACT(C1246,""(\d+)\s*/\s*\d+"")),"""")"),"")</f>
        <v/>
      </c>
      <c r="H1246" s="32" t="str">
        <f>IFERROR(__xludf.DUMMYFUNCTION("IFERROR(VALUE(REGEXEXTRACT(C1246,""\d+\s*/\s*(\d+)"")),"""")"),"")</f>
        <v/>
      </c>
      <c r="I1246" s="32" t="str">
        <f t="shared" si="2"/>
        <v/>
      </c>
      <c r="J1246" s="33" t="str">
        <f t="shared" si="3"/>
        <v/>
      </c>
    </row>
    <row r="1247" ht="15.75" customHeight="1">
      <c r="A1247" s="22" t="s">
        <v>113</v>
      </c>
      <c r="B1247" s="22" t="str">
        <f>IF(MOV_CC_NACIONAL!A1247="","",MOV_CC_NACIONAL!A1247)</f>
        <v/>
      </c>
      <c r="C1247" s="22" t="str">
        <f>IF(MOV_CC_NACIONAL!B1247="","",MOV_CC_NACIONAL!B1247)</f>
        <v/>
      </c>
      <c r="D1247" s="34" t="str">
        <f>IF(MOV_CC_NACIONAL!C1247="","",MOV_CC_NACIONAL!C1247)</f>
        <v/>
      </c>
      <c r="E1247" s="22" t="str">
        <f t="shared" si="1"/>
        <v/>
      </c>
      <c r="F1247" s="22" t="str">
        <f>IFERROR(__xludf.DUMMYFUNCTION("IF(C1247="""","""", OR(REGEXMATCH(LOWER(C1247),""cuota""), REGEXMATCH(C1247,""\d+\s*/\s*\d+"")))"),"")</f>
        <v/>
      </c>
      <c r="G1247" s="22" t="str">
        <f>IFERROR(__xludf.DUMMYFUNCTION("IFERROR(VALUE(REGEXEXTRACT(C1247,""(\d+)\s*/\s*\d+"")),"""")"),"")</f>
        <v/>
      </c>
      <c r="H1247" s="22" t="str">
        <f>IFERROR(__xludf.DUMMYFUNCTION("IFERROR(VALUE(REGEXEXTRACT(C1247,""\d+\s*/\s*(\d+)"")),"""")"),"")</f>
        <v/>
      </c>
      <c r="I1247" s="22" t="str">
        <f t="shared" si="2"/>
        <v/>
      </c>
      <c r="J1247" s="34" t="str">
        <f t="shared" si="3"/>
        <v/>
      </c>
    </row>
    <row r="1248" ht="15.75" customHeight="1">
      <c r="A1248" s="32" t="s">
        <v>113</v>
      </c>
      <c r="B1248" s="32" t="str">
        <f>IF(MOV_CC_NACIONAL!A1248="","",MOV_CC_NACIONAL!A1248)</f>
        <v/>
      </c>
      <c r="C1248" s="32" t="str">
        <f>IF(MOV_CC_NACIONAL!B1248="","",MOV_CC_NACIONAL!B1248)</f>
        <v/>
      </c>
      <c r="D1248" s="33" t="str">
        <f>IF(MOV_CC_NACIONAL!C1248="","",MOV_CC_NACIONAL!C1248)</f>
        <v/>
      </c>
      <c r="E1248" s="32" t="str">
        <f t="shared" si="1"/>
        <v/>
      </c>
      <c r="F1248" s="32" t="str">
        <f>IFERROR(__xludf.DUMMYFUNCTION("IF(C1248="""","""", OR(REGEXMATCH(LOWER(C1248),""cuota""), REGEXMATCH(C1248,""\d+\s*/\s*\d+"")))"),"")</f>
        <v/>
      </c>
      <c r="G1248" s="32" t="str">
        <f>IFERROR(__xludf.DUMMYFUNCTION("IFERROR(VALUE(REGEXEXTRACT(C1248,""(\d+)\s*/\s*\d+"")),"""")"),"")</f>
        <v/>
      </c>
      <c r="H1248" s="32" t="str">
        <f>IFERROR(__xludf.DUMMYFUNCTION("IFERROR(VALUE(REGEXEXTRACT(C1248,""\d+\s*/\s*(\d+)"")),"""")"),"")</f>
        <v/>
      </c>
      <c r="I1248" s="32" t="str">
        <f t="shared" si="2"/>
        <v/>
      </c>
      <c r="J1248" s="33" t="str">
        <f t="shared" si="3"/>
        <v/>
      </c>
    </row>
    <row r="1249" ht="15.75" customHeight="1">
      <c r="A1249" s="22" t="s">
        <v>113</v>
      </c>
      <c r="B1249" s="22" t="str">
        <f>IF(MOV_CC_NACIONAL!A1249="","",MOV_CC_NACIONAL!A1249)</f>
        <v/>
      </c>
      <c r="C1249" s="22" t="str">
        <f>IF(MOV_CC_NACIONAL!B1249="","",MOV_CC_NACIONAL!B1249)</f>
        <v/>
      </c>
      <c r="D1249" s="34" t="str">
        <f>IF(MOV_CC_NACIONAL!C1249="","",MOV_CC_NACIONAL!C1249)</f>
        <v/>
      </c>
      <c r="E1249" s="22" t="str">
        <f t="shared" si="1"/>
        <v/>
      </c>
      <c r="F1249" s="22" t="str">
        <f>IFERROR(__xludf.DUMMYFUNCTION("IF(C1249="""","""", OR(REGEXMATCH(LOWER(C1249),""cuota""), REGEXMATCH(C1249,""\d+\s*/\s*\d+"")))"),"")</f>
        <v/>
      </c>
      <c r="G1249" s="22" t="str">
        <f>IFERROR(__xludf.DUMMYFUNCTION("IFERROR(VALUE(REGEXEXTRACT(C1249,""(\d+)\s*/\s*\d+"")),"""")"),"")</f>
        <v/>
      </c>
      <c r="H1249" s="22" t="str">
        <f>IFERROR(__xludf.DUMMYFUNCTION("IFERROR(VALUE(REGEXEXTRACT(C1249,""\d+\s*/\s*(\d+)"")),"""")"),"")</f>
        <v/>
      </c>
      <c r="I1249" s="22" t="str">
        <f t="shared" si="2"/>
        <v/>
      </c>
      <c r="J1249" s="34" t="str">
        <f t="shared" si="3"/>
        <v/>
      </c>
    </row>
    <row r="1250" ht="15.75" customHeight="1">
      <c r="A1250" s="32" t="s">
        <v>113</v>
      </c>
      <c r="B1250" s="32" t="str">
        <f>IF(MOV_CC_NACIONAL!A1250="","",MOV_CC_NACIONAL!A1250)</f>
        <v/>
      </c>
      <c r="C1250" s="32" t="str">
        <f>IF(MOV_CC_NACIONAL!B1250="","",MOV_CC_NACIONAL!B1250)</f>
        <v/>
      </c>
      <c r="D1250" s="33" t="str">
        <f>IF(MOV_CC_NACIONAL!C1250="","",MOV_CC_NACIONAL!C1250)</f>
        <v/>
      </c>
      <c r="E1250" s="32" t="str">
        <f t="shared" si="1"/>
        <v/>
      </c>
      <c r="F1250" s="32" t="str">
        <f>IFERROR(__xludf.DUMMYFUNCTION("IF(C1250="""","""", OR(REGEXMATCH(LOWER(C1250),""cuota""), REGEXMATCH(C1250,""\d+\s*/\s*\d+"")))"),"")</f>
        <v/>
      </c>
      <c r="G1250" s="32" t="str">
        <f>IFERROR(__xludf.DUMMYFUNCTION("IFERROR(VALUE(REGEXEXTRACT(C1250,""(\d+)\s*/\s*\d+"")),"""")"),"")</f>
        <v/>
      </c>
      <c r="H1250" s="32" t="str">
        <f>IFERROR(__xludf.DUMMYFUNCTION("IFERROR(VALUE(REGEXEXTRACT(C1250,""\d+\s*/\s*(\d+)"")),"""")"),"")</f>
        <v/>
      </c>
      <c r="I1250" s="32" t="str">
        <f t="shared" si="2"/>
        <v/>
      </c>
      <c r="J1250" s="33" t="str">
        <f t="shared" si="3"/>
        <v/>
      </c>
    </row>
    <row r="1251" ht="15.75" customHeight="1">
      <c r="A1251" s="22" t="s">
        <v>113</v>
      </c>
      <c r="B1251" s="22" t="str">
        <f>IF(MOV_CC_NACIONAL!A1251="","",MOV_CC_NACIONAL!A1251)</f>
        <v/>
      </c>
      <c r="C1251" s="22" t="str">
        <f>IF(MOV_CC_NACIONAL!B1251="","",MOV_CC_NACIONAL!B1251)</f>
        <v/>
      </c>
      <c r="D1251" s="34" t="str">
        <f>IF(MOV_CC_NACIONAL!C1251="","",MOV_CC_NACIONAL!C1251)</f>
        <v/>
      </c>
      <c r="E1251" s="22" t="str">
        <f t="shared" si="1"/>
        <v/>
      </c>
      <c r="F1251" s="22" t="str">
        <f>IFERROR(__xludf.DUMMYFUNCTION("IF(C1251="""","""", OR(REGEXMATCH(LOWER(C1251),""cuota""), REGEXMATCH(C1251,""\d+\s*/\s*\d+"")))"),"")</f>
        <v/>
      </c>
      <c r="G1251" s="22" t="str">
        <f>IFERROR(__xludf.DUMMYFUNCTION("IFERROR(VALUE(REGEXEXTRACT(C1251,""(\d+)\s*/\s*\d+"")),"""")"),"")</f>
        <v/>
      </c>
      <c r="H1251" s="22" t="str">
        <f>IFERROR(__xludf.DUMMYFUNCTION("IFERROR(VALUE(REGEXEXTRACT(C1251,""\d+\s*/\s*(\d+)"")),"""")"),"")</f>
        <v/>
      </c>
      <c r="I1251" s="22" t="str">
        <f t="shared" si="2"/>
        <v/>
      </c>
      <c r="J1251" s="34" t="str">
        <f t="shared" si="3"/>
        <v/>
      </c>
    </row>
    <row r="1252" ht="15.75" customHeight="1">
      <c r="A1252" s="32" t="s">
        <v>113</v>
      </c>
      <c r="B1252" s="32" t="str">
        <f>IF(MOV_CC_NACIONAL!A1252="","",MOV_CC_NACIONAL!A1252)</f>
        <v/>
      </c>
      <c r="C1252" s="32" t="str">
        <f>IF(MOV_CC_NACIONAL!B1252="","",MOV_CC_NACIONAL!B1252)</f>
        <v/>
      </c>
      <c r="D1252" s="33" t="str">
        <f>IF(MOV_CC_NACIONAL!C1252="","",MOV_CC_NACIONAL!C1252)</f>
        <v/>
      </c>
      <c r="E1252" s="32" t="str">
        <f t="shared" si="1"/>
        <v/>
      </c>
      <c r="F1252" s="32" t="str">
        <f>IFERROR(__xludf.DUMMYFUNCTION("IF(C1252="""","""", OR(REGEXMATCH(LOWER(C1252),""cuota""), REGEXMATCH(C1252,""\d+\s*/\s*\d+"")))"),"")</f>
        <v/>
      </c>
      <c r="G1252" s="32" t="str">
        <f>IFERROR(__xludf.DUMMYFUNCTION("IFERROR(VALUE(REGEXEXTRACT(C1252,""(\d+)\s*/\s*\d+"")),"""")"),"")</f>
        <v/>
      </c>
      <c r="H1252" s="32" t="str">
        <f>IFERROR(__xludf.DUMMYFUNCTION("IFERROR(VALUE(REGEXEXTRACT(C1252,""\d+\s*/\s*(\d+)"")),"""")"),"")</f>
        <v/>
      </c>
      <c r="I1252" s="32" t="str">
        <f t="shared" si="2"/>
        <v/>
      </c>
      <c r="J1252" s="33" t="str">
        <f t="shared" si="3"/>
        <v/>
      </c>
    </row>
    <row r="1253" ht="15.75" customHeight="1">
      <c r="A1253" s="22" t="s">
        <v>113</v>
      </c>
      <c r="B1253" s="22" t="str">
        <f>IF(MOV_CC_NACIONAL!A1253="","",MOV_CC_NACIONAL!A1253)</f>
        <v/>
      </c>
      <c r="C1253" s="22" t="str">
        <f>IF(MOV_CC_NACIONAL!B1253="","",MOV_CC_NACIONAL!B1253)</f>
        <v/>
      </c>
      <c r="D1253" s="34" t="str">
        <f>IF(MOV_CC_NACIONAL!C1253="","",MOV_CC_NACIONAL!C1253)</f>
        <v/>
      </c>
      <c r="E1253" s="22" t="str">
        <f t="shared" si="1"/>
        <v/>
      </c>
      <c r="F1253" s="22" t="str">
        <f>IFERROR(__xludf.DUMMYFUNCTION("IF(C1253="""","""", OR(REGEXMATCH(LOWER(C1253),""cuota""), REGEXMATCH(C1253,""\d+\s*/\s*\d+"")))"),"")</f>
        <v/>
      </c>
      <c r="G1253" s="22" t="str">
        <f>IFERROR(__xludf.DUMMYFUNCTION("IFERROR(VALUE(REGEXEXTRACT(C1253,""(\d+)\s*/\s*\d+"")),"""")"),"")</f>
        <v/>
      </c>
      <c r="H1253" s="22" t="str">
        <f>IFERROR(__xludf.DUMMYFUNCTION("IFERROR(VALUE(REGEXEXTRACT(C1253,""\d+\s*/\s*(\d+)"")),"""")"),"")</f>
        <v/>
      </c>
      <c r="I1253" s="22" t="str">
        <f t="shared" si="2"/>
        <v/>
      </c>
      <c r="J1253" s="34" t="str">
        <f t="shared" si="3"/>
        <v/>
      </c>
    </row>
    <row r="1254" ht="15.75" customHeight="1">
      <c r="A1254" s="32" t="s">
        <v>113</v>
      </c>
      <c r="B1254" s="32" t="str">
        <f>IF(MOV_CC_NACIONAL!A1254="","",MOV_CC_NACIONAL!A1254)</f>
        <v/>
      </c>
      <c r="C1254" s="32" t="str">
        <f>IF(MOV_CC_NACIONAL!B1254="","",MOV_CC_NACIONAL!B1254)</f>
        <v/>
      </c>
      <c r="D1254" s="33" t="str">
        <f>IF(MOV_CC_NACIONAL!C1254="","",MOV_CC_NACIONAL!C1254)</f>
        <v/>
      </c>
      <c r="E1254" s="32" t="str">
        <f t="shared" si="1"/>
        <v/>
      </c>
      <c r="F1254" s="32" t="str">
        <f>IFERROR(__xludf.DUMMYFUNCTION("IF(C1254="""","""", OR(REGEXMATCH(LOWER(C1254),""cuota""), REGEXMATCH(C1254,""\d+\s*/\s*\d+"")))"),"")</f>
        <v/>
      </c>
      <c r="G1254" s="32" t="str">
        <f>IFERROR(__xludf.DUMMYFUNCTION("IFERROR(VALUE(REGEXEXTRACT(C1254,""(\d+)\s*/\s*\d+"")),"""")"),"")</f>
        <v/>
      </c>
      <c r="H1254" s="32" t="str">
        <f>IFERROR(__xludf.DUMMYFUNCTION("IFERROR(VALUE(REGEXEXTRACT(C1254,""\d+\s*/\s*(\d+)"")),"""")"),"")</f>
        <v/>
      </c>
      <c r="I1254" s="32" t="str">
        <f t="shared" si="2"/>
        <v/>
      </c>
      <c r="J1254" s="33" t="str">
        <f t="shared" si="3"/>
        <v/>
      </c>
    </row>
    <row r="1255" ht="15.75" customHeight="1">
      <c r="A1255" s="22" t="s">
        <v>113</v>
      </c>
      <c r="B1255" s="22" t="str">
        <f>IF(MOV_CC_NACIONAL!A1255="","",MOV_CC_NACIONAL!A1255)</f>
        <v/>
      </c>
      <c r="C1255" s="22" t="str">
        <f>IF(MOV_CC_NACIONAL!B1255="","",MOV_CC_NACIONAL!B1255)</f>
        <v/>
      </c>
      <c r="D1255" s="34" t="str">
        <f>IF(MOV_CC_NACIONAL!C1255="","",MOV_CC_NACIONAL!C1255)</f>
        <v/>
      </c>
      <c r="E1255" s="22" t="str">
        <f t="shared" si="1"/>
        <v/>
      </c>
      <c r="F1255" s="22" t="str">
        <f>IFERROR(__xludf.DUMMYFUNCTION("IF(C1255="""","""", OR(REGEXMATCH(LOWER(C1255),""cuota""), REGEXMATCH(C1255,""\d+\s*/\s*\d+"")))"),"")</f>
        <v/>
      </c>
      <c r="G1255" s="22" t="str">
        <f>IFERROR(__xludf.DUMMYFUNCTION("IFERROR(VALUE(REGEXEXTRACT(C1255,""(\d+)\s*/\s*\d+"")),"""")"),"")</f>
        <v/>
      </c>
      <c r="H1255" s="22" t="str">
        <f>IFERROR(__xludf.DUMMYFUNCTION("IFERROR(VALUE(REGEXEXTRACT(C1255,""\d+\s*/\s*(\d+)"")),"""")"),"")</f>
        <v/>
      </c>
      <c r="I1255" s="22" t="str">
        <f t="shared" si="2"/>
        <v/>
      </c>
      <c r="J1255" s="34" t="str">
        <f t="shared" si="3"/>
        <v/>
      </c>
    </row>
    <row r="1256" ht="15.75" customHeight="1">
      <c r="A1256" s="32" t="s">
        <v>113</v>
      </c>
      <c r="B1256" s="32" t="str">
        <f>IF(MOV_CC_NACIONAL!A1256="","",MOV_CC_NACIONAL!A1256)</f>
        <v/>
      </c>
      <c r="C1256" s="32" t="str">
        <f>IF(MOV_CC_NACIONAL!B1256="","",MOV_CC_NACIONAL!B1256)</f>
        <v/>
      </c>
      <c r="D1256" s="33" t="str">
        <f>IF(MOV_CC_NACIONAL!C1256="","",MOV_CC_NACIONAL!C1256)</f>
        <v/>
      </c>
      <c r="E1256" s="32" t="str">
        <f t="shared" si="1"/>
        <v/>
      </c>
      <c r="F1256" s="32" t="str">
        <f>IFERROR(__xludf.DUMMYFUNCTION("IF(C1256="""","""", OR(REGEXMATCH(LOWER(C1256),""cuota""), REGEXMATCH(C1256,""\d+\s*/\s*\d+"")))"),"")</f>
        <v/>
      </c>
      <c r="G1256" s="32" t="str">
        <f>IFERROR(__xludf.DUMMYFUNCTION("IFERROR(VALUE(REGEXEXTRACT(C1256,""(\d+)\s*/\s*\d+"")),"""")"),"")</f>
        <v/>
      </c>
      <c r="H1256" s="32" t="str">
        <f>IFERROR(__xludf.DUMMYFUNCTION("IFERROR(VALUE(REGEXEXTRACT(C1256,""\d+\s*/\s*(\d+)"")),"""")"),"")</f>
        <v/>
      </c>
      <c r="I1256" s="32" t="str">
        <f t="shared" si="2"/>
        <v/>
      </c>
      <c r="J1256" s="33" t="str">
        <f t="shared" si="3"/>
        <v/>
      </c>
    </row>
    <row r="1257" ht="15.75" customHeight="1">
      <c r="A1257" s="22" t="s">
        <v>113</v>
      </c>
      <c r="B1257" s="22" t="str">
        <f>IF(MOV_CC_NACIONAL!A1257="","",MOV_CC_NACIONAL!A1257)</f>
        <v/>
      </c>
      <c r="C1257" s="22" t="str">
        <f>IF(MOV_CC_NACIONAL!B1257="","",MOV_CC_NACIONAL!B1257)</f>
        <v/>
      </c>
      <c r="D1257" s="34" t="str">
        <f>IF(MOV_CC_NACIONAL!C1257="","",MOV_CC_NACIONAL!C1257)</f>
        <v/>
      </c>
      <c r="E1257" s="22" t="str">
        <f t="shared" si="1"/>
        <v/>
      </c>
      <c r="F1257" s="22" t="str">
        <f>IFERROR(__xludf.DUMMYFUNCTION("IF(C1257="""","""", OR(REGEXMATCH(LOWER(C1257),""cuota""), REGEXMATCH(C1257,""\d+\s*/\s*\d+"")))"),"")</f>
        <v/>
      </c>
      <c r="G1257" s="22" t="str">
        <f>IFERROR(__xludf.DUMMYFUNCTION("IFERROR(VALUE(REGEXEXTRACT(C1257,""(\d+)\s*/\s*\d+"")),"""")"),"")</f>
        <v/>
      </c>
      <c r="H1257" s="22" t="str">
        <f>IFERROR(__xludf.DUMMYFUNCTION("IFERROR(VALUE(REGEXEXTRACT(C1257,""\d+\s*/\s*(\d+)"")),"""")"),"")</f>
        <v/>
      </c>
      <c r="I1257" s="22" t="str">
        <f t="shared" si="2"/>
        <v/>
      </c>
      <c r="J1257" s="34" t="str">
        <f t="shared" si="3"/>
        <v/>
      </c>
    </row>
    <row r="1258" ht="15.75" customHeight="1">
      <c r="A1258" s="32" t="s">
        <v>113</v>
      </c>
      <c r="B1258" s="32" t="str">
        <f>IF(MOV_CC_NACIONAL!A1258="","",MOV_CC_NACIONAL!A1258)</f>
        <v/>
      </c>
      <c r="C1258" s="32" t="str">
        <f>IF(MOV_CC_NACIONAL!B1258="","",MOV_CC_NACIONAL!B1258)</f>
        <v/>
      </c>
      <c r="D1258" s="33" t="str">
        <f>IF(MOV_CC_NACIONAL!C1258="","",MOV_CC_NACIONAL!C1258)</f>
        <v/>
      </c>
      <c r="E1258" s="32" t="str">
        <f t="shared" si="1"/>
        <v/>
      </c>
      <c r="F1258" s="32" t="str">
        <f>IFERROR(__xludf.DUMMYFUNCTION("IF(C1258="""","""", OR(REGEXMATCH(LOWER(C1258),""cuota""), REGEXMATCH(C1258,""\d+\s*/\s*\d+"")))"),"")</f>
        <v/>
      </c>
      <c r="G1258" s="32" t="str">
        <f>IFERROR(__xludf.DUMMYFUNCTION("IFERROR(VALUE(REGEXEXTRACT(C1258,""(\d+)\s*/\s*\d+"")),"""")"),"")</f>
        <v/>
      </c>
      <c r="H1258" s="32" t="str">
        <f>IFERROR(__xludf.DUMMYFUNCTION("IFERROR(VALUE(REGEXEXTRACT(C1258,""\d+\s*/\s*(\d+)"")),"""")"),"")</f>
        <v/>
      </c>
      <c r="I1258" s="32" t="str">
        <f t="shared" si="2"/>
        <v/>
      </c>
      <c r="J1258" s="33" t="str">
        <f t="shared" si="3"/>
        <v/>
      </c>
    </row>
    <row r="1259" ht="15.75" customHeight="1">
      <c r="A1259" s="22" t="s">
        <v>113</v>
      </c>
      <c r="B1259" s="22" t="str">
        <f>IF(MOV_CC_NACIONAL!A1259="","",MOV_CC_NACIONAL!A1259)</f>
        <v/>
      </c>
      <c r="C1259" s="22" t="str">
        <f>IF(MOV_CC_NACIONAL!B1259="","",MOV_CC_NACIONAL!B1259)</f>
        <v/>
      </c>
      <c r="D1259" s="34" t="str">
        <f>IF(MOV_CC_NACIONAL!C1259="","",MOV_CC_NACIONAL!C1259)</f>
        <v/>
      </c>
      <c r="E1259" s="22" t="str">
        <f t="shared" si="1"/>
        <v/>
      </c>
      <c r="F1259" s="22" t="str">
        <f>IFERROR(__xludf.DUMMYFUNCTION("IF(C1259="""","""", OR(REGEXMATCH(LOWER(C1259),""cuota""), REGEXMATCH(C1259,""\d+\s*/\s*\d+"")))"),"")</f>
        <v/>
      </c>
      <c r="G1259" s="22" t="str">
        <f>IFERROR(__xludf.DUMMYFUNCTION("IFERROR(VALUE(REGEXEXTRACT(C1259,""(\d+)\s*/\s*\d+"")),"""")"),"")</f>
        <v/>
      </c>
      <c r="H1259" s="22" t="str">
        <f>IFERROR(__xludf.DUMMYFUNCTION("IFERROR(VALUE(REGEXEXTRACT(C1259,""\d+\s*/\s*(\d+)"")),"""")"),"")</f>
        <v/>
      </c>
      <c r="I1259" s="22" t="str">
        <f t="shared" si="2"/>
        <v/>
      </c>
      <c r="J1259" s="34" t="str">
        <f t="shared" si="3"/>
        <v/>
      </c>
    </row>
    <row r="1260" ht="15.75" customHeight="1">
      <c r="A1260" s="32" t="s">
        <v>113</v>
      </c>
      <c r="B1260" s="32" t="str">
        <f>IF(MOV_CC_NACIONAL!A1260="","",MOV_CC_NACIONAL!A1260)</f>
        <v/>
      </c>
      <c r="C1260" s="32" t="str">
        <f>IF(MOV_CC_NACIONAL!B1260="","",MOV_CC_NACIONAL!B1260)</f>
        <v/>
      </c>
      <c r="D1260" s="33" t="str">
        <f>IF(MOV_CC_NACIONAL!C1260="","",MOV_CC_NACIONAL!C1260)</f>
        <v/>
      </c>
      <c r="E1260" s="32" t="str">
        <f t="shared" si="1"/>
        <v/>
      </c>
      <c r="F1260" s="32" t="str">
        <f>IFERROR(__xludf.DUMMYFUNCTION("IF(C1260="""","""", OR(REGEXMATCH(LOWER(C1260),""cuota""), REGEXMATCH(C1260,""\d+\s*/\s*\d+"")))"),"")</f>
        <v/>
      </c>
      <c r="G1260" s="32" t="str">
        <f>IFERROR(__xludf.DUMMYFUNCTION("IFERROR(VALUE(REGEXEXTRACT(C1260,""(\d+)\s*/\s*\d+"")),"""")"),"")</f>
        <v/>
      </c>
      <c r="H1260" s="32" t="str">
        <f>IFERROR(__xludf.DUMMYFUNCTION("IFERROR(VALUE(REGEXEXTRACT(C1260,""\d+\s*/\s*(\d+)"")),"""")"),"")</f>
        <v/>
      </c>
      <c r="I1260" s="32" t="str">
        <f t="shared" si="2"/>
        <v/>
      </c>
      <c r="J1260" s="33" t="str">
        <f t="shared" si="3"/>
        <v/>
      </c>
    </row>
    <row r="1261" ht="15.75" customHeight="1">
      <c r="A1261" s="22" t="s">
        <v>113</v>
      </c>
      <c r="B1261" s="22" t="str">
        <f>IF(MOV_CC_NACIONAL!A1261="","",MOV_CC_NACIONAL!A1261)</f>
        <v/>
      </c>
      <c r="C1261" s="22" t="str">
        <f>IF(MOV_CC_NACIONAL!B1261="","",MOV_CC_NACIONAL!B1261)</f>
        <v/>
      </c>
      <c r="D1261" s="34" t="str">
        <f>IF(MOV_CC_NACIONAL!C1261="","",MOV_CC_NACIONAL!C1261)</f>
        <v/>
      </c>
      <c r="E1261" s="22" t="str">
        <f t="shared" si="1"/>
        <v/>
      </c>
      <c r="F1261" s="22" t="str">
        <f>IFERROR(__xludf.DUMMYFUNCTION("IF(C1261="""","""", OR(REGEXMATCH(LOWER(C1261),""cuota""), REGEXMATCH(C1261,""\d+\s*/\s*\d+"")))"),"")</f>
        <v/>
      </c>
      <c r="G1261" s="22" t="str">
        <f>IFERROR(__xludf.DUMMYFUNCTION("IFERROR(VALUE(REGEXEXTRACT(C1261,""(\d+)\s*/\s*\d+"")),"""")"),"")</f>
        <v/>
      </c>
      <c r="H1261" s="22" t="str">
        <f>IFERROR(__xludf.DUMMYFUNCTION("IFERROR(VALUE(REGEXEXTRACT(C1261,""\d+\s*/\s*(\d+)"")),"""")"),"")</f>
        <v/>
      </c>
      <c r="I1261" s="22" t="str">
        <f t="shared" si="2"/>
        <v/>
      </c>
      <c r="J1261" s="34" t="str">
        <f t="shared" si="3"/>
        <v/>
      </c>
    </row>
    <row r="1262" ht="15.75" customHeight="1">
      <c r="A1262" s="32" t="s">
        <v>113</v>
      </c>
      <c r="B1262" s="32" t="str">
        <f>IF(MOV_CC_NACIONAL!A1262="","",MOV_CC_NACIONAL!A1262)</f>
        <v/>
      </c>
      <c r="C1262" s="32" t="str">
        <f>IF(MOV_CC_NACIONAL!B1262="","",MOV_CC_NACIONAL!B1262)</f>
        <v/>
      </c>
      <c r="D1262" s="33" t="str">
        <f>IF(MOV_CC_NACIONAL!C1262="","",MOV_CC_NACIONAL!C1262)</f>
        <v/>
      </c>
      <c r="E1262" s="32" t="str">
        <f t="shared" si="1"/>
        <v/>
      </c>
      <c r="F1262" s="32" t="str">
        <f>IFERROR(__xludf.DUMMYFUNCTION("IF(C1262="""","""", OR(REGEXMATCH(LOWER(C1262),""cuota""), REGEXMATCH(C1262,""\d+\s*/\s*\d+"")))"),"")</f>
        <v/>
      </c>
      <c r="G1262" s="32" t="str">
        <f>IFERROR(__xludf.DUMMYFUNCTION("IFERROR(VALUE(REGEXEXTRACT(C1262,""(\d+)\s*/\s*\d+"")),"""")"),"")</f>
        <v/>
      </c>
      <c r="H1262" s="32" t="str">
        <f>IFERROR(__xludf.DUMMYFUNCTION("IFERROR(VALUE(REGEXEXTRACT(C1262,""\d+\s*/\s*(\d+)"")),"""")"),"")</f>
        <v/>
      </c>
      <c r="I1262" s="32" t="str">
        <f t="shared" si="2"/>
        <v/>
      </c>
      <c r="J1262" s="33" t="str">
        <f t="shared" si="3"/>
        <v/>
      </c>
    </row>
    <row r="1263" ht="15.75" customHeight="1">
      <c r="A1263" s="22" t="s">
        <v>113</v>
      </c>
      <c r="B1263" s="22" t="str">
        <f>IF(MOV_CC_NACIONAL!A1263="","",MOV_CC_NACIONAL!A1263)</f>
        <v/>
      </c>
      <c r="C1263" s="22" t="str">
        <f>IF(MOV_CC_NACIONAL!B1263="","",MOV_CC_NACIONAL!B1263)</f>
        <v/>
      </c>
      <c r="D1263" s="34" t="str">
        <f>IF(MOV_CC_NACIONAL!C1263="","",MOV_CC_NACIONAL!C1263)</f>
        <v/>
      </c>
      <c r="E1263" s="22" t="str">
        <f t="shared" si="1"/>
        <v/>
      </c>
      <c r="F1263" s="22" t="str">
        <f>IFERROR(__xludf.DUMMYFUNCTION("IF(C1263="""","""", OR(REGEXMATCH(LOWER(C1263),""cuota""), REGEXMATCH(C1263,""\d+\s*/\s*\d+"")))"),"")</f>
        <v/>
      </c>
      <c r="G1263" s="22" t="str">
        <f>IFERROR(__xludf.DUMMYFUNCTION("IFERROR(VALUE(REGEXEXTRACT(C1263,""(\d+)\s*/\s*\d+"")),"""")"),"")</f>
        <v/>
      </c>
      <c r="H1263" s="22" t="str">
        <f>IFERROR(__xludf.DUMMYFUNCTION("IFERROR(VALUE(REGEXEXTRACT(C1263,""\d+\s*/\s*(\d+)"")),"""")"),"")</f>
        <v/>
      </c>
      <c r="I1263" s="22" t="str">
        <f t="shared" si="2"/>
        <v/>
      </c>
      <c r="J1263" s="34" t="str">
        <f t="shared" si="3"/>
        <v/>
      </c>
    </row>
    <row r="1264" ht="15.75" customHeight="1">
      <c r="A1264" s="32" t="s">
        <v>113</v>
      </c>
      <c r="B1264" s="32" t="str">
        <f>IF(MOV_CC_NACIONAL!A1264="","",MOV_CC_NACIONAL!A1264)</f>
        <v/>
      </c>
      <c r="C1264" s="32" t="str">
        <f>IF(MOV_CC_NACIONAL!B1264="","",MOV_CC_NACIONAL!B1264)</f>
        <v/>
      </c>
      <c r="D1264" s="33" t="str">
        <f>IF(MOV_CC_NACIONAL!C1264="","",MOV_CC_NACIONAL!C1264)</f>
        <v/>
      </c>
      <c r="E1264" s="32" t="str">
        <f t="shared" si="1"/>
        <v/>
      </c>
      <c r="F1264" s="32" t="str">
        <f>IFERROR(__xludf.DUMMYFUNCTION("IF(C1264="""","""", OR(REGEXMATCH(LOWER(C1264),""cuota""), REGEXMATCH(C1264,""\d+\s*/\s*\d+"")))"),"")</f>
        <v/>
      </c>
      <c r="G1264" s="32" t="str">
        <f>IFERROR(__xludf.DUMMYFUNCTION("IFERROR(VALUE(REGEXEXTRACT(C1264,""(\d+)\s*/\s*\d+"")),"""")"),"")</f>
        <v/>
      </c>
      <c r="H1264" s="32" t="str">
        <f>IFERROR(__xludf.DUMMYFUNCTION("IFERROR(VALUE(REGEXEXTRACT(C1264,""\d+\s*/\s*(\d+)"")),"""")"),"")</f>
        <v/>
      </c>
      <c r="I1264" s="32" t="str">
        <f t="shared" si="2"/>
        <v/>
      </c>
      <c r="J1264" s="33" t="str">
        <f t="shared" si="3"/>
        <v/>
      </c>
    </row>
    <row r="1265" ht="15.75" customHeight="1">
      <c r="A1265" s="22" t="s">
        <v>113</v>
      </c>
      <c r="B1265" s="22" t="str">
        <f>IF(MOV_CC_NACIONAL!A1265="","",MOV_CC_NACIONAL!A1265)</f>
        <v/>
      </c>
      <c r="C1265" s="22" t="str">
        <f>IF(MOV_CC_NACIONAL!B1265="","",MOV_CC_NACIONAL!B1265)</f>
        <v/>
      </c>
      <c r="D1265" s="34" t="str">
        <f>IF(MOV_CC_NACIONAL!C1265="","",MOV_CC_NACIONAL!C1265)</f>
        <v/>
      </c>
      <c r="E1265" s="22" t="str">
        <f t="shared" si="1"/>
        <v/>
      </c>
      <c r="F1265" s="22" t="str">
        <f>IFERROR(__xludf.DUMMYFUNCTION("IF(C1265="""","""", OR(REGEXMATCH(LOWER(C1265),""cuota""), REGEXMATCH(C1265,""\d+\s*/\s*\d+"")))"),"")</f>
        <v/>
      </c>
      <c r="G1265" s="22" t="str">
        <f>IFERROR(__xludf.DUMMYFUNCTION("IFERROR(VALUE(REGEXEXTRACT(C1265,""(\d+)\s*/\s*\d+"")),"""")"),"")</f>
        <v/>
      </c>
      <c r="H1265" s="22" t="str">
        <f>IFERROR(__xludf.DUMMYFUNCTION("IFERROR(VALUE(REGEXEXTRACT(C1265,""\d+\s*/\s*(\d+)"")),"""")"),"")</f>
        <v/>
      </c>
      <c r="I1265" s="22" t="str">
        <f t="shared" si="2"/>
        <v/>
      </c>
      <c r="J1265" s="34" t="str">
        <f t="shared" si="3"/>
        <v/>
      </c>
    </row>
    <row r="1266" ht="15.75" customHeight="1">
      <c r="A1266" s="32" t="s">
        <v>113</v>
      </c>
      <c r="B1266" s="32" t="str">
        <f>IF(MOV_CC_NACIONAL!A1266="","",MOV_CC_NACIONAL!A1266)</f>
        <v/>
      </c>
      <c r="C1266" s="32" t="str">
        <f>IF(MOV_CC_NACIONAL!B1266="","",MOV_CC_NACIONAL!B1266)</f>
        <v/>
      </c>
      <c r="D1266" s="33" t="str">
        <f>IF(MOV_CC_NACIONAL!C1266="","",MOV_CC_NACIONAL!C1266)</f>
        <v/>
      </c>
      <c r="E1266" s="32" t="str">
        <f t="shared" si="1"/>
        <v/>
      </c>
      <c r="F1266" s="32" t="str">
        <f>IFERROR(__xludf.DUMMYFUNCTION("IF(C1266="""","""", OR(REGEXMATCH(LOWER(C1266),""cuota""), REGEXMATCH(C1266,""\d+\s*/\s*\d+"")))"),"")</f>
        <v/>
      </c>
      <c r="G1266" s="32" t="str">
        <f>IFERROR(__xludf.DUMMYFUNCTION("IFERROR(VALUE(REGEXEXTRACT(C1266,""(\d+)\s*/\s*\d+"")),"""")"),"")</f>
        <v/>
      </c>
      <c r="H1266" s="32" t="str">
        <f>IFERROR(__xludf.DUMMYFUNCTION("IFERROR(VALUE(REGEXEXTRACT(C1266,""\d+\s*/\s*(\d+)"")),"""")"),"")</f>
        <v/>
      </c>
      <c r="I1266" s="32" t="str">
        <f t="shared" si="2"/>
        <v/>
      </c>
      <c r="J1266" s="33" t="str">
        <f t="shared" si="3"/>
        <v/>
      </c>
    </row>
    <row r="1267" ht="15.75" customHeight="1">
      <c r="A1267" s="22" t="s">
        <v>113</v>
      </c>
      <c r="B1267" s="22" t="str">
        <f>IF(MOV_CC_NACIONAL!A1267="","",MOV_CC_NACIONAL!A1267)</f>
        <v/>
      </c>
      <c r="C1267" s="22" t="str">
        <f>IF(MOV_CC_NACIONAL!B1267="","",MOV_CC_NACIONAL!B1267)</f>
        <v/>
      </c>
      <c r="D1267" s="34" t="str">
        <f>IF(MOV_CC_NACIONAL!C1267="","",MOV_CC_NACIONAL!C1267)</f>
        <v/>
      </c>
      <c r="E1267" s="22" t="str">
        <f t="shared" si="1"/>
        <v/>
      </c>
      <c r="F1267" s="22" t="str">
        <f>IFERROR(__xludf.DUMMYFUNCTION("IF(C1267="""","""", OR(REGEXMATCH(LOWER(C1267),""cuota""), REGEXMATCH(C1267,""\d+\s*/\s*\d+"")))"),"")</f>
        <v/>
      </c>
      <c r="G1267" s="22" t="str">
        <f>IFERROR(__xludf.DUMMYFUNCTION("IFERROR(VALUE(REGEXEXTRACT(C1267,""(\d+)\s*/\s*\d+"")),"""")"),"")</f>
        <v/>
      </c>
      <c r="H1267" s="22" t="str">
        <f>IFERROR(__xludf.DUMMYFUNCTION("IFERROR(VALUE(REGEXEXTRACT(C1267,""\d+\s*/\s*(\d+)"")),"""")"),"")</f>
        <v/>
      </c>
      <c r="I1267" s="22" t="str">
        <f t="shared" si="2"/>
        <v/>
      </c>
      <c r="J1267" s="34" t="str">
        <f t="shared" si="3"/>
        <v/>
      </c>
    </row>
    <row r="1268" ht="15.75" customHeight="1">
      <c r="A1268" s="32" t="s">
        <v>113</v>
      </c>
      <c r="B1268" s="32" t="str">
        <f>IF(MOV_CC_NACIONAL!A1268="","",MOV_CC_NACIONAL!A1268)</f>
        <v/>
      </c>
      <c r="C1268" s="32" t="str">
        <f>IF(MOV_CC_NACIONAL!B1268="","",MOV_CC_NACIONAL!B1268)</f>
        <v/>
      </c>
      <c r="D1268" s="33" t="str">
        <f>IF(MOV_CC_NACIONAL!C1268="","",MOV_CC_NACIONAL!C1268)</f>
        <v/>
      </c>
      <c r="E1268" s="32" t="str">
        <f t="shared" si="1"/>
        <v/>
      </c>
      <c r="F1268" s="32" t="str">
        <f>IFERROR(__xludf.DUMMYFUNCTION("IF(C1268="""","""", OR(REGEXMATCH(LOWER(C1268),""cuota""), REGEXMATCH(C1268,""\d+\s*/\s*\d+"")))"),"")</f>
        <v/>
      </c>
      <c r="G1268" s="32" t="str">
        <f>IFERROR(__xludf.DUMMYFUNCTION("IFERROR(VALUE(REGEXEXTRACT(C1268,""(\d+)\s*/\s*\d+"")),"""")"),"")</f>
        <v/>
      </c>
      <c r="H1268" s="32" t="str">
        <f>IFERROR(__xludf.DUMMYFUNCTION("IFERROR(VALUE(REGEXEXTRACT(C1268,""\d+\s*/\s*(\d+)"")),"""")"),"")</f>
        <v/>
      </c>
      <c r="I1268" s="32" t="str">
        <f t="shared" si="2"/>
        <v/>
      </c>
      <c r="J1268" s="33" t="str">
        <f t="shared" si="3"/>
        <v/>
      </c>
    </row>
    <row r="1269" ht="15.75" customHeight="1">
      <c r="A1269" s="22" t="s">
        <v>113</v>
      </c>
      <c r="B1269" s="22" t="str">
        <f>IF(MOV_CC_NACIONAL!A1269="","",MOV_CC_NACIONAL!A1269)</f>
        <v/>
      </c>
      <c r="C1269" s="22" t="str">
        <f>IF(MOV_CC_NACIONAL!B1269="","",MOV_CC_NACIONAL!B1269)</f>
        <v/>
      </c>
      <c r="D1269" s="34" t="str">
        <f>IF(MOV_CC_NACIONAL!C1269="","",MOV_CC_NACIONAL!C1269)</f>
        <v/>
      </c>
      <c r="E1269" s="22" t="str">
        <f t="shared" si="1"/>
        <v/>
      </c>
      <c r="F1269" s="22" t="str">
        <f>IFERROR(__xludf.DUMMYFUNCTION("IF(C1269="""","""", OR(REGEXMATCH(LOWER(C1269),""cuota""), REGEXMATCH(C1269,""\d+\s*/\s*\d+"")))"),"")</f>
        <v/>
      </c>
      <c r="G1269" s="22" t="str">
        <f>IFERROR(__xludf.DUMMYFUNCTION("IFERROR(VALUE(REGEXEXTRACT(C1269,""(\d+)\s*/\s*\d+"")),"""")"),"")</f>
        <v/>
      </c>
      <c r="H1269" s="22" t="str">
        <f>IFERROR(__xludf.DUMMYFUNCTION("IFERROR(VALUE(REGEXEXTRACT(C1269,""\d+\s*/\s*(\d+)"")),"""")"),"")</f>
        <v/>
      </c>
      <c r="I1269" s="22" t="str">
        <f t="shared" si="2"/>
        <v/>
      </c>
      <c r="J1269" s="34" t="str">
        <f t="shared" si="3"/>
        <v/>
      </c>
    </row>
    <row r="1270" ht="15.75" customHeight="1">
      <c r="A1270" s="32" t="s">
        <v>113</v>
      </c>
      <c r="B1270" s="32" t="str">
        <f>IF(MOV_CC_NACIONAL!A1270="","",MOV_CC_NACIONAL!A1270)</f>
        <v/>
      </c>
      <c r="C1270" s="32" t="str">
        <f>IF(MOV_CC_NACIONAL!B1270="","",MOV_CC_NACIONAL!B1270)</f>
        <v/>
      </c>
      <c r="D1270" s="33" t="str">
        <f>IF(MOV_CC_NACIONAL!C1270="","",MOV_CC_NACIONAL!C1270)</f>
        <v/>
      </c>
      <c r="E1270" s="32" t="str">
        <f t="shared" si="1"/>
        <v/>
      </c>
      <c r="F1270" s="32" t="str">
        <f>IFERROR(__xludf.DUMMYFUNCTION("IF(C1270="""","""", OR(REGEXMATCH(LOWER(C1270),""cuota""), REGEXMATCH(C1270,""\d+\s*/\s*\d+"")))"),"")</f>
        <v/>
      </c>
      <c r="G1270" s="32" t="str">
        <f>IFERROR(__xludf.DUMMYFUNCTION("IFERROR(VALUE(REGEXEXTRACT(C1270,""(\d+)\s*/\s*\d+"")),"""")"),"")</f>
        <v/>
      </c>
      <c r="H1270" s="32" t="str">
        <f>IFERROR(__xludf.DUMMYFUNCTION("IFERROR(VALUE(REGEXEXTRACT(C1270,""\d+\s*/\s*(\d+)"")),"""")"),"")</f>
        <v/>
      </c>
      <c r="I1270" s="32" t="str">
        <f t="shared" si="2"/>
        <v/>
      </c>
      <c r="J1270" s="33" t="str">
        <f t="shared" si="3"/>
        <v/>
      </c>
    </row>
    <row r="1271" ht="15.75" customHeight="1">
      <c r="A1271" s="22" t="s">
        <v>113</v>
      </c>
      <c r="B1271" s="22" t="str">
        <f>IF(MOV_CC_NACIONAL!A1271="","",MOV_CC_NACIONAL!A1271)</f>
        <v/>
      </c>
      <c r="C1271" s="22" t="str">
        <f>IF(MOV_CC_NACIONAL!B1271="","",MOV_CC_NACIONAL!B1271)</f>
        <v/>
      </c>
      <c r="D1271" s="34" t="str">
        <f>IF(MOV_CC_NACIONAL!C1271="","",MOV_CC_NACIONAL!C1271)</f>
        <v/>
      </c>
      <c r="E1271" s="22" t="str">
        <f t="shared" si="1"/>
        <v/>
      </c>
      <c r="F1271" s="22" t="str">
        <f>IFERROR(__xludf.DUMMYFUNCTION("IF(C1271="""","""", OR(REGEXMATCH(LOWER(C1271),""cuota""), REGEXMATCH(C1271,""\d+\s*/\s*\d+"")))"),"")</f>
        <v/>
      </c>
      <c r="G1271" s="22" t="str">
        <f>IFERROR(__xludf.DUMMYFUNCTION("IFERROR(VALUE(REGEXEXTRACT(C1271,""(\d+)\s*/\s*\d+"")),"""")"),"")</f>
        <v/>
      </c>
      <c r="H1271" s="22" t="str">
        <f>IFERROR(__xludf.DUMMYFUNCTION("IFERROR(VALUE(REGEXEXTRACT(C1271,""\d+\s*/\s*(\d+)"")),"""")"),"")</f>
        <v/>
      </c>
      <c r="I1271" s="22" t="str">
        <f t="shared" si="2"/>
        <v/>
      </c>
      <c r="J1271" s="34" t="str">
        <f t="shared" si="3"/>
        <v/>
      </c>
    </row>
    <row r="1272" ht="15.75" customHeight="1">
      <c r="A1272" s="32" t="s">
        <v>113</v>
      </c>
      <c r="B1272" s="32" t="str">
        <f>IF(MOV_CC_NACIONAL!A1272="","",MOV_CC_NACIONAL!A1272)</f>
        <v/>
      </c>
      <c r="C1272" s="32" t="str">
        <f>IF(MOV_CC_NACIONAL!B1272="","",MOV_CC_NACIONAL!B1272)</f>
        <v/>
      </c>
      <c r="D1272" s="33" t="str">
        <f>IF(MOV_CC_NACIONAL!C1272="","",MOV_CC_NACIONAL!C1272)</f>
        <v/>
      </c>
      <c r="E1272" s="32" t="str">
        <f t="shared" si="1"/>
        <v/>
      </c>
      <c r="F1272" s="32" t="str">
        <f>IFERROR(__xludf.DUMMYFUNCTION("IF(C1272="""","""", OR(REGEXMATCH(LOWER(C1272),""cuota""), REGEXMATCH(C1272,""\d+\s*/\s*\d+"")))"),"")</f>
        <v/>
      </c>
      <c r="G1272" s="32" t="str">
        <f>IFERROR(__xludf.DUMMYFUNCTION("IFERROR(VALUE(REGEXEXTRACT(C1272,""(\d+)\s*/\s*\d+"")),"""")"),"")</f>
        <v/>
      </c>
      <c r="H1272" s="32" t="str">
        <f>IFERROR(__xludf.DUMMYFUNCTION("IFERROR(VALUE(REGEXEXTRACT(C1272,""\d+\s*/\s*(\d+)"")),"""")"),"")</f>
        <v/>
      </c>
      <c r="I1272" s="32" t="str">
        <f t="shared" si="2"/>
        <v/>
      </c>
      <c r="J1272" s="33" t="str">
        <f t="shared" si="3"/>
        <v/>
      </c>
    </row>
    <row r="1273" ht="15.75" customHeight="1">
      <c r="A1273" s="22" t="s">
        <v>113</v>
      </c>
      <c r="B1273" s="22" t="str">
        <f>IF(MOV_CC_NACIONAL!A1273="","",MOV_CC_NACIONAL!A1273)</f>
        <v/>
      </c>
      <c r="C1273" s="22" t="str">
        <f>IF(MOV_CC_NACIONAL!B1273="","",MOV_CC_NACIONAL!B1273)</f>
        <v/>
      </c>
      <c r="D1273" s="34" t="str">
        <f>IF(MOV_CC_NACIONAL!C1273="","",MOV_CC_NACIONAL!C1273)</f>
        <v/>
      </c>
      <c r="E1273" s="22" t="str">
        <f t="shared" si="1"/>
        <v/>
      </c>
      <c r="F1273" s="22" t="str">
        <f>IFERROR(__xludf.DUMMYFUNCTION("IF(C1273="""","""", OR(REGEXMATCH(LOWER(C1273),""cuota""), REGEXMATCH(C1273,""\d+\s*/\s*\d+"")))"),"")</f>
        <v/>
      </c>
      <c r="G1273" s="22" t="str">
        <f>IFERROR(__xludf.DUMMYFUNCTION("IFERROR(VALUE(REGEXEXTRACT(C1273,""(\d+)\s*/\s*\d+"")),"""")"),"")</f>
        <v/>
      </c>
      <c r="H1273" s="22" t="str">
        <f>IFERROR(__xludf.DUMMYFUNCTION("IFERROR(VALUE(REGEXEXTRACT(C1273,""\d+\s*/\s*(\d+)"")),"""")"),"")</f>
        <v/>
      </c>
      <c r="I1273" s="22" t="str">
        <f t="shared" si="2"/>
        <v/>
      </c>
      <c r="J1273" s="34" t="str">
        <f t="shared" si="3"/>
        <v/>
      </c>
    </row>
    <row r="1274" ht="15.75" customHeight="1">
      <c r="A1274" s="32" t="s">
        <v>113</v>
      </c>
      <c r="B1274" s="32" t="str">
        <f>IF(MOV_CC_NACIONAL!A1274="","",MOV_CC_NACIONAL!A1274)</f>
        <v/>
      </c>
      <c r="C1274" s="32" t="str">
        <f>IF(MOV_CC_NACIONAL!B1274="","",MOV_CC_NACIONAL!B1274)</f>
        <v/>
      </c>
      <c r="D1274" s="33" t="str">
        <f>IF(MOV_CC_NACIONAL!C1274="","",MOV_CC_NACIONAL!C1274)</f>
        <v/>
      </c>
      <c r="E1274" s="32" t="str">
        <f t="shared" si="1"/>
        <v/>
      </c>
      <c r="F1274" s="32" t="str">
        <f>IFERROR(__xludf.DUMMYFUNCTION("IF(C1274="""","""", OR(REGEXMATCH(LOWER(C1274),""cuota""), REGEXMATCH(C1274,""\d+\s*/\s*\d+"")))"),"")</f>
        <v/>
      </c>
      <c r="G1274" s="32" t="str">
        <f>IFERROR(__xludf.DUMMYFUNCTION("IFERROR(VALUE(REGEXEXTRACT(C1274,""(\d+)\s*/\s*\d+"")),"""")"),"")</f>
        <v/>
      </c>
      <c r="H1274" s="32" t="str">
        <f>IFERROR(__xludf.DUMMYFUNCTION("IFERROR(VALUE(REGEXEXTRACT(C1274,""\d+\s*/\s*(\d+)"")),"""")"),"")</f>
        <v/>
      </c>
      <c r="I1274" s="32" t="str">
        <f t="shared" si="2"/>
        <v/>
      </c>
      <c r="J1274" s="33" t="str">
        <f t="shared" si="3"/>
        <v/>
      </c>
    </row>
    <row r="1275" ht="15.75" customHeight="1">
      <c r="A1275" s="22" t="s">
        <v>113</v>
      </c>
      <c r="B1275" s="22" t="str">
        <f>IF(MOV_CC_NACIONAL!A1275="","",MOV_CC_NACIONAL!A1275)</f>
        <v/>
      </c>
      <c r="C1275" s="22" t="str">
        <f>IF(MOV_CC_NACIONAL!B1275="","",MOV_CC_NACIONAL!B1275)</f>
        <v/>
      </c>
      <c r="D1275" s="34" t="str">
        <f>IF(MOV_CC_NACIONAL!C1275="","",MOV_CC_NACIONAL!C1275)</f>
        <v/>
      </c>
      <c r="E1275" s="22" t="str">
        <f t="shared" si="1"/>
        <v/>
      </c>
      <c r="F1275" s="22" t="str">
        <f>IFERROR(__xludf.DUMMYFUNCTION("IF(C1275="""","""", OR(REGEXMATCH(LOWER(C1275),""cuota""), REGEXMATCH(C1275,""\d+\s*/\s*\d+"")))"),"")</f>
        <v/>
      </c>
      <c r="G1275" s="22" t="str">
        <f>IFERROR(__xludf.DUMMYFUNCTION("IFERROR(VALUE(REGEXEXTRACT(C1275,""(\d+)\s*/\s*\d+"")),"""")"),"")</f>
        <v/>
      </c>
      <c r="H1275" s="22" t="str">
        <f>IFERROR(__xludf.DUMMYFUNCTION("IFERROR(VALUE(REGEXEXTRACT(C1275,""\d+\s*/\s*(\d+)"")),"""")"),"")</f>
        <v/>
      </c>
      <c r="I1275" s="22" t="str">
        <f t="shared" si="2"/>
        <v/>
      </c>
      <c r="J1275" s="34" t="str">
        <f t="shared" si="3"/>
        <v/>
      </c>
    </row>
    <row r="1276" ht="15.75" customHeight="1">
      <c r="A1276" s="32" t="s">
        <v>113</v>
      </c>
      <c r="B1276" s="32" t="str">
        <f>IF(MOV_CC_NACIONAL!A1276="","",MOV_CC_NACIONAL!A1276)</f>
        <v/>
      </c>
      <c r="C1276" s="32" t="str">
        <f>IF(MOV_CC_NACIONAL!B1276="","",MOV_CC_NACIONAL!B1276)</f>
        <v/>
      </c>
      <c r="D1276" s="33" t="str">
        <f>IF(MOV_CC_NACIONAL!C1276="","",MOV_CC_NACIONAL!C1276)</f>
        <v/>
      </c>
      <c r="E1276" s="32" t="str">
        <f t="shared" si="1"/>
        <v/>
      </c>
      <c r="F1276" s="32" t="str">
        <f>IFERROR(__xludf.DUMMYFUNCTION("IF(C1276="""","""", OR(REGEXMATCH(LOWER(C1276),""cuota""), REGEXMATCH(C1276,""\d+\s*/\s*\d+"")))"),"")</f>
        <v/>
      </c>
      <c r="G1276" s="32" t="str">
        <f>IFERROR(__xludf.DUMMYFUNCTION("IFERROR(VALUE(REGEXEXTRACT(C1276,""(\d+)\s*/\s*\d+"")),"""")"),"")</f>
        <v/>
      </c>
      <c r="H1276" s="32" t="str">
        <f>IFERROR(__xludf.DUMMYFUNCTION("IFERROR(VALUE(REGEXEXTRACT(C1276,""\d+\s*/\s*(\d+)"")),"""")"),"")</f>
        <v/>
      </c>
      <c r="I1276" s="32" t="str">
        <f t="shared" si="2"/>
        <v/>
      </c>
      <c r="J1276" s="33" t="str">
        <f t="shared" si="3"/>
        <v/>
      </c>
    </row>
    <row r="1277" ht="15.75" customHeight="1">
      <c r="A1277" s="22" t="s">
        <v>113</v>
      </c>
      <c r="B1277" s="22" t="str">
        <f>IF(MOV_CC_NACIONAL!A1277="","",MOV_CC_NACIONAL!A1277)</f>
        <v/>
      </c>
      <c r="C1277" s="22" t="str">
        <f>IF(MOV_CC_NACIONAL!B1277="","",MOV_CC_NACIONAL!B1277)</f>
        <v/>
      </c>
      <c r="D1277" s="34" t="str">
        <f>IF(MOV_CC_NACIONAL!C1277="","",MOV_CC_NACIONAL!C1277)</f>
        <v/>
      </c>
      <c r="E1277" s="22" t="str">
        <f t="shared" si="1"/>
        <v/>
      </c>
      <c r="F1277" s="22" t="str">
        <f>IFERROR(__xludf.DUMMYFUNCTION("IF(C1277="""","""", OR(REGEXMATCH(LOWER(C1277),""cuota""), REGEXMATCH(C1277,""\d+\s*/\s*\d+"")))"),"")</f>
        <v/>
      </c>
      <c r="G1277" s="22" t="str">
        <f>IFERROR(__xludf.DUMMYFUNCTION("IFERROR(VALUE(REGEXEXTRACT(C1277,""(\d+)\s*/\s*\d+"")),"""")"),"")</f>
        <v/>
      </c>
      <c r="H1277" s="22" t="str">
        <f>IFERROR(__xludf.DUMMYFUNCTION("IFERROR(VALUE(REGEXEXTRACT(C1277,""\d+\s*/\s*(\d+)"")),"""")"),"")</f>
        <v/>
      </c>
      <c r="I1277" s="22" t="str">
        <f t="shared" si="2"/>
        <v/>
      </c>
      <c r="J1277" s="34" t="str">
        <f t="shared" si="3"/>
        <v/>
      </c>
    </row>
    <row r="1278" ht="15.75" customHeight="1">
      <c r="A1278" s="32" t="s">
        <v>113</v>
      </c>
      <c r="B1278" s="32" t="str">
        <f>IF(MOV_CC_NACIONAL!A1278="","",MOV_CC_NACIONAL!A1278)</f>
        <v/>
      </c>
      <c r="C1278" s="32" t="str">
        <f>IF(MOV_CC_NACIONAL!B1278="","",MOV_CC_NACIONAL!B1278)</f>
        <v/>
      </c>
      <c r="D1278" s="33" t="str">
        <f>IF(MOV_CC_NACIONAL!C1278="","",MOV_CC_NACIONAL!C1278)</f>
        <v/>
      </c>
      <c r="E1278" s="32" t="str">
        <f t="shared" si="1"/>
        <v/>
      </c>
      <c r="F1278" s="32" t="str">
        <f>IFERROR(__xludf.DUMMYFUNCTION("IF(C1278="""","""", OR(REGEXMATCH(LOWER(C1278),""cuota""), REGEXMATCH(C1278,""\d+\s*/\s*\d+"")))"),"")</f>
        <v/>
      </c>
      <c r="G1278" s="32" t="str">
        <f>IFERROR(__xludf.DUMMYFUNCTION("IFERROR(VALUE(REGEXEXTRACT(C1278,""(\d+)\s*/\s*\d+"")),"""")"),"")</f>
        <v/>
      </c>
      <c r="H1278" s="32" t="str">
        <f>IFERROR(__xludf.DUMMYFUNCTION("IFERROR(VALUE(REGEXEXTRACT(C1278,""\d+\s*/\s*(\d+)"")),"""")"),"")</f>
        <v/>
      </c>
      <c r="I1278" s="32" t="str">
        <f t="shared" si="2"/>
        <v/>
      </c>
      <c r="J1278" s="33" t="str">
        <f t="shared" si="3"/>
        <v/>
      </c>
    </row>
    <row r="1279" ht="15.75" customHeight="1">
      <c r="A1279" s="22" t="s">
        <v>113</v>
      </c>
      <c r="B1279" s="22" t="str">
        <f>IF(MOV_CC_NACIONAL!A1279="","",MOV_CC_NACIONAL!A1279)</f>
        <v/>
      </c>
      <c r="C1279" s="22" t="str">
        <f>IF(MOV_CC_NACIONAL!B1279="","",MOV_CC_NACIONAL!B1279)</f>
        <v/>
      </c>
      <c r="D1279" s="34" t="str">
        <f>IF(MOV_CC_NACIONAL!C1279="","",MOV_CC_NACIONAL!C1279)</f>
        <v/>
      </c>
      <c r="E1279" s="22" t="str">
        <f t="shared" si="1"/>
        <v/>
      </c>
      <c r="F1279" s="22" t="str">
        <f>IFERROR(__xludf.DUMMYFUNCTION("IF(C1279="""","""", OR(REGEXMATCH(LOWER(C1279),""cuota""), REGEXMATCH(C1279,""\d+\s*/\s*\d+"")))"),"")</f>
        <v/>
      </c>
      <c r="G1279" s="22" t="str">
        <f>IFERROR(__xludf.DUMMYFUNCTION("IFERROR(VALUE(REGEXEXTRACT(C1279,""(\d+)\s*/\s*\d+"")),"""")"),"")</f>
        <v/>
      </c>
      <c r="H1279" s="22" t="str">
        <f>IFERROR(__xludf.DUMMYFUNCTION("IFERROR(VALUE(REGEXEXTRACT(C1279,""\d+\s*/\s*(\d+)"")),"""")"),"")</f>
        <v/>
      </c>
      <c r="I1279" s="22" t="str">
        <f t="shared" si="2"/>
        <v/>
      </c>
      <c r="J1279" s="34" t="str">
        <f t="shared" si="3"/>
        <v/>
      </c>
    </row>
    <row r="1280" ht="15.75" customHeight="1">
      <c r="A1280" s="32" t="s">
        <v>113</v>
      </c>
      <c r="B1280" s="32" t="str">
        <f>IF(MOV_CC_NACIONAL!A1280="","",MOV_CC_NACIONAL!A1280)</f>
        <v/>
      </c>
      <c r="C1280" s="32" t="str">
        <f>IF(MOV_CC_NACIONAL!B1280="","",MOV_CC_NACIONAL!B1280)</f>
        <v/>
      </c>
      <c r="D1280" s="33" t="str">
        <f>IF(MOV_CC_NACIONAL!C1280="","",MOV_CC_NACIONAL!C1280)</f>
        <v/>
      </c>
      <c r="E1280" s="32" t="str">
        <f t="shared" si="1"/>
        <v/>
      </c>
      <c r="F1280" s="32" t="str">
        <f>IFERROR(__xludf.DUMMYFUNCTION("IF(C1280="""","""", OR(REGEXMATCH(LOWER(C1280),""cuota""), REGEXMATCH(C1280,""\d+\s*/\s*\d+"")))"),"")</f>
        <v/>
      </c>
      <c r="G1280" s="32" t="str">
        <f>IFERROR(__xludf.DUMMYFUNCTION("IFERROR(VALUE(REGEXEXTRACT(C1280,""(\d+)\s*/\s*\d+"")),"""")"),"")</f>
        <v/>
      </c>
      <c r="H1280" s="32" t="str">
        <f>IFERROR(__xludf.DUMMYFUNCTION("IFERROR(VALUE(REGEXEXTRACT(C1280,""\d+\s*/\s*(\d+)"")),"""")"),"")</f>
        <v/>
      </c>
      <c r="I1280" s="32" t="str">
        <f t="shared" si="2"/>
        <v/>
      </c>
      <c r="J1280" s="33" t="str">
        <f t="shared" si="3"/>
        <v/>
      </c>
    </row>
    <row r="1281" ht="15.75" customHeight="1">
      <c r="A1281" s="22" t="s">
        <v>113</v>
      </c>
      <c r="B1281" s="22" t="str">
        <f>IF(MOV_CC_NACIONAL!A1281="","",MOV_CC_NACIONAL!A1281)</f>
        <v/>
      </c>
      <c r="C1281" s="22" t="str">
        <f>IF(MOV_CC_NACIONAL!B1281="","",MOV_CC_NACIONAL!B1281)</f>
        <v/>
      </c>
      <c r="D1281" s="34" t="str">
        <f>IF(MOV_CC_NACIONAL!C1281="","",MOV_CC_NACIONAL!C1281)</f>
        <v/>
      </c>
      <c r="E1281" s="22" t="str">
        <f t="shared" si="1"/>
        <v/>
      </c>
      <c r="F1281" s="22" t="str">
        <f>IFERROR(__xludf.DUMMYFUNCTION("IF(C1281="""","""", OR(REGEXMATCH(LOWER(C1281),""cuota""), REGEXMATCH(C1281,""\d+\s*/\s*\d+"")))"),"")</f>
        <v/>
      </c>
      <c r="G1281" s="22" t="str">
        <f>IFERROR(__xludf.DUMMYFUNCTION("IFERROR(VALUE(REGEXEXTRACT(C1281,""(\d+)\s*/\s*\d+"")),"""")"),"")</f>
        <v/>
      </c>
      <c r="H1281" s="22" t="str">
        <f>IFERROR(__xludf.DUMMYFUNCTION("IFERROR(VALUE(REGEXEXTRACT(C1281,""\d+\s*/\s*(\d+)"")),"""")"),"")</f>
        <v/>
      </c>
      <c r="I1281" s="22" t="str">
        <f t="shared" si="2"/>
        <v/>
      </c>
      <c r="J1281" s="34" t="str">
        <f t="shared" si="3"/>
        <v/>
      </c>
    </row>
    <row r="1282" ht="15.75" customHeight="1">
      <c r="A1282" s="32" t="s">
        <v>113</v>
      </c>
      <c r="B1282" s="32" t="str">
        <f>IF(MOV_CC_NACIONAL!A1282="","",MOV_CC_NACIONAL!A1282)</f>
        <v/>
      </c>
      <c r="C1282" s="32" t="str">
        <f>IF(MOV_CC_NACIONAL!B1282="","",MOV_CC_NACIONAL!B1282)</f>
        <v/>
      </c>
      <c r="D1282" s="33" t="str">
        <f>IF(MOV_CC_NACIONAL!C1282="","",MOV_CC_NACIONAL!C1282)</f>
        <v/>
      </c>
      <c r="E1282" s="32" t="str">
        <f t="shared" si="1"/>
        <v/>
      </c>
      <c r="F1282" s="32" t="str">
        <f>IFERROR(__xludf.DUMMYFUNCTION("IF(C1282="""","""", OR(REGEXMATCH(LOWER(C1282),""cuota""), REGEXMATCH(C1282,""\d+\s*/\s*\d+"")))"),"")</f>
        <v/>
      </c>
      <c r="G1282" s="32" t="str">
        <f>IFERROR(__xludf.DUMMYFUNCTION("IFERROR(VALUE(REGEXEXTRACT(C1282,""(\d+)\s*/\s*\d+"")),"""")"),"")</f>
        <v/>
      </c>
      <c r="H1282" s="32" t="str">
        <f>IFERROR(__xludf.DUMMYFUNCTION("IFERROR(VALUE(REGEXEXTRACT(C1282,""\d+\s*/\s*(\d+)"")),"""")"),"")</f>
        <v/>
      </c>
      <c r="I1282" s="32" t="str">
        <f t="shared" si="2"/>
        <v/>
      </c>
      <c r="J1282" s="33" t="str">
        <f t="shared" si="3"/>
        <v/>
      </c>
    </row>
    <row r="1283" ht="15.75" customHeight="1">
      <c r="A1283" s="22" t="s">
        <v>113</v>
      </c>
      <c r="B1283" s="22" t="str">
        <f>IF(MOV_CC_NACIONAL!A1283="","",MOV_CC_NACIONAL!A1283)</f>
        <v/>
      </c>
      <c r="C1283" s="22" t="str">
        <f>IF(MOV_CC_NACIONAL!B1283="","",MOV_CC_NACIONAL!B1283)</f>
        <v/>
      </c>
      <c r="D1283" s="34" t="str">
        <f>IF(MOV_CC_NACIONAL!C1283="","",MOV_CC_NACIONAL!C1283)</f>
        <v/>
      </c>
      <c r="E1283" s="22" t="str">
        <f t="shared" si="1"/>
        <v/>
      </c>
      <c r="F1283" s="22" t="str">
        <f>IFERROR(__xludf.DUMMYFUNCTION("IF(C1283="""","""", OR(REGEXMATCH(LOWER(C1283),""cuota""), REGEXMATCH(C1283,""\d+\s*/\s*\d+"")))"),"")</f>
        <v/>
      </c>
      <c r="G1283" s="22" t="str">
        <f>IFERROR(__xludf.DUMMYFUNCTION("IFERROR(VALUE(REGEXEXTRACT(C1283,""(\d+)\s*/\s*\d+"")),"""")"),"")</f>
        <v/>
      </c>
      <c r="H1283" s="22" t="str">
        <f>IFERROR(__xludf.DUMMYFUNCTION("IFERROR(VALUE(REGEXEXTRACT(C1283,""\d+\s*/\s*(\d+)"")),"""")"),"")</f>
        <v/>
      </c>
      <c r="I1283" s="22" t="str">
        <f t="shared" si="2"/>
        <v/>
      </c>
      <c r="J1283" s="34" t="str">
        <f t="shared" si="3"/>
        <v/>
      </c>
    </row>
    <row r="1284" ht="15.75" customHeight="1">
      <c r="A1284" s="32" t="s">
        <v>113</v>
      </c>
      <c r="B1284" s="32" t="str">
        <f>IF(MOV_CC_NACIONAL!A1284="","",MOV_CC_NACIONAL!A1284)</f>
        <v/>
      </c>
      <c r="C1284" s="32" t="str">
        <f>IF(MOV_CC_NACIONAL!B1284="","",MOV_CC_NACIONAL!B1284)</f>
        <v/>
      </c>
      <c r="D1284" s="33" t="str">
        <f>IF(MOV_CC_NACIONAL!C1284="","",MOV_CC_NACIONAL!C1284)</f>
        <v/>
      </c>
      <c r="E1284" s="32" t="str">
        <f t="shared" si="1"/>
        <v/>
      </c>
      <c r="F1284" s="32" t="str">
        <f>IFERROR(__xludf.DUMMYFUNCTION("IF(C1284="""","""", OR(REGEXMATCH(LOWER(C1284),""cuota""), REGEXMATCH(C1284,""\d+\s*/\s*\d+"")))"),"")</f>
        <v/>
      </c>
      <c r="G1284" s="32" t="str">
        <f>IFERROR(__xludf.DUMMYFUNCTION("IFERROR(VALUE(REGEXEXTRACT(C1284,""(\d+)\s*/\s*\d+"")),"""")"),"")</f>
        <v/>
      </c>
      <c r="H1284" s="32" t="str">
        <f>IFERROR(__xludf.DUMMYFUNCTION("IFERROR(VALUE(REGEXEXTRACT(C1284,""\d+\s*/\s*(\d+)"")),"""")"),"")</f>
        <v/>
      </c>
      <c r="I1284" s="32" t="str">
        <f t="shared" si="2"/>
        <v/>
      </c>
      <c r="J1284" s="33" t="str">
        <f t="shared" si="3"/>
        <v/>
      </c>
    </row>
    <row r="1285" ht="15.75" customHeight="1">
      <c r="A1285" s="22" t="s">
        <v>113</v>
      </c>
      <c r="B1285" s="22" t="str">
        <f>IF(MOV_CC_NACIONAL!A1285="","",MOV_CC_NACIONAL!A1285)</f>
        <v/>
      </c>
      <c r="C1285" s="22" t="str">
        <f>IF(MOV_CC_NACIONAL!B1285="","",MOV_CC_NACIONAL!B1285)</f>
        <v/>
      </c>
      <c r="D1285" s="34" t="str">
        <f>IF(MOV_CC_NACIONAL!C1285="","",MOV_CC_NACIONAL!C1285)</f>
        <v/>
      </c>
      <c r="E1285" s="22" t="str">
        <f t="shared" si="1"/>
        <v/>
      </c>
      <c r="F1285" s="22" t="str">
        <f>IFERROR(__xludf.DUMMYFUNCTION("IF(C1285="""","""", OR(REGEXMATCH(LOWER(C1285),""cuota""), REGEXMATCH(C1285,""\d+\s*/\s*\d+"")))"),"")</f>
        <v/>
      </c>
      <c r="G1285" s="22" t="str">
        <f>IFERROR(__xludf.DUMMYFUNCTION("IFERROR(VALUE(REGEXEXTRACT(C1285,""(\d+)\s*/\s*\d+"")),"""")"),"")</f>
        <v/>
      </c>
      <c r="H1285" s="22" t="str">
        <f>IFERROR(__xludf.DUMMYFUNCTION("IFERROR(VALUE(REGEXEXTRACT(C1285,""\d+\s*/\s*(\d+)"")),"""")"),"")</f>
        <v/>
      </c>
      <c r="I1285" s="22" t="str">
        <f t="shared" si="2"/>
        <v/>
      </c>
      <c r="J1285" s="34" t="str">
        <f t="shared" si="3"/>
        <v/>
      </c>
    </row>
    <row r="1286" ht="15.75" customHeight="1">
      <c r="A1286" s="32" t="s">
        <v>113</v>
      </c>
      <c r="B1286" s="32" t="str">
        <f>IF(MOV_CC_NACIONAL!A1286="","",MOV_CC_NACIONAL!A1286)</f>
        <v/>
      </c>
      <c r="C1286" s="32" t="str">
        <f>IF(MOV_CC_NACIONAL!B1286="","",MOV_CC_NACIONAL!B1286)</f>
        <v/>
      </c>
      <c r="D1286" s="33" t="str">
        <f>IF(MOV_CC_NACIONAL!C1286="","",MOV_CC_NACIONAL!C1286)</f>
        <v/>
      </c>
      <c r="E1286" s="32" t="str">
        <f t="shared" si="1"/>
        <v/>
      </c>
      <c r="F1286" s="32" t="str">
        <f>IFERROR(__xludf.DUMMYFUNCTION("IF(C1286="""","""", OR(REGEXMATCH(LOWER(C1286),""cuota""), REGEXMATCH(C1286,""\d+\s*/\s*\d+"")))"),"")</f>
        <v/>
      </c>
      <c r="G1286" s="32" t="str">
        <f>IFERROR(__xludf.DUMMYFUNCTION("IFERROR(VALUE(REGEXEXTRACT(C1286,""(\d+)\s*/\s*\d+"")),"""")"),"")</f>
        <v/>
      </c>
      <c r="H1286" s="32" t="str">
        <f>IFERROR(__xludf.DUMMYFUNCTION("IFERROR(VALUE(REGEXEXTRACT(C1286,""\d+\s*/\s*(\d+)"")),"""")"),"")</f>
        <v/>
      </c>
      <c r="I1286" s="32" t="str">
        <f t="shared" si="2"/>
        <v/>
      </c>
      <c r="J1286" s="33" t="str">
        <f t="shared" si="3"/>
        <v/>
      </c>
    </row>
    <row r="1287" ht="15.75" customHeight="1">
      <c r="A1287" s="22" t="s">
        <v>113</v>
      </c>
      <c r="B1287" s="22" t="str">
        <f>IF(MOV_CC_NACIONAL!A1287="","",MOV_CC_NACIONAL!A1287)</f>
        <v/>
      </c>
      <c r="C1287" s="22" t="str">
        <f>IF(MOV_CC_NACIONAL!B1287="","",MOV_CC_NACIONAL!B1287)</f>
        <v/>
      </c>
      <c r="D1287" s="34" t="str">
        <f>IF(MOV_CC_NACIONAL!C1287="","",MOV_CC_NACIONAL!C1287)</f>
        <v/>
      </c>
      <c r="E1287" s="22" t="str">
        <f t="shared" si="1"/>
        <v/>
      </c>
      <c r="F1287" s="22" t="str">
        <f>IFERROR(__xludf.DUMMYFUNCTION("IF(C1287="""","""", OR(REGEXMATCH(LOWER(C1287),""cuota""), REGEXMATCH(C1287,""\d+\s*/\s*\d+"")))"),"")</f>
        <v/>
      </c>
      <c r="G1287" s="22" t="str">
        <f>IFERROR(__xludf.DUMMYFUNCTION("IFERROR(VALUE(REGEXEXTRACT(C1287,""(\d+)\s*/\s*\d+"")),"""")"),"")</f>
        <v/>
      </c>
      <c r="H1287" s="22" t="str">
        <f>IFERROR(__xludf.DUMMYFUNCTION("IFERROR(VALUE(REGEXEXTRACT(C1287,""\d+\s*/\s*(\d+)"")),"""")"),"")</f>
        <v/>
      </c>
      <c r="I1287" s="22" t="str">
        <f t="shared" si="2"/>
        <v/>
      </c>
      <c r="J1287" s="34" t="str">
        <f t="shared" si="3"/>
        <v/>
      </c>
    </row>
    <row r="1288" ht="15.75" customHeight="1">
      <c r="A1288" s="32" t="s">
        <v>113</v>
      </c>
      <c r="B1288" s="32" t="str">
        <f>IF(MOV_CC_NACIONAL!A1288="","",MOV_CC_NACIONAL!A1288)</f>
        <v/>
      </c>
      <c r="C1288" s="32" t="str">
        <f>IF(MOV_CC_NACIONAL!B1288="","",MOV_CC_NACIONAL!B1288)</f>
        <v/>
      </c>
      <c r="D1288" s="33" t="str">
        <f>IF(MOV_CC_NACIONAL!C1288="","",MOV_CC_NACIONAL!C1288)</f>
        <v/>
      </c>
      <c r="E1288" s="32" t="str">
        <f t="shared" si="1"/>
        <v/>
      </c>
      <c r="F1288" s="32" t="str">
        <f>IFERROR(__xludf.DUMMYFUNCTION("IF(C1288="""","""", OR(REGEXMATCH(LOWER(C1288),""cuota""), REGEXMATCH(C1288,""\d+\s*/\s*\d+"")))"),"")</f>
        <v/>
      </c>
      <c r="G1288" s="32" t="str">
        <f>IFERROR(__xludf.DUMMYFUNCTION("IFERROR(VALUE(REGEXEXTRACT(C1288,""(\d+)\s*/\s*\d+"")),"""")"),"")</f>
        <v/>
      </c>
      <c r="H1288" s="32" t="str">
        <f>IFERROR(__xludf.DUMMYFUNCTION("IFERROR(VALUE(REGEXEXTRACT(C1288,""\d+\s*/\s*(\d+)"")),"""")"),"")</f>
        <v/>
      </c>
      <c r="I1288" s="32" t="str">
        <f t="shared" si="2"/>
        <v/>
      </c>
      <c r="J1288" s="33" t="str">
        <f t="shared" si="3"/>
        <v/>
      </c>
    </row>
    <row r="1289" ht="15.75" customHeight="1">
      <c r="A1289" s="22" t="s">
        <v>113</v>
      </c>
      <c r="B1289" s="22" t="str">
        <f>IF(MOV_CC_NACIONAL!A1289="","",MOV_CC_NACIONAL!A1289)</f>
        <v/>
      </c>
      <c r="C1289" s="22" t="str">
        <f>IF(MOV_CC_NACIONAL!B1289="","",MOV_CC_NACIONAL!B1289)</f>
        <v/>
      </c>
      <c r="D1289" s="34" t="str">
        <f>IF(MOV_CC_NACIONAL!C1289="","",MOV_CC_NACIONAL!C1289)</f>
        <v/>
      </c>
      <c r="E1289" s="22" t="str">
        <f t="shared" si="1"/>
        <v/>
      </c>
      <c r="F1289" s="22" t="str">
        <f>IFERROR(__xludf.DUMMYFUNCTION("IF(C1289="""","""", OR(REGEXMATCH(LOWER(C1289),""cuota""), REGEXMATCH(C1289,""\d+\s*/\s*\d+"")))"),"")</f>
        <v/>
      </c>
      <c r="G1289" s="22" t="str">
        <f>IFERROR(__xludf.DUMMYFUNCTION("IFERROR(VALUE(REGEXEXTRACT(C1289,""(\d+)\s*/\s*\d+"")),"""")"),"")</f>
        <v/>
      </c>
      <c r="H1289" s="22" t="str">
        <f>IFERROR(__xludf.DUMMYFUNCTION("IFERROR(VALUE(REGEXEXTRACT(C1289,""\d+\s*/\s*(\d+)"")),"""")"),"")</f>
        <v/>
      </c>
      <c r="I1289" s="22" t="str">
        <f t="shared" si="2"/>
        <v/>
      </c>
      <c r="J1289" s="34" t="str">
        <f t="shared" si="3"/>
        <v/>
      </c>
    </row>
    <row r="1290" ht="15.75" customHeight="1">
      <c r="A1290" s="32" t="s">
        <v>113</v>
      </c>
      <c r="B1290" s="32" t="str">
        <f>IF(MOV_CC_NACIONAL!A1290="","",MOV_CC_NACIONAL!A1290)</f>
        <v/>
      </c>
      <c r="C1290" s="32" t="str">
        <f>IF(MOV_CC_NACIONAL!B1290="","",MOV_CC_NACIONAL!B1290)</f>
        <v/>
      </c>
      <c r="D1290" s="33" t="str">
        <f>IF(MOV_CC_NACIONAL!C1290="","",MOV_CC_NACIONAL!C1290)</f>
        <v/>
      </c>
      <c r="E1290" s="32" t="str">
        <f t="shared" si="1"/>
        <v/>
      </c>
      <c r="F1290" s="32" t="str">
        <f>IFERROR(__xludf.DUMMYFUNCTION("IF(C1290="""","""", OR(REGEXMATCH(LOWER(C1290),""cuota""), REGEXMATCH(C1290,""\d+\s*/\s*\d+"")))"),"")</f>
        <v/>
      </c>
      <c r="G1290" s="32" t="str">
        <f>IFERROR(__xludf.DUMMYFUNCTION("IFERROR(VALUE(REGEXEXTRACT(C1290,""(\d+)\s*/\s*\d+"")),"""")"),"")</f>
        <v/>
      </c>
      <c r="H1290" s="32" t="str">
        <f>IFERROR(__xludf.DUMMYFUNCTION("IFERROR(VALUE(REGEXEXTRACT(C1290,""\d+\s*/\s*(\d+)"")),"""")"),"")</f>
        <v/>
      </c>
      <c r="I1290" s="32" t="str">
        <f t="shared" si="2"/>
        <v/>
      </c>
      <c r="J1290" s="33" t="str">
        <f t="shared" si="3"/>
        <v/>
      </c>
    </row>
    <row r="1291" ht="15.75" customHeight="1">
      <c r="A1291" s="22" t="s">
        <v>113</v>
      </c>
      <c r="B1291" s="22" t="str">
        <f>IF(MOV_CC_NACIONAL!A1291="","",MOV_CC_NACIONAL!A1291)</f>
        <v/>
      </c>
      <c r="C1291" s="22" t="str">
        <f>IF(MOV_CC_NACIONAL!B1291="","",MOV_CC_NACIONAL!B1291)</f>
        <v/>
      </c>
      <c r="D1291" s="34" t="str">
        <f>IF(MOV_CC_NACIONAL!C1291="","",MOV_CC_NACIONAL!C1291)</f>
        <v/>
      </c>
      <c r="E1291" s="22" t="str">
        <f t="shared" si="1"/>
        <v/>
      </c>
      <c r="F1291" s="22" t="str">
        <f>IFERROR(__xludf.DUMMYFUNCTION("IF(C1291="""","""", OR(REGEXMATCH(LOWER(C1291),""cuota""), REGEXMATCH(C1291,""\d+\s*/\s*\d+"")))"),"")</f>
        <v/>
      </c>
      <c r="G1291" s="22" t="str">
        <f>IFERROR(__xludf.DUMMYFUNCTION("IFERROR(VALUE(REGEXEXTRACT(C1291,""(\d+)\s*/\s*\d+"")),"""")"),"")</f>
        <v/>
      </c>
      <c r="H1291" s="22" t="str">
        <f>IFERROR(__xludf.DUMMYFUNCTION("IFERROR(VALUE(REGEXEXTRACT(C1291,""\d+\s*/\s*(\d+)"")),"""")"),"")</f>
        <v/>
      </c>
      <c r="I1291" s="22" t="str">
        <f t="shared" si="2"/>
        <v/>
      </c>
      <c r="J1291" s="34" t="str">
        <f t="shared" si="3"/>
        <v/>
      </c>
    </row>
    <row r="1292" ht="15.75" customHeight="1">
      <c r="A1292" s="32" t="s">
        <v>113</v>
      </c>
      <c r="B1292" s="32" t="str">
        <f>IF(MOV_CC_NACIONAL!A1292="","",MOV_CC_NACIONAL!A1292)</f>
        <v/>
      </c>
      <c r="C1292" s="32" t="str">
        <f>IF(MOV_CC_NACIONAL!B1292="","",MOV_CC_NACIONAL!B1292)</f>
        <v/>
      </c>
      <c r="D1292" s="33" t="str">
        <f>IF(MOV_CC_NACIONAL!C1292="","",MOV_CC_NACIONAL!C1292)</f>
        <v/>
      </c>
      <c r="E1292" s="32" t="str">
        <f t="shared" si="1"/>
        <v/>
      </c>
      <c r="F1292" s="32" t="str">
        <f>IFERROR(__xludf.DUMMYFUNCTION("IF(C1292="""","""", OR(REGEXMATCH(LOWER(C1292),""cuota""), REGEXMATCH(C1292,""\d+\s*/\s*\d+"")))"),"")</f>
        <v/>
      </c>
      <c r="G1292" s="32" t="str">
        <f>IFERROR(__xludf.DUMMYFUNCTION("IFERROR(VALUE(REGEXEXTRACT(C1292,""(\d+)\s*/\s*\d+"")),"""")"),"")</f>
        <v/>
      </c>
      <c r="H1292" s="32" t="str">
        <f>IFERROR(__xludf.DUMMYFUNCTION("IFERROR(VALUE(REGEXEXTRACT(C1292,""\d+\s*/\s*(\d+)"")),"""")"),"")</f>
        <v/>
      </c>
      <c r="I1292" s="32" t="str">
        <f t="shared" si="2"/>
        <v/>
      </c>
      <c r="J1292" s="33" t="str">
        <f t="shared" si="3"/>
        <v/>
      </c>
    </row>
    <row r="1293" ht="15.75" customHeight="1">
      <c r="A1293" s="22" t="s">
        <v>113</v>
      </c>
      <c r="B1293" s="22" t="str">
        <f>IF(MOV_CC_NACIONAL!A1293="","",MOV_CC_NACIONAL!A1293)</f>
        <v/>
      </c>
      <c r="C1293" s="22" t="str">
        <f>IF(MOV_CC_NACIONAL!B1293="","",MOV_CC_NACIONAL!B1293)</f>
        <v/>
      </c>
      <c r="D1293" s="34" t="str">
        <f>IF(MOV_CC_NACIONAL!C1293="","",MOV_CC_NACIONAL!C1293)</f>
        <v/>
      </c>
      <c r="E1293" s="22" t="str">
        <f t="shared" si="1"/>
        <v/>
      </c>
      <c r="F1293" s="22" t="str">
        <f>IFERROR(__xludf.DUMMYFUNCTION("IF(C1293="""","""", OR(REGEXMATCH(LOWER(C1293),""cuota""), REGEXMATCH(C1293,""\d+\s*/\s*\d+"")))"),"")</f>
        <v/>
      </c>
      <c r="G1293" s="22" t="str">
        <f>IFERROR(__xludf.DUMMYFUNCTION("IFERROR(VALUE(REGEXEXTRACT(C1293,""(\d+)\s*/\s*\d+"")),"""")"),"")</f>
        <v/>
      </c>
      <c r="H1293" s="22" t="str">
        <f>IFERROR(__xludf.DUMMYFUNCTION("IFERROR(VALUE(REGEXEXTRACT(C1293,""\d+\s*/\s*(\d+)"")),"""")"),"")</f>
        <v/>
      </c>
      <c r="I1293" s="22" t="str">
        <f t="shared" si="2"/>
        <v/>
      </c>
      <c r="J1293" s="34" t="str">
        <f t="shared" si="3"/>
        <v/>
      </c>
    </row>
    <row r="1294" ht="15.75" customHeight="1">
      <c r="A1294" s="32" t="s">
        <v>113</v>
      </c>
      <c r="B1294" s="32" t="str">
        <f>IF(MOV_CC_NACIONAL!A1294="","",MOV_CC_NACIONAL!A1294)</f>
        <v/>
      </c>
      <c r="C1294" s="32" t="str">
        <f>IF(MOV_CC_NACIONAL!B1294="","",MOV_CC_NACIONAL!B1294)</f>
        <v/>
      </c>
      <c r="D1294" s="33" t="str">
        <f>IF(MOV_CC_NACIONAL!C1294="","",MOV_CC_NACIONAL!C1294)</f>
        <v/>
      </c>
      <c r="E1294" s="32" t="str">
        <f t="shared" si="1"/>
        <v/>
      </c>
      <c r="F1294" s="32" t="str">
        <f>IFERROR(__xludf.DUMMYFUNCTION("IF(C1294="""","""", OR(REGEXMATCH(LOWER(C1294),""cuota""), REGEXMATCH(C1294,""\d+\s*/\s*\d+"")))"),"")</f>
        <v/>
      </c>
      <c r="G1294" s="32" t="str">
        <f>IFERROR(__xludf.DUMMYFUNCTION("IFERROR(VALUE(REGEXEXTRACT(C1294,""(\d+)\s*/\s*\d+"")),"""")"),"")</f>
        <v/>
      </c>
      <c r="H1294" s="32" t="str">
        <f>IFERROR(__xludf.DUMMYFUNCTION("IFERROR(VALUE(REGEXEXTRACT(C1294,""\d+\s*/\s*(\d+)"")),"""")"),"")</f>
        <v/>
      </c>
      <c r="I1294" s="32" t="str">
        <f t="shared" si="2"/>
        <v/>
      </c>
      <c r="J1294" s="33" t="str">
        <f t="shared" si="3"/>
        <v/>
      </c>
    </row>
    <row r="1295" ht="15.75" customHeight="1">
      <c r="A1295" s="22" t="s">
        <v>113</v>
      </c>
      <c r="B1295" s="22" t="str">
        <f>IF(MOV_CC_NACIONAL!A1295="","",MOV_CC_NACIONAL!A1295)</f>
        <v/>
      </c>
      <c r="C1295" s="22" t="str">
        <f>IF(MOV_CC_NACIONAL!B1295="","",MOV_CC_NACIONAL!B1295)</f>
        <v/>
      </c>
      <c r="D1295" s="34" t="str">
        <f>IF(MOV_CC_NACIONAL!C1295="","",MOV_CC_NACIONAL!C1295)</f>
        <v/>
      </c>
      <c r="E1295" s="22" t="str">
        <f t="shared" si="1"/>
        <v/>
      </c>
      <c r="F1295" s="22" t="str">
        <f>IFERROR(__xludf.DUMMYFUNCTION("IF(C1295="""","""", OR(REGEXMATCH(LOWER(C1295),""cuota""), REGEXMATCH(C1295,""\d+\s*/\s*\d+"")))"),"")</f>
        <v/>
      </c>
      <c r="G1295" s="22" t="str">
        <f>IFERROR(__xludf.DUMMYFUNCTION("IFERROR(VALUE(REGEXEXTRACT(C1295,""(\d+)\s*/\s*\d+"")),"""")"),"")</f>
        <v/>
      </c>
      <c r="H1295" s="22" t="str">
        <f>IFERROR(__xludf.DUMMYFUNCTION("IFERROR(VALUE(REGEXEXTRACT(C1295,""\d+\s*/\s*(\d+)"")),"""")"),"")</f>
        <v/>
      </c>
      <c r="I1295" s="22" t="str">
        <f t="shared" si="2"/>
        <v/>
      </c>
      <c r="J1295" s="34" t="str">
        <f t="shared" si="3"/>
        <v/>
      </c>
    </row>
    <row r="1296" ht="15.75" customHeight="1">
      <c r="A1296" s="32" t="s">
        <v>113</v>
      </c>
      <c r="B1296" s="32" t="str">
        <f>IF(MOV_CC_NACIONAL!A1296="","",MOV_CC_NACIONAL!A1296)</f>
        <v/>
      </c>
      <c r="C1296" s="32" t="str">
        <f>IF(MOV_CC_NACIONAL!B1296="","",MOV_CC_NACIONAL!B1296)</f>
        <v/>
      </c>
      <c r="D1296" s="33" t="str">
        <f>IF(MOV_CC_NACIONAL!C1296="","",MOV_CC_NACIONAL!C1296)</f>
        <v/>
      </c>
      <c r="E1296" s="32" t="str">
        <f t="shared" si="1"/>
        <v/>
      </c>
      <c r="F1296" s="32" t="str">
        <f>IFERROR(__xludf.DUMMYFUNCTION("IF(C1296="""","""", OR(REGEXMATCH(LOWER(C1296),""cuota""), REGEXMATCH(C1296,""\d+\s*/\s*\d+"")))"),"")</f>
        <v/>
      </c>
      <c r="G1296" s="32" t="str">
        <f>IFERROR(__xludf.DUMMYFUNCTION("IFERROR(VALUE(REGEXEXTRACT(C1296,""(\d+)\s*/\s*\d+"")),"""")"),"")</f>
        <v/>
      </c>
      <c r="H1296" s="32" t="str">
        <f>IFERROR(__xludf.DUMMYFUNCTION("IFERROR(VALUE(REGEXEXTRACT(C1296,""\d+\s*/\s*(\d+)"")),"""")"),"")</f>
        <v/>
      </c>
      <c r="I1296" s="32" t="str">
        <f t="shared" si="2"/>
        <v/>
      </c>
      <c r="J1296" s="33" t="str">
        <f t="shared" si="3"/>
        <v/>
      </c>
    </row>
    <row r="1297" ht="15.75" customHeight="1">
      <c r="A1297" s="22" t="s">
        <v>113</v>
      </c>
      <c r="B1297" s="22" t="str">
        <f>IF(MOV_CC_NACIONAL!A1297="","",MOV_CC_NACIONAL!A1297)</f>
        <v/>
      </c>
      <c r="C1297" s="22" t="str">
        <f>IF(MOV_CC_NACIONAL!B1297="","",MOV_CC_NACIONAL!B1297)</f>
        <v/>
      </c>
      <c r="D1297" s="34" t="str">
        <f>IF(MOV_CC_NACIONAL!C1297="","",MOV_CC_NACIONAL!C1297)</f>
        <v/>
      </c>
      <c r="E1297" s="22" t="str">
        <f t="shared" si="1"/>
        <v/>
      </c>
      <c r="F1297" s="22" t="str">
        <f>IFERROR(__xludf.DUMMYFUNCTION("IF(C1297="""","""", OR(REGEXMATCH(LOWER(C1297),""cuota""), REGEXMATCH(C1297,""\d+\s*/\s*\d+"")))"),"")</f>
        <v/>
      </c>
      <c r="G1297" s="22" t="str">
        <f>IFERROR(__xludf.DUMMYFUNCTION("IFERROR(VALUE(REGEXEXTRACT(C1297,""(\d+)\s*/\s*\d+"")),"""")"),"")</f>
        <v/>
      </c>
      <c r="H1297" s="22" t="str">
        <f>IFERROR(__xludf.DUMMYFUNCTION("IFERROR(VALUE(REGEXEXTRACT(C1297,""\d+\s*/\s*(\d+)"")),"""")"),"")</f>
        <v/>
      </c>
      <c r="I1297" s="22" t="str">
        <f t="shared" si="2"/>
        <v/>
      </c>
      <c r="J1297" s="34" t="str">
        <f t="shared" si="3"/>
        <v/>
      </c>
    </row>
    <row r="1298" ht="15.75" customHeight="1">
      <c r="A1298" s="32" t="s">
        <v>113</v>
      </c>
      <c r="B1298" s="32" t="str">
        <f>IF(MOV_CC_NACIONAL!A1298="","",MOV_CC_NACIONAL!A1298)</f>
        <v/>
      </c>
      <c r="C1298" s="32" t="str">
        <f>IF(MOV_CC_NACIONAL!B1298="","",MOV_CC_NACIONAL!B1298)</f>
        <v/>
      </c>
      <c r="D1298" s="33" t="str">
        <f>IF(MOV_CC_NACIONAL!C1298="","",MOV_CC_NACIONAL!C1298)</f>
        <v/>
      </c>
      <c r="E1298" s="32" t="str">
        <f t="shared" si="1"/>
        <v/>
      </c>
      <c r="F1298" s="32" t="str">
        <f>IFERROR(__xludf.DUMMYFUNCTION("IF(C1298="""","""", OR(REGEXMATCH(LOWER(C1298),""cuota""), REGEXMATCH(C1298,""\d+\s*/\s*\d+"")))"),"")</f>
        <v/>
      </c>
      <c r="G1298" s="32" t="str">
        <f>IFERROR(__xludf.DUMMYFUNCTION("IFERROR(VALUE(REGEXEXTRACT(C1298,""(\d+)\s*/\s*\d+"")),"""")"),"")</f>
        <v/>
      </c>
      <c r="H1298" s="32" t="str">
        <f>IFERROR(__xludf.DUMMYFUNCTION("IFERROR(VALUE(REGEXEXTRACT(C1298,""\d+\s*/\s*(\d+)"")),"""")"),"")</f>
        <v/>
      </c>
      <c r="I1298" s="32" t="str">
        <f t="shared" si="2"/>
        <v/>
      </c>
      <c r="J1298" s="33" t="str">
        <f t="shared" si="3"/>
        <v/>
      </c>
    </row>
    <row r="1299" ht="15.75" customHeight="1">
      <c r="A1299" s="22" t="s">
        <v>113</v>
      </c>
      <c r="B1299" s="22" t="str">
        <f>IF(MOV_CC_NACIONAL!A1299="","",MOV_CC_NACIONAL!A1299)</f>
        <v/>
      </c>
      <c r="C1299" s="22" t="str">
        <f>IF(MOV_CC_NACIONAL!B1299="","",MOV_CC_NACIONAL!B1299)</f>
        <v/>
      </c>
      <c r="D1299" s="34" t="str">
        <f>IF(MOV_CC_NACIONAL!C1299="","",MOV_CC_NACIONAL!C1299)</f>
        <v/>
      </c>
      <c r="E1299" s="22" t="str">
        <f t="shared" si="1"/>
        <v/>
      </c>
      <c r="F1299" s="22" t="str">
        <f>IFERROR(__xludf.DUMMYFUNCTION("IF(C1299="""","""", OR(REGEXMATCH(LOWER(C1299),""cuota""), REGEXMATCH(C1299,""\d+\s*/\s*\d+"")))"),"")</f>
        <v/>
      </c>
      <c r="G1299" s="22" t="str">
        <f>IFERROR(__xludf.DUMMYFUNCTION("IFERROR(VALUE(REGEXEXTRACT(C1299,""(\d+)\s*/\s*\d+"")),"""")"),"")</f>
        <v/>
      </c>
      <c r="H1299" s="22" t="str">
        <f>IFERROR(__xludf.DUMMYFUNCTION("IFERROR(VALUE(REGEXEXTRACT(C1299,""\d+\s*/\s*(\d+)"")),"""")"),"")</f>
        <v/>
      </c>
      <c r="I1299" s="22" t="str">
        <f t="shared" si="2"/>
        <v/>
      </c>
      <c r="J1299" s="34" t="str">
        <f t="shared" si="3"/>
        <v/>
      </c>
    </row>
    <row r="1300" ht="15.75" customHeight="1">
      <c r="A1300" s="32" t="s">
        <v>113</v>
      </c>
      <c r="B1300" s="32" t="str">
        <f>IF(MOV_CC_NACIONAL!A1300="","",MOV_CC_NACIONAL!A1300)</f>
        <v/>
      </c>
      <c r="C1300" s="32" t="str">
        <f>IF(MOV_CC_NACIONAL!B1300="","",MOV_CC_NACIONAL!B1300)</f>
        <v/>
      </c>
      <c r="D1300" s="33" t="str">
        <f>IF(MOV_CC_NACIONAL!C1300="","",MOV_CC_NACIONAL!C1300)</f>
        <v/>
      </c>
      <c r="E1300" s="32" t="str">
        <f t="shared" si="1"/>
        <v/>
      </c>
      <c r="F1300" s="32" t="str">
        <f>IFERROR(__xludf.DUMMYFUNCTION("IF(C1300="""","""", OR(REGEXMATCH(LOWER(C1300),""cuota""), REGEXMATCH(C1300,""\d+\s*/\s*\d+"")))"),"")</f>
        <v/>
      </c>
      <c r="G1300" s="32" t="str">
        <f>IFERROR(__xludf.DUMMYFUNCTION("IFERROR(VALUE(REGEXEXTRACT(C1300,""(\d+)\s*/\s*\d+"")),"""")"),"")</f>
        <v/>
      </c>
      <c r="H1300" s="32" t="str">
        <f>IFERROR(__xludf.DUMMYFUNCTION("IFERROR(VALUE(REGEXEXTRACT(C1300,""\d+\s*/\s*(\d+)"")),"""")"),"")</f>
        <v/>
      </c>
      <c r="I1300" s="32" t="str">
        <f t="shared" si="2"/>
        <v/>
      </c>
      <c r="J1300" s="33" t="str">
        <f t="shared" si="3"/>
        <v/>
      </c>
    </row>
    <row r="1301" ht="15.75" customHeight="1">
      <c r="A1301" s="22" t="s">
        <v>113</v>
      </c>
      <c r="B1301" s="22" t="str">
        <f>IF(MOV_CC_NACIONAL!A1301="","",MOV_CC_NACIONAL!A1301)</f>
        <v/>
      </c>
      <c r="C1301" s="22" t="str">
        <f>IF(MOV_CC_NACIONAL!B1301="","",MOV_CC_NACIONAL!B1301)</f>
        <v/>
      </c>
      <c r="D1301" s="34" t="str">
        <f>IF(MOV_CC_NACIONAL!C1301="","",MOV_CC_NACIONAL!C1301)</f>
        <v/>
      </c>
      <c r="E1301" s="22" t="str">
        <f t="shared" si="1"/>
        <v/>
      </c>
      <c r="F1301" s="22" t="str">
        <f>IFERROR(__xludf.DUMMYFUNCTION("IF(C1301="""","""", OR(REGEXMATCH(LOWER(C1301),""cuota""), REGEXMATCH(C1301,""\d+\s*/\s*\d+"")))"),"")</f>
        <v/>
      </c>
      <c r="G1301" s="22" t="str">
        <f>IFERROR(__xludf.DUMMYFUNCTION("IFERROR(VALUE(REGEXEXTRACT(C1301,""(\d+)\s*/\s*\d+"")),"""")"),"")</f>
        <v/>
      </c>
      <c r="H1301" s="22" t="str">
        <f>IFERROR(__xludf.DUMMYFUNCTION("IFERROR(VALUE(REGEXEXTRACT(C1301,""\d+\s*/\s*(\d+)"")),"""")"),"")</f>
        <v/>
      </c>
      <c r="I1301" s="22" t="str">
        <f t="shared" si="2"/>
        <v/>
      </c>
      <c r="J1301" s="34" t="str">
        <f t="shared" si="3"/>
        <v/>
      </c>
    </row>
    <row r="1302" ht="15.75" customHeight="1">
      <c r="A1302" s="32" t="s">
        <v>113</v>
      </c>
      <c r="B1302" s="32" t="str">
        <f>IF(MOV_CC_NACIONAL!A1302="","",MOV_CC_NACIONAL!A1302)</f>
        <v/>
      </c>
      <c r="C1302" s="32" t="str">
        <f>IF(MOV_CC_NACIONAL!B1302="","",MOV_CC_NACIONAL!B1302)</f>
        <v/>
      </c>
      <c r="D1302" s="33" t="str">
        <f>IF(MOV_CC_NACIONAL!C1302="","",MOV_CC_NACIONAL!C1302)</f>
        <v/>
      </c>
      <c r="E1302" s="32" t="str">
        <f t="shared" si="1"/>
        <v/>
      </c>
      <c r="F1302" s="32" t="str">
        <f>IFERROR(__xludf.DUMMYFUNCTION("IF(C1302="""","""", OR(REGEXMATCH(LOWER(C1302),""cuota""), REGEXMATCH(C1302,""\d+\s*/\s*\d+"")))"),"")</f>
        <v/>
      </c>
      <c r="G1302" s="32" t="str">
        <f>IFERROR(__xludf.DUMMYFUNCTION("IFERROR(VALUE(REGEXEXTRACT(C1302,""(\d+)\s*/\s*\d+"")),"""")"),"")</f>
        <v/>
      </c>
      <c r="H1302" s="32" t="str">
        <f>IFERROR(__xludf.DUMMYFUNCTION("IFERROR(VALUE(REGEXEXTRACT(C1302,""\d+\s*/\s*(\d+)"")),"""")"),"")</f>
        <v/>
      </c>
      <c r="I1302" s="32" t="str">
        <f t="shared" si="2"/>
        <v/>
      </c>
      <c r="J1302" s="33" t="str">
        <f t="shared" si="3"/>
        <v/>
      </c>
    </row>
    <row r="1303" ht="15.75" customHeight="1">
      <c r="A1303" s="22" t="s">
        <v>113</v>
      </c>
      <c r="B1303" s="22" t="str">
        <f>IF(MOV_CC_NACIONAL!A1303="","",MOV_CC_NACIONAL!A1303)</f>
        <v/>
      </c>
      <c r="C1303" s="22" t="str">
        <f>IF(MOV_CC_NACIONAL!B1303="","",MOV_CC_NACIONAL!B1303)</f>
        <v/>
      </c>
      <c r="D1303" s="34" t="str">
        <f>IF(MOV_CC_NACIONAL!C1303="","",MOV_CC_NACIONAL!C1303)</f>
        <v/>
      </c>
      <c r="E1303" s="22" t="str">
        <f t="shared" si="1"/>
        <v/>
      </c>
      <c r="F1303" s="22" t="str">
        <f>IFERROR(__xludf.DUMMYFUNCTION("IF(C1303="""","""", OR(REGEXMATCH(LOWER(C1303),""cuota""), REGEXMATCH(C1303,""\d+\s*/\s*\d+"")))"),"")</f>
        <v/>
      </c>
      <c r="G1303" s="22" t="str">
        <f>IFERROR(__xludf.DUMMYFUNCTION("IFERROR(VALUE(REGEXEXTRACT(C1303,""(\d+)\s*/\s*\d+"")),"""")"),"")</f>
        <v/>
      </c>
      <c r="H1303" s="22" t="str">
        <f>IFERROR(__xludf.DUMMYFUNCTION("IFERROR(VALUE(REGEXEXTRACT(C1303,""\d+\s*/\s*(\d+)"")),"""")"),"")</f>
        <v/>
      </c>
      <c r="I1303" s="22" t="str">
        <f t="shared" si="2"/>
        <v/>
      </c>
      <c r="J1303" s="34" t="str">
        <f t="shared" si="3"/>
        <v/>
      </c>
    </row>
    <row r="1304" ht="15.75" customHeight="1">
      <c r="A1304" s="32" t="s">
        <v>113</v>
      </c>
      <c r="B1304" s="32" t="str">
        <f>IF(MOV_CC_NACIONAL!A1304="","",MOV_CC_NACIONAL!A1304)</f>
        <v/>
      </c>
      <c r="C1304" s="32" t="str">
        <f>IF(MOV_CC_NACIONAL!B1304="","",MOV_CC_NACIONAL!B1304)</f>
        <v/>
      </c>
      <c r="D1304" s="33" t="str">
        <f>IF(MOV_CC_NACIONAL!C1304="","",MOV_CC_NACIONAL!C1304)</f>
        <v/>
      </c>
      <c r="E1304" s="32" t="str">
        <f t="shared" si="1"/>
        <v/>
      </c>
      <c r="F1304" s="32" t="str">
        <f>IFERROR(__xludf.DUMMYFUNCTION("IF(C1304="""","""", OR(REGEXMATCH(LOWER(C1304),""cuota""), REGEXMATCH(C1304,""\d+\s*/\s*\d+"")))"),"")</f>
        <v/>
      </c>
      <c r="G1304" s="32" t="str">
        <f>IFERROR(__xludf.DUMMYFUNCTION("IFERROR(VALUE(REGEXEXTRACT(C1304,""(\d+)\s*/\s*\d+"")),"""")"),"")</f>
        <v/>
      </c>
      <c r="H1304" s="32" t="str">
        <f>IFERROR(__xludf.DUMMYFUNCTION("IFERROR(VALUE(REGEXEXTRACT(C1304,""\d+\s*/\s*(\d+)"")),"""")"),"")</f>
        <v/>
      </c>
      <c r="I1304" s="32" t="str">
        <f t="shared" si="2"/>
        <v/>
      </c>
      <c r="J1304" s="33" t="str">
        <f t="shared" si="3"/>
        <v/>
      </c>
    </row>
    <row r="1305" ht="15.75" customHeight="1">
      <c r="A1305" s="22" t="s">
        <v>113</v>
      </c>
      <c r="B1305" s="22" t="str">
        <f>IF(MOV_CC_NACIONAL!A1305="","",MOV_CC_NACIONAL!A1305)</f>
        <v/>
      </c>
      <c r="C1305" s="22" t="str">
        <f>IF(MOV_CC_NACIONAL!B1305="","",MOV_CC_NACIONAL!B1305)</f>
        <v/>
      </c>
      <c r="D1305" s="34" t="str">
        <f>IF(MOV_CC_NACIONAL!C1305="","",MOV_CC_NACIONAL!C1305)</f>
        <v/>
      </c>
      <c r="E1305" s="22" t="str">
        <f t="shared" si="1"/>
        <v/>
      </c>
      <c r="F1305" s="22" t="str">
        <f>IFERROR(__xludf.DUMMYFUNCTION("IF(C1305="""","""", OR(REGEXMATCH(LOWER(C1305),""cuota""), REGEXMATCH(C1305,""\d+\s*/\s*\d+"")))"),"")</f>
        <v/>
      </c>
      <c r="G1305" s="22" t="str">
        <f>IFERROR(__xludf.DUMMYFUNCTION("IFERROR(VALUE(REGEXEXTRACT(C1305,""(\d+)\s*/\s*\d+"")),"""")"),"")</f>
        <v/>
      </c>
      <c r="H1305" s="22" t="str">
        <f>IFERROR(__xludf.DUMMYFUNCTION("IFERROR(VALUE(REGEXEXTRACT(C1305,""\d+\s*/\s*(\d+)"")),"""")"),"")</f>
        <v/>
      </c>
      <c r="I1305" s="22" t="str">
        <f t="shared" si="2"/>
        <v/>
      </c>
      <c r="J1305" s="34" t="str">
        <f t="shared" si="3"/>
        <v/>
      </c>
    </row>
    <row r="1306" ht="15.75" customHeight="1">
      <c r="A1306" s="32" t="s">
        <v>113</v>
      </c>
      <c r="B1306" s="32" t="str">
        <f>IF(MOV_CC_NACIONAL!A1306="","",MOV_CC_NACIONAL!A1306)</f>
        <v/>
      </c>
      <c r="C1306" s="32" t="str">
        <f>IF(MOV_CC_NACIONAL!B1306="","",MOV_CC_NACIONAL!B1306)</f>
        <v/>
      </c>
      <c r="D1306" s="33" t="str">
        <f>IF(MOV_CC_NACIONAL!C1306="","",MOV_CC_NACIONAL!C1306)</f>
        <v/>
      </c>
      <c r="E1306" s="32" t="str">
        <f t="shared" si="1"/>
        <v/>
      </c>
      <c r="F1306" s="32" t="str">
        <f>IFERROR(__xludf.DUMMYFUNCTION("IF(C1306="""","""", OR(REGEXMATCH(LOWER(C1306),""cuota""), REGEXMATCH(C1306,""\d+\s*/\s*\d+"")))"),"")</f>
        <v/>
      </c>
      <c r="G1306" s="32" t="str">
        <f>IFERROR(__xludf.DUMMYFUNCTION("IFERROR(VALUE(REGEXEXTRACT(C1306,""(\d+)\s*/\s*\d+"")),"""")"),"")</f>
        <v/>
      </c>
      <c r="H1306" s="32" t="str">
        <f>IFERROR(__xludf.DUMMYFUNCTION("IFERROR(VALUE(REGEXEXTRACT(C1306,""\d+\s*/\s*(\d+)"")),"""")"),"")</f>
        <v/>
      </c>
      <c r="I1306" s="32" t="str">
        <f t="shared" si="2"/>
        <v/>
      </c>
      <c r="J1306" s="33" t="str">
        <f t="shared" si="3"/>
        <v/>
      </c>
    </row>
    <row r="1307" ht="15.75" customHeight="1">
      <c r="A1307" s="22" t="s">
        <v>113</v>
      </c>
      <c r="B1307" s="22" t="str">
        <f>IF(MOV_CC_NACIONAL!A1307="","",MOV_CC_NACIONAL!A1307)</f>
        <v/>
      </c>
      <c r="C1307" s="22" t="str">
        <f>IF(MOV_CC_NACIONAL!B1307="","",MOV_CC_NACIONAL!B1307)</f>
        <v/>
      </c>
      <c r="D1307" s="34" t="str">
        <f>IF(MOV_CC_NACIONAL!C1307="","",MOV_CC_NACIONAL!C1307)</f>
        <v/>
      </c>
      <c r="E1307" s="22" t="str">
        <f t="shared" si="1"/>
        <v/>
      </c>
      <c r="F1307" s="22" t="str">
        <f>IFERROR(__xludf.DUMMYFUNCTION("IF(C1307="""","""", OR(REGEXMATCH(LOWER(C1307),""cuota""), REGEXMATCH(C1307,""\d+\s*/\s*\d+"")))"),"")</f>
        <v/>
      </c>
      <c r="G1307" s="22" t="str">
        <f>IFERROR(__xludf.DUMMYFUNCTION("IFERROR(VALUE(REGEXEXTRACT(C1307,""(\d+)\s*/\s*\d+"")),"""")"),"")</f>
        <v/>
      </c>
      <c r="H1307" s="22" t="str">
        <f>IFERROR(__xludf.DUMMYFUNCTION("IFERROR(VALUE(REGEXEXTRACT(C1307,""\d+\s*/\s*(\d+)"")),"""")"),"")</f>
        <v/>
      </c>
      <c r="I1307" s="22" t="str">
        <f t="shared" si="2"/>
        <v/>
      </c>
      <c r="J1307" s="34" t="str">
        <f t="shared" si="3"/>
        <v/>
      </c>
    </row>
    <row r="1308" ht="15.75" customHeight="1">
      <c r="A1308" s="32" t="s">
        <v>113</v>
      </c>
      <c r="B1308" s="32" t="str">
        <f>IF(MOV_CC_NACIONAL!A1308="","",MOV_CC_NACIONAL!A1308)</f>
        <v/>
      </c>
      <c r="C1308" s="32" t="str">
        <f>IF(MOV_CC_NACIONAL!B1308="","",MOV_CC_NACIONAL!B1308)</f>
        <v/>
      </c>
      <c r="D1308" s="33" t="str">
        <f>IF(MOV_CC_NACIONAL!C1308="","",MOV_CC_NACIONAL!C1308)</f>
        <v/>
      </c>
      <c r="E1308" s="32" t="str">
        <f t="shared" si="1"/>
        <v/>
      </c>
      <c r="F1308" s="32" t="str">
        <f>IFERROR(__xludf.DUMMYFUNCTION("IF(C1308="""","""", OR(REGEXMATCH(LOWER(C1308),""cuota""), REGEXMATCH(C1308,""\d+\s*/\s*\d+"")))"),"")</f>
        <v/>
      </c>
      <c r="G1308" s="32" t="str">
        <f>IFERROR(__xludf.DUMMYFUNCTION("IFERROR(VALUE(REGEXEXTRACT(C1308,""(\d+)\s*/\s*\d+"")),"""")"),"")</f>
        <v/>
      </c>
      <c r="H1308" s="32" t="str">
        <f>IFERROR(__xludf.DUMMYFUNCTION("IFERROR(VALUE(REGEXEXTRACT(C1308,""\d+\s*/\s*(\d+)"")),"""")"),"")</f>
        <v/>
      </c>
      <c r="I1308" s="32" t="str">
        <f t="shared" si="2"/>
        <v/>
      </c>
      <c r="J1308" s="33" t="str">
        <f t="shared" si="3"/>
        <v/>
      </c>
    </row>
    <row r="1309" ht="15.75" customHeight="1">
      <c r="A1309" s="22" t="s">
        <v>113</v>
      </c>
      <c r="B1309" s="22" t="str">
        <f>IF(MOV_CC_NACIONAL!A1309="","",MOV_CC_NACIONAL!A1309)</f>
        <v/>
      </c>
      <c r="C1309" s="22" t="str">
        <f>IF(MOV_CC_NACIONAL!B1309="","",MOV_CC_NACIONAL!B1309)</f>
        <v/>
      </c>
      <c r="D1309" s="34" t="str">
        <f>IF(MOV_CC_NACIONAL!C1309="","",MOV_CC_NACIONAL!C1309)</f>
        <v/>
      </c>
      <c r="E1309" s="22" t="str">
        <f t="shared" si="1"/>
        <v/>
      </c>
      <c r="F1309" s="22" t="str">
        <f>IFERROR(__xludf.DUMMYFUNCTION("IF(C1309="""","""", OR(REGEXMATCH(LOWER(C1309),""cuota""), REGEXMATCH(C1309,""\d+\s*/\s*\d+"")))"),"")</f>
        <v/>
      </c>
      <c r="G1309" s="22" t="str">
        <f>IFERROR(__xludf.DUMMYFUNCTION("IFERROR(VALUE(REGEXEXTRACT(C1309,""(\d+)\s*/\s*\d+"")),"""")"),"")</f>
        <v/>
      </c>
      <c r="H1309" s="22" t="str">
        <f>IFERROR(__xludf.DUMMYFUNCTION("IFERROR(VALUE(REGEXEXTRACT(C1309,""\d+\s*/\s*(\d+)"")),"""")"),"")</f>
        <v/>
      </c>
      <c r="I1309" s="22" t="str">
        <f t="shared" si="2"/>
        <v/>
      </c>
      <c r="J1309" s="34" t="str">
        <f t="shared" si="3"/>
        <v/>
      </c>
    </row>
    <row r="1310" ht="15.75" customHeight="1">
      <c r="A1310" s="32" t="s">
        <v>113</v>
      </c>
      <c r="B1310" s="32" t="str">
        <f>IF(MOV_CC_NACIONAL!A1310="","",MOV_CC_NACIONAL!A1310)</f>
        <v/>
      </c>
      <c r="C1310" s="32" t="str">
        <f>IF(MOV_CC_NACIONAL!B1310="","",MOV_CC_NACIONAL!B1310)</f>
        <v/>
      </c>
      <c r="D1310" s="33" t="str">
        <f>IF(MOV_CC_NACIONAL!C1310="","",MOV_CC_NACIONAL!C1310)</f>
        <v/>
      </c>
      <c r="E1310" s="32" t="str">
        <f t="shared" si="1"/>
        <v/>
      </c>
      <c r="F1310" s="32" t="str">
        <f>IFERROR(__xludf.DUMMYFUNCTION("IF(C1310="""","""", OR(REGEXMATCH(LOWER(C1310),""cuota""), REGEXMATCH(C1310,""\d+\s*/\s*\d+"")))"),"")</f>
        <v/>
      </c>
      <c r="G1310" s="32" t="str">
        <f>IFERROR(__xludf.DUMMYFUNCTION("IFERROR(VALUE(REGEXEXTRACT(C1310,""(\d+)\s*/\s*\d+"")),"""")"),"")</f>
        <v/>
      </c>
      <c r="H1310" s="32" t="str">
        <f>IFERROR(__xludf.DUMMYFUNCTION("IFERROR(VALUE(REGEXEXTRACT(C1310,""\d+\s*/\s*(\d+)"")),"""")"),"")</f>
        <v/>
      </c>
      <c r="I1310" s="32" t="str">
        <f t="shared" si="2"/>
        <v/>
      </c>
      <c r="J1310" s="33" t="str">
        <f t="shared" si="3"/>
        <v/>
      </c>
    </row>
    <row r="1311" ht="15.75" customHeight="1">
      <c r="A1311" s="22" t="s">
        <v>113</v>
      </c>
      <c r="B1311" s="22" t="str">
        <f>IF(MOV_CC_NACIONAL!A1311="","",MOV_CC_NACIONAL!A1311)</f>
        <v/>
      </c>
      <c r="C1311" s="22" t="str">
        <f>IF(MOV_CC_NACIONAL!B1311="","",MOV_CC_NACIONAL!B1311)</f>
        <v/>
      </c>
      <c r="D1311" s="34" t="str">
        <f>IF(MOV_CC_NACIONAL!C1311="","",MOV_CC_NACIONAL!C1311)</f>
        <v/>
      </c>
      <c r="E1311" s="22" t="str">
        <f t="shared" si="1"/>
        <v/>
      </c>
      <c r="F1311" s="22" t="str">
        <f>IFERROR(__xludf.DUMMYFUNCTION("IF(C1311="""","""", OR(REGEXMATCH(LOWER(C1311),""cuota""), REGEXMATCH(C1311,""\d+\s*/\s*\d+"")))"),"")</f>
        <v/>
      </c>
      <c r="G1311" s="22" t="str">
        <f>IFERROR(__xludf.DUMMYFUNCTION("IFERROR(VALUE(REGEXEXTRACT(C1311,""(\d+)\s*/\s*\d+"")),"""")"),"")</f>
        <v/>
      </c>
      <c r="H1311" s="22" t="str">
        <f>IFERROR(__xludf.DUMMYFUNCTION("IFERROR(VALUE(REGEXEXTRACT(C1311,""\d+\s*/\s*(\d+)"")),"""")"),"")</f>
        <v/>
      </c>
      <c r="I1311" s="22" t="str">
        <f t="shared" si="2"/>
        <v/>
      </c>
      <c r="J1311" s="34" t="str">
        <f t="shared" si="3"/>
        <v/>
      </c>
    </row>
    <row r="1312" ht="15.75" customHeight="1">
      <c r="A1312" s="32" t="s">
        <v>113</v>
      </c>
      <c r="B1312" s="32" t="str">
        <f>IF(MOV_CC_NACIONAL!A1312="","",MOV_CC_NACIONAL!A1312)</f>
        <v/>
      </c>
      <c r="C1312" s="32" t="str">
        <f>IF(MOV_CC_NACIONAL!B1312="","",MOV_CC_NACIONAL!B1312)</f>
        <v/>
      </c>
      <c r="D1312" s="33" t="str">
        <f>IF(MOV_CC_NACIONAL!C1312="","",MOV_CC_NACIONAL!C1312)</f>
        <v/>
      </c>
      <c r="E1312" s="32" t="str">
        <f t="shared" si="1"/>
        <v/>
      </c>
      <c r="F1312" s="32" t="str">
        <f>IFERROR(__xludf.DUMMYFUNCTION("IF(C1312="""","""", OR(REGEXMATCH(LOWER(C1312),""cuota""), REGEXMATCH(C1312,""\d+\s*/\s*\d+"")))"),"")</f>
        <v/>
      </c>
      <c r="G1312" s="32" t="str">
        <f>IFERROR(__xludf.DUMMYFUNCTION("IFERROR(VALUE(REGEXEXTRACT(C1312,""(\d+)\s*/\s*\d+"")),"""")"),"")</f>
        <v/>
      </c>
      <c r="H1312" s="32" t="str">
        <f>IFERROR(__xludf.DUMMYFUNCTION("IFERROR(VALUE(REGEXEXTRACT(C1312,""\d+\s*/\s*(\d+)"")),"""")"),"")</f>
        <v/>
      </c>
      <c r="I1312" s="32" t="str">
        <f t="shared" si="2"/>
        <v/>
      </c>
      <c r="J1312" s="33" t="str">
        <f t="shared" si="3"/>
        <v/>
      </c>
    </row>
    <row r="1313" ht="15.75" customHeight="1">
      <c r="A1313" s="22" t="s">
        <v>113</v>
      </c>
      <c r="B1313" s="22" t="str">
        <f>IF(MOV_CC_NACIONAL!A1313="","",MOV_CC_NACIONAL!A1313)</f>
        <v/>
      </c>
      <c r="C1313" s="22" t="str">
        <f>IF(MOV_CC_NACIONAL!B1313="","",MOV_CC_NACIONAL!B1313)</f>
        <v/>
      </c>
      <c r="D1313" s="34" t="str">
        <f>IF(MOV_CC_NACIONAL!C1313="","",MOV_CC_NACIONAL!C1313)</f>
        <v/>
      </c>
      <c r="E1313" s="22" t="str">
        <f t="shared" si="1"/>
        <v/>
      </c>
      <c r="F1313" s="22" t="str">
        <f>IFERROR(__xludf.DUMMYFUNCTION("IF(C1313="""","""", OR(REGEXMATCH(LOWER(C1313),""cuota""), REGEXMATCH(C1313,""\d+\s*/\s*\d+"")))"),"")</f>
        <v/>
      </c>
      <c r="G1313" s="22" t="str">
        <f>IFERROR(__xludf.DUMMYFUNCTION("IFERROR(VALUE(REGEXEXTRACT(C1313,""(\d+)\s*/\s*\d+"")),"""")"),"")</f>
        <v/>
      </c>
      <c r="H1313" s="22" t="str">
        <f>IFERROR(__xludf.DUMMYFUNCTION("IFERROR(VALUE(REGEXEXTRACT(C1313,""\d+\s*/\s*(\d+)"")),"""")"),"")</f>
        <v/>
      </c>
      <c r="I1313" s="22" t="str">
        <f t="shared" si="2"/>
        <v/>
      </c>
      <c r="J1313" s="34" t="str">
        <f t="shared" si="3"/>
        <v/>
      </c>
    </row>
    <row r="1314" ht="15.75" customHeight="1">
      <c r="A1314" s="32" t="s">
        <v>113</v>
      </c>
      <c r="B1314" s="32" t="str">
        <f>IF(MOV_CC_NACIONAL!A1314="","",MOV_CC_NACIONAL!A1314)</f>
        <v/>
      </c>
      <c r="C1314" s="32" t="str">
        <f>IF(MOV_CC_NACIONAL!B1314="","",MOV_CC_NACIONAL!B1314)</f>
        <v/>
      </c>
      <c r="D1314" s="33" t="str">
        <f>IF(MOV_CC_NACIONAL!C1314="","",MOV_CC_NACIONAL!C1314)</f>
        <v/>
      </c>
      <c r="E1314" s="32" t="str">
        <f t="shared" si="1"/>
        <v/>
      </c>
      <c r="F1314" s="32" t="str">
        <f>IFERROR(__xludf.DUMMYFUNCTION("IF(C1314="""","""", OR(REGEXMATCH(LOWER(C1314),""cuota""), REGEXMATCH(C1314,""\d+\s*/\s*\d+"")))"),"")</f>
        <v/>
      </c>
      <c r="G1314" s="32" t="str">
        <f>IFERROR(__xludf.DUMMYFUNCTION("IFERROR(VALUE(REGEXEXTRACT(C1314,""(\d+)\s*/\s*\d+"")),"""")"),"")</f>
        <v/>
      </c>
      <c r="H1314" s="32" t="str">
        <f>IFERROR(__xludf.DUMMYFUNCTION("IFERROR(VALUE(REGEXEXTRACT(C1314,""\d+\s*/\s*(\d+)"")),"""")"),"")</f>
        <v/>
      </c>
      <c r="I1314" s="32" t="str">
        <f t="shared" si="2"/>
        <v/>
      </c>
      <c r="J1314" s="33" t="str">
        <f t="shared" si="3"/>
        <v/>
      </c>
    </row>
    <row r="1315" ht="15.75" customHeight="1">
      <c r="A1315" s="22" t="s">
        <v>113</v>
      </c>
      <c r="B1315" s="22" t="str">
        <f>IF(MOV_CC_NACIONAL!A1315="","",MOV_CC_NACIONAL!A1315)</f>
        <v/>
      </c>
      <c r="C1315" s="22" t="str">
        <f>IF(MOV_CC_NACIONAL!B1315="","",MOV_CC_NACIONAL!B1315)</f>
        <v/>
      </c>
      <c r="D1315" s="34" t="str">
        <f>IF(MOV_CC_NACIONAL!C1315="","",MOV_CC_NACIONAL!C1315)</f>
        <v/>
      </c>
      <c r="E1315" s="22" t="str">
        <f t="shared" si="1"/>
        <v/>
      </c>
      <c r="F1315" s="22" t="str">
        <f>IFERROR(__xludf.DUMMYFUNCTION("IF(C1315="""","""", OR(REGEXMATCH(LOWER(C1315),""cuota""), REGEXMATCH(C1315,""\d+\s*/\s*\d+"")))"),"")</f>
        <v/>
      </c>
      <c r="G1315" s="22" t="str">
        <f>IFERROR(__xludf.DUMMYFUNCTION("IFERROR(VALUE(REGEXEXTRACT(C1315,""(\d+)\s*/\s*\d+"")),"""")"),"")</f>
        <v/>
      </c>
      <c r="H1315" s="22" t="str">
        <f>IFERROR(__xludf.DUMMYFUNCTION("IFERROR(VALUE(REGEXEXTRACT(C1315,""\d+\s*/\s*(\d+)"")),"""")"),"")</f>
        <v/>
      </c>
      <c r="I1315" s="22" t="str">
        <f t="shared" si="2"/>
        <v/>
      </c>
      <c r="J1315" s="34" t="str">
        <f t="shared" si="3"/>
        <v/>
      </c>
    </row>
    <row r="1316" ht="15.75" customHeight="1">
      <c r="A1316" s="32" t="s">
        <v>113</v>
      </c>
      <c r="B1316" s="32" t="str">
        <f>IF(MOV_CC_NACIONAL!A1316="","",MOV_CC_NACIONAL!A1316)</f>
        <v/>
      </c>
      <c r="C1316" s="32" t="str">
        <f>IF(MOV_CC_NACIONAL!B1316="","",MOV_CC_NACIONAL!B1316)</f>
        <v/>
      </c>
      <c r="D1316" s="33" t="str">
        <f>IF(MOV_CC_NACIONAL!C1316="","",MOV_CC_NACIONAL!C1316)</f>
        <v/>
      </c>
      <c r="E1316" s="32" t="str">
        <f t="shared" si="1"/>
        <v/>
      </c>
      <c r="F1316" s="32" t="str">
        <f>IFERROR(__xludf.DUMMYFUNCTION("IF(C1316="""","""", OR(REGEXMATCH(LOWER(C1316),""cuota""), REGEXMATCH(C1316,""\d+\s*/\s*\d+"")))"),"")</f>
        <v/>
      </c>
      <c r="G1316" s="32" t="str">
        <f>IFERROR(__xludf.DUMMYFUNCTION("IFERROR(VALUE(REGEXEXTRACT(C1316,""(\d+)\s*/\s*\d+"")),"""")"),"")</f>
        <v/>
      </c>
      <c r="H1316" s="32" t="str">
        <f>IFERROR(__xludf.DUMMYFUNCTION("IFERROR(VALUE(REGEXEXTRACT(C1316,""\d+\s*/\s*(\d+)"")),"""")"),"")</f>
        <v/>
      </c>
      <c r="I1316" s="32" t="str">
        <f t="shared" si="2"/>
        <v/>
      </c>
      <c r="J1316" s="33" t="str">
        <f t="shared" si="3"/>
        <v/>
      </c>
    </row>
    <row r="1317" ht="15.75" customHeight="1">
      <c r="A1317" s="22" t="s">
        <v>113</v>
      </c>
      <c r="B1317" s="22" t="str">
        <f>IF(MOV_CC_NACIONAL!A1317="","",MOV_CC_NACIONAL!A1317)</f>
        <v/>
      </c>
      <c r="C1317" s="22" t="str">
        <f>IF(MOV_CC_NACIONAL!B1317="","",MOV_CC_NACIONAL!B1317)</f>
        <v/>
      </c>
      <c r="D1317" s="34" t="str">
        <f>IF(MOV_CC_NACIONAL!C1317="","",MOV_CC_NACIONAL!C1317)</f>
        <v/>
      </c>
      <c r="E1317" s="22" t="str">
        <f t="shared" si="1"/>
        <v/>
      </c>
      <c r="F1317" s="22" t="str">
        <f>IFERROR(__xludf.DUMMYFUNCTION("IF(C1317="""","""", OR(REGEXMATCH(LOWER(C1317),""cuota""), REGEXMATCH(C1317,""\d+\s*/\s*\d+"")))"),"")</f>
        <v/>
      </c>
      <c r="G1317" s="22" t="str">
        <f>IFERROR(__xludf.DUMMYFUNCTION("IFERROR(VALUE(REGEXEXTRACT(C1317,""(\d+)\s*/\s*\d+"")),"""")"),"")</f>
        <v/>
      </c>
      <c r="H1317" s="22" t="str">
        <f>IFERROR(__xludf.DUMMYFUNCTION("IFERROR(VALUE(REGEXEXTRACT(C1317,""\d+\s*/\s*(\d+)"")),"""")"),"")</f>
        <v/>
      </c>
      <c r="I1317" s="22" t="str">
        <f t="shared" si="2"/>
        <v/>
      </c>
      <c r="J1317" s="34" t="str">
        <f t="shared" si="3"/>
        <v/>
      </c>
    </row>
    <row r="1318" ht="15.75" customHeight="1">
      <c r="A1318" s="32" t="s">
        <v>113</v>
      </c>
      <c r="B1318" s="32" t="str">
        <f>IF(MOV_CC_NACIONAL!A1318="","",MOV_CC_NACIONAL!A1318)</f>
        <v/>
      </c>
      <c r="C1318" s="32" t="str">
        <f>IF(MOV_CC_NACIONAL!B1318="","",MOV_CC_NACIONAL!B1318)</f>
        <v/>
      </c>
      <c r="D1318" s="33" t="str">
        <f>IF(MOV_CC_NACIONAL!C1318="","",MOV_CC_NACIONAL!C1318)</f>
        <v/>
      </c>
      <c r="E1318" s="32" t="str">
        <f t="shared" si="1"/>
        <v/>
      </c>
      <c r="F1318" s="32" t="str">
        <f>IFERROR(__xludf.DUMMYFUNCTION("IF(C1318="""","""", OR(REGEXMATCH(LOWER(C1318),""cuota""), REGEXMATCH(C1318,""\d+\s*/\s*\d+"")))"),"")</f>
        <v/>
      </c>
      <c r="G1318" s="32" t="str">
        <f>IFERROR(__xludf.DUMMYFUNCTION("IFERROR(VALUE(REGEXEXTRACT(C1318,""(\d+)\s*/\s*\d+"")),"""")"),"")</f>
        <v/>
      </c>
      <c r="H1318" s="32" t="str">
        <f>IFERROR(__xludf.DUMMYFUNCTION("IFERROR(VALUE(REGEXEXTRACT(C1318,""\d+\s*/\s*(\d+)"")),"""")"),"")</f>
        <v/>
      </c>
      <c r="I1318" s="32" t="str">
        <f t="shared" si="2"/>
        <v/>
      </c>
      <c r="J1318" s="33" t="str">
        <f t="shared" si="3"/>
        <v/>
      </c>
    </row>
    <row r="1319" ht="15.75" customHeight="1">
      <c r="A1319" s="22" t="s">
        <v>113</v>
      </c>
      <c r="B1319" s="22" t="str">
        <f>IF(MOV_CC_NACIONAL!A1319="","",MOV_CC_NACIONAL!A1319)</f>
        <v/>
      </c>
      <c r="C1319" s="22" t="str">
        <f>IF(MOV_CC_NACIONAL!B1319="","",MOV_CC_NACIONAL!B1319)</f>
        <v/>
      </c>
      <c r="D1319" s="34" t="str">
        <f>IF(MOV_CC_NACIONAL!C1319="","",MOV_CC_NACIONAL!C1319)</f>
        <v/>
      </c>
      <c r="E1319" s="22" t="str">
        <f t="shared" si="1"/>
        <v/>
      </c>
      <c r="F1319" s="22" t="str">
        <f>IFERROR(__xludf.DUMMYFUNCTION("IF(C1319="""","""", OR(REGEXMATCH(LOWER(C1319),""cuota""), REGEXMATCH(C1319,""\d+\s*/\s*\d+"")))"),"")</f>
        <v/>
      </c>
      <c r="G1319" s="22" t="str">
        <f>IFERROR(__xludf.DUMMYFUNCTION("IFERROR(VALUE(REGEXEXTRACT(C1319,""(\d+)\s*/\s*\d+"")),"""")"),"")</f>
        <v/>
      </c>
      <c r="H1319" s="22" t="str">
        <f>IFERROR(__xludf.DUMMYFUNCTION("IFERROR(VALUE(REGEXEXTRACT(C1319,""\d+\s*/\s*(\d+)"")),"""")"),"")</f>
        <v/>
      </c>
      <c r="I1319" s="22" t="str">
        <f t="shared" si="2"/>
        <v/>
      </c>
      <c r="J1319" s="34" t="str">
        <f t="shared" si="3"/>
        <v/>
      </c>
    </row>
    <row r="1320" ht="15.75" customHeight="1">
      <c r="A1320" s="32" t="s">
        <v>113</v>
      </c>
      <c r="B1320" s="32" t="str">
        <f>IF(MOV_CC_NACIONAL!A1320="","",MOV_CC_NACIONAL!A1320)</f>
        <v/>
      </c>
      <c r="C1320" s="32" t="str">
        <f>IF(MOV_CC_NACIONAL!B1320="","",MOV_CC_NACIONAL!B1320)</f>
        <v/>
      </c>
      <c r="D1320" s="33" t="str">
        <f>IF(MOV_CC_NACIONAL!C1320="","",MOV_CC_NACIONAL!C1320)</f>
        <v/>
      </c>
      <c r="E1320" s="32" t="str">
        <f t="shared" si="1"/>
        <v/>
      </c>
      <c r="F1320" s="32" t="str">
        <f>IFERROR(__xludf.DUMMYFUNCTION("IF(C1320="""","""", OR(REGEXMATCH(LOWER(C1320),""cuota""), REGEXMATCH(C1320,""\d+\s*/\s*\d+"")))"),"")</f>
        <v/>
      </c>
      <c r="G1320" s="32" t="str">
        <f>IFERROR(__xludf.DUMMYFUNCTION("IFERROR(VALUE(REGEXEXTRACT(C1320,""(\d+)\s*/\s*\d+"")),"""")"),"")</f>
        <v/>
      </c>
      <c r="H1320" s="32" t="str">
        <f>IFERROR(__xludf.DUMMYFUNCTION("IFERROR(VALUE(REGEXEXTRACT(C1320,""\d+\s*/\s*(\d+)"")),"""")"),"")</f>
        <v/>
      </c>
      <c r="I1320" s="32" t="str">
        <f t="shared" si="2"/>
        <v/>
      </c>
      <c r="J1320" s="33" t="str">
        <f t="shared" si="3"/>
        <v/>
      </c>
    </row>
    <row r="1321" ht="15.75" customHeight="1">
      <c r="A1321" s="22" t="s">
        <v>113</v>
      </c>
      <c r="B1321" s="22" t="str">
        <f>IF(MOV_CC_NACIONAL!A1321="","",MOV_CC_NACIONAL!A1321)</f>
        <v/>
      </c>
      <c r="C1321" s="22" t="str">
        <f>IF(MOV_CC_NACIONAL!B1321="","",MOV_CC_NACIONAL!B1321)</f>
        <v/>
      </c>
      <c r="D1321" s="34" t="str">
        <f>IF(MOV_CC_NACIONAL!C1321="","",MOV_CC_NACIONAL!C1321)</f>
        <v/>
      </c>
      <c r="E1321" s="22" t="str">
        <f t="shared" si="1"/>
        <v/>
      </c>
      <c r="F1321" s="22" t="str">
        <f>IFERROR(__xludf.DUMMYFUNCTION("IF(C1321="""","""", OR(REGEXMATCH(LOWER(C1321),""cuota""), REGEXMATCH(C1321,""\d+\s*/\s*\d+"")))"),"")</f>
        <v/>
      </c>
      <c r="G1321" s="22" t="str">
        <f>IFERROR(__xludf.DUMMYFUNCTION("IFERROR(VALUE(REGEXEXTRACT(C1321,""(\d+)\s*/\s*\d+"")),"""")"),"")</f>
        <v/>
      </c>
      <c r="H1321" s="22" t="str">
        <f>IFERROR(__xludf.DUMMYFUNCTION("IFERROR(VALUE(REGEXEXTRACT(C1321,""\d+\s*/\s*(\d+)"")),"""")"),"")</f>
        <v/>
      </c>
      <c r="I1321" s="22" t="str">
        <f t="shared" si="2"/>
        <v/>
      </c>
      <c r="J1321" s="34" t="str">
        <f t="shared" si="3"/>
        <v/>
      </c>
    </row>
    <row r="1322" ht="15.75" customHeight="1">
      <c r="A1322" s="32" t="s">
        <v>113</v>
      </c>
      <c r="B1322" s="32" t="str">
        <f>IF(MOV_CC_NACIONAL!A1322="","",MOV_CC_NACIONAL!A1322)</f>
        <v/>
      </c>
      <c r="C1322" s="32" t="str">
        <f>IF(MOV_CC_NACIONAL!B1322="","",MOV_CC_NACIONAL!B1322)</f>
        <v/>
      </c>
      <c r="D1322" s="33" t="str">
        <f>IF(MOV_CC_NACIONAL!C1322="","",MOV_CC_NACIONAL!C1322)</f>
        <v/>
      </c>
      <c r="E1322" s="32" t="str">
        <f t="shared" si="1"/>
        <v/>
      </c>
      <c r="F1322" s="32" t="str">
        <f>IFERROR(__xludf.DUMMYFUNCTION("IF(C1322="""","""", OR(REGEXMATCH(LOWER(C1322),""cuota""), REGEXMATCH(C1322,""\d+\s*/\s*\d+"")))"),"")</f>
        <v/>
      </c>
      <c r="G1322" s="32" t="str">
        <f>IFERROR(__xludf.DUMMYFUNCTION("IFERROR(VALUE(REGEXEXTRACT(C1322,""(\d+)\s*/\s*\d+"")),"""")"),"")</f>
        <v/>
      </c>
      <c r="H1322" s="32" t="str">
        <f>IFERROR(__xludf.DUMMYFUNCTION("IFERROR(VALUE(REGEXEXTRACT(C1322,""\d+\s*/\s*(\d+)"")),"""")"),"")</f>
        <v/>
      </c>
      <c r="I1322" s="32" t="str">
        <f t="shared" si="2"/>
        <v/>
      </c>
      <c r="J1322" s="33" t="str">
        <f t="shared" si="3"/>
        <v/>
      </c>
    </row>
    <row r="1323" ht="15.75" customHeight="1">
      <c r="A1323" s="22" t="s">
        <v>113</v>
      </c>
      <c r="B1323" s="22" t="str">
        <f>IF(MOV_CC_NACIONAL!A1323="","",MOV_CC_NACIONAL!A1323)</f>
        <v/>
      </c>
      <c r="C1323" s="22" t="str">
        <f>IF(MOV_CC_NACIONAL!B1323="","",MOV_CC_NACIONAL!B1323)</f>
        <v/>
      </c>
      <c r="D1323" s="34" t="str">
        <f>IF(MOV_CC_NACIONAL!C1323="","",MOV_CC_NACIONAL!C1323)</f>
        <v/>
      </c>
      <c r="E1323" s="22" t="str">
        <f t="shared" si="1"/>
        <v/>
      </c>
      <c r="F1323" s="22" t="str">
        <f>IFERROR(__xludf.DUMMYFUNCTION("IF(C1323="""","""", OR(REGEXMATCH(LOWER(C1323),""cuota""), REGEXMATCH(C1323,""\d+\s*/\s*\d+"")))"),"")</f>
        <v/>
      </c>
      <c r="G1323" s="22" t="str">
        <f>IFERROR(__xludf.DUMMYFUNCTION("IFERROR(VALUE(REGEXEXTRACT(C1323,""(\d+)\s*/\s*\d+"")),"""")"),"")</f>
        <v/>
      </c>
      <c r="H1323" s="22" t="str">
        <f>IFERROR(__xludf.DUMMYFUNCTION("IFERROR(VALUE(REGEXEXTRACT(C1323,""\d+\s*/\s*(\d+)"")),"""")"),"")</f>
        <v/>
      </c>
      <c r="I1323" s="22" t="str">
        <f t="shared" si="2"/>
        <v/>
      </c>
      <c r="J1323" s="34" t="str">
        <f t="shared" si="3"/>
        <v/>
      </c>
    </row>
    <row r="1324" ht="15.75" customHeight="1">
      <c r="A1324" s="32" t="s">
        <v>113</v>
      </c>
      <c r="B1324" s="32" t="str">
        <f>IF(MOV_CC_NACIONAL!A1324="","",MOV_CC_NACIONAL!A1324)</f>
        <v/>
      </c>
      <c r="C1324" s="32" t="str">
        <f>IF(MOV_CC_NACIONAL!B1324="","",MOV_CC_NACIONAL!B1324)</f>
        <v/>
      </c>
      <c r="D1324" s="33" t="str">
        <f>IF(MOV_CC_NACIONAL!C1324="","",MOV_CC_NACIONAL!C1324)</f>
        <v/>
      </c>
      <c r="E1324" s="32" t="str">
        <f t="shared" si="1"/>
        <v/>
      </c>
      <c r="F1324" s="32" t="str">
        <f>IFERROR(__xludf.DUMMYFUNCTION("IF(C1324="""","""", OR(REGEXMATCH(LOWER(C1324),""cuota""), REGEXMATCH(C1324,""\d+\s*/\s*\d+"")))"),"")</f>
        <v/>
      </c>
      <c r="G1324" s="32" t="str">
        <f>IFERROR(__xludf.DUMMYFUNCTION("IFERROR(VALUE(REGEXEXTRACT(C1324,""(\d+)\s*/\s*\d+"")),"""")"),"")</f>
        <v/>
      </c>
      <c r="H1324" s="32" t="str">
        <f>IFERROR(__xludf.DUMMYFUNCTION("IFERROR(VALUE(REGEXEXTRACT(C1324,""\d+\s*/\s*(\d+)"")),"""")"),"")</f>
        <v/>
      </c>
      <c r="I1324" s="32" t="str">
        <f t="shared" si="2"/>
        <v/>
      </c>
      <c r="J1324" s="33" t="str">
        <f t="shared" si="3"/>
        <v/>
      </c>
    </row>
    <row r="1325" ht="15.75" customHeight="1">
      <c r="A1325" s="22" t="s">
        <v>113</v>
      </c>
      <c r="B1325" s="22" t="str">
        <f>IF(MOV_CC_NACIONAL!A1325="","",MOV_CC_NACIONAL!A1325)</f>
        <v/>
      </c>
      <c r="C1325" s="22" t="str">
        <f>IF(MOV_CC_NACIONAL!B1325="","",MOV_CC_NACIONAL!B1325)</f>
        <v/>
      </c>
      <c r="D1325" s="34" t="str">
        <f>IF(MOV_CC_NACIONAL!C1325="","",MOV_CC_NACIONAL!C1325)</f>
        <v/>
      </c>
      <c r="E1325" s="22" t="str">
        <f t="shared" si="1"/>
        <v/>
      </c>
      <c r="F1325" s="22" t="str">
        <f>IFERROR(__xludf.DUMMYFUNCTION("IF(C1325="""","""", OR(REGEXMATCH(LOWER(C1325),""cuota""), REGEXMATCH(C1325,""\d+\s*/\s*\d+"")))"),"")</f>
        <v/>
      </c>
      <c r="G1325" s="22" t="str">
        <f>IFERROR(__xludf.DUMMYFUNCTION("IFERROR(VALUE(REGEXEXTRACT(C1325,""(\d+)\s*/\s*\d+"")),"""")"),"")</f>
        <v/>
      </c>
      <c r="H1325" s="22" t="str">
        <f>IFERROR(__xludf.DUMMYFUNCTION("IFERROR(VALUE(REGEXEXTRACT(C1325,""\d+\s*/\s*(\d+)"")),"""")"),"")</f>
        <v/>
      </c>
      <c r="I1325" s="22" t="str">
        <f t="shared" si="2"/>
        <v/>
      </c>
      <c r="J1325" s="34" t="str">
        <f t="shared" si="3"/>
        <v/>
      </c>
    </row>
    <row r="1326" ht="15.75" customHeight="1">
      <c r="A1326" s="32" t="s">
        <v>113</v>
      </c>
      <c r="B1326" s="32" t="str">
        <f>IF(MOV_CC_NACIONAL!A1326="","",MOV_CC_NACIONAL!A1326)</f>
        <v/>
      </c>
      <c r="C1326" s="32" t="str">
        <f>IF(MOV_CC_NACIONAL!B1326="","",MOV_CC_NACIONAL!B1326)</f>
        <v/>
      </c>
      <c r="D1326" s="33" t="str">
        <f>IF(MOV_CC_NACIONAL!C1326="","",MOV_CC_NACIONAL!C1326)</f>
        <v/>
      </c>
      <c r="E1326" s="32" t="str">
        <f t="shared" si="1"/>
        <v/>
      </c>
      <c r="F1326" s="32" t="str">
        <f>IFERROR(__xludf.DUMMYFUNCTION("IF(C1326="""","""", OR(REGEXMATCH(LOWER(C1326),""cuota""), REGEXMATCH(C1326,""\d+\s*/\s*\d+"")))"),"")</f>
        <v/>
      </c>
      <c r="G1326" s="32" t="str">
        <f>IFERROR(__xludf.DUMMYFUNCTION("IFERROR(VALUE(REGEXEXTRACT(C1326,""(\d+)\s*/\s*\d+"")),"""")"),"")</f>
        <v/>
      </c>
      <c r="H1326" s="32" t="str">
        <f>IFERROR(__xludf.DUMMYFUNCTION("IFERROR(VALUE(REGEXEXTRACT(C1326,""\d+\s*/\s*(\d+)"")),"""")"),"")</f>
        <v/>
      </c>
      <c r="I1326" s="32" t="str">
        <f t="shared" si="2"/>
        <v/>
      </c>
      <c r="J1326" s="33" t="str">
        <f t="shared" si="3"/>
        <v/>
      </c>
    </row>
    <row r="1327" ht="15.75" customHeight="1">
      <c r="A1327" s="22" t="s">
        <v>113</v>
      </c>
      <c r="B1327" s="22" t="str">
        <f>IF(MOV_CC_NACIONAL!A1327="","",MOV_CC_NACIONAL!A1327)</f>
        <v/>
      </c>
      <c r="C1327" s="22" t="str">
        <f>IF(MOV_CC_NACIONAL!B1327="","",MOV_CC_NACIONAL!B1327)</f>
        <v/>
      </c>
      <c r="D1327" s="34" t="str">
        <f>IF(MOV_CC_NACIONAL!C1327="","",MOV_CC_NACIONAL!C1327)</f>
        <v/>
      </c>
      <c r="E1327" s="22" t="str">
        <f t="shared" si="1"/>
        <v/>
      </c>
      <c r="F1327" s="22" t="str">
        <f>IFERROR(__xludf.DUMMYFUNCTION("IF(C1327="""","""", OR(REGEXMATCH(LOWER(C1327),""cuota""), REGEXMATCH(C1327,""\d+\s*/\s*\d+"")))"),"")</f>
        <v/>
      </c>
      <c r="G1327" s="22" t="str">
        <f>IFERROR(__xludf.DUMMYFUNCTION("IFERROR(VALUE(REGEXEXTRACT(C1327,""(\d+)\s*/\s*\d+"")),"""")"),"")</f>
        <v/>
      </c>
      <c r="H1327" s="22" t="str">
        <f>IFERROR(__xludf.DUMMYFUNCTION("IFERROR(VALUE(REGEXEXTRACT(C1327,""\d+\s*/\s*(\d+)"")),"""")"),"")</f>
        <v/>
      </c>
      <c r="I1327" s="22" t="str">
        <f t="shared" si="2"/>
        <v/>
      </c>
      <c r="J1327" s="34" t="str">
        <f t="shared" si="3"/>
        <v/>
      </c>
    </row>
    <row r="1328" ht="15.75" customHeight="1">
      <c r="A1328" s="32" t="s">
        <v>113</v>
      </c>
      <c r="B1328" s="32" t="str">
        <f>IF(MOV_CC_NACIONAL!A1328="","",MOV_CC_NACIONAL!A1328)</f>
        <v/>
      </c>
      <c r="C1328" s="32" t="str">
        <f>IF(MOV_CC_NACIONAL!B1328="","",MOV_CC_NACIONAL!B1328)</f>
        <v/>
      </c>
      <c r="D1328" s="33" t="str">
        <f>IF(MOV_CC_NACIONAL!C1328="","",MOV_CC_NACIONAL!C1328)</f>
        <v/>
      </c>
      <c r="E1328" s="32" t="str">
        <f t="shared" si="1"/>
        <v/>
      </c>
      <c r="F1328" s="32" t="str">
        <f>IFERROR(__xludf.DUMMYFUNCTION("IF(C1328="""","""", OR(REGEXMATCH(LOWER(C1328),""cuota""), REGEXMATCH(C1328,""\d+\s*/\s*\d+"")))"),"")</f>
        <v/>
      </c>
      <c r="G1328" s="32" t="str">
        <f>IFERROR(__xludf.DUMMYFUNCTION("IFERROR(VALUE(REGEXEXTRACT(C1328,""(\d+)\s*/\s*\d+"")),"""")"),"")</f>
        <v/>
      </c>
      <c r="H1328" s="32" t="str">
        <f>IFERROR(__xludf.DUMMYFUNCTION("IFERROR(VALUE(REGEXEXTRACT(C1328,""\d+\s*/\s*(\d+)"")),"""")"),"")</f>
        <v/>
      </c>
      <c r="I1328" s="32" t="str">
        <f t="shared" si="2"/>
        <v/>
      </c>
      <c r="J1328" s="33" t="str">
        <f t="shared" si="3"/>
        <v/>
      </c>
    </row>
    <row r="1329" ht="15.75" customHeight="1">
      <c r="A1329" s="22" t="s">
        <v>113</v>
      </c>
      <c r="B1329" s="22" t="str">
        <f>IF(MOV_CC_NACIONAL!A1329="","",MOV_CC_NACIONAL!A1329)</f>
        <v/>
      </c>
      <c r="C1329" s="22" t="str">
        <f>IF(MOV_CC_NACIONAL!B1329="","",MOV_CC_NACIONAL!B1329)</f>
        <v/>
      </c>
      <c r="D1329" s="34" t="str">
        <f>IF(MOV_CC_NACIONAL!C1329="","",MOV_CC_NACIONAL!C1329)</f>
        <v/>
      </c>
      <c r="E1329" s="22" t="str">
        <f t="shared" si="1"/>
        <v/>
      </c>
      <c r="F1329" s="22" t="str">
        <f>IFERROR(__xludf.DUMMYFUNCTION("IF(C1329="""","""", OR(REGEXMATCH(LOWER(C1329),""cuota""), REGEXMATCH(C1329,""\d+\s*/\s*\d+"")))"),"")</f>
        <v/>
      </c>
      <c r="G1329" s="22" t="str">
        <f>IFERROR(__xludf.DUMMYFUNCTION("IFERROR(VALUE(REGEXEXTRACT(C1329,""(\d+)\s*/\s*\d+"")),"""")"),"")</f>
        <v/>
      </c>
      <c r="H1329" s="22" t="str">
        <f>IFERROR(__xludf.DUMMYFUNCTION("IFERROR(VALUE(REGEXEXTRACT(C1329,""\d+\s*/\s*(\d+)"")),"""")"),"")</f>
        <v/>
      </c>
      <c r="I1329" s="22" t="str">
        <f t="shared" si="2"/>
        <v/>
      </c>
      <c r="J1329" s="34" t="str">
        <f t="shared" si="3"/>
        <v/>
      </c>
    </row>
    <row r="1330" ht="15.75" customHeight="1">
      <c r="A1330" s="32" t="s">
        <v>113</v>
      </c>
      <c r="B1330" s="32" t="str">
        <f>IF(MOV_CC_NACIONAL!A1330="","",MOV_CC_NACIONAL!A1330)</f>
        <v/>
      </c>
      <c r="C1330" s="32" t="str">
        <f>IF(MOV_CC_NACIONAL!B1330="","",MOV_CC_NACIONAL!B1330)</f>
        <v/>
      </c>
      <c r="D1330" s="33" t="str">
        <f>IF(MOV_CC_NACIONAL!C1330="","",MOV_CC_NACIONAL!C1330)</f>
        <v/>
      </c>
      <c r="E1330" s="32" t="str">
        <f t="shared" si="1"/>
        <v/>
      </c>
      <c r="F1330" s="32" t="str">
        <f>IFERROR(__xludf.DUMMYFUNCTION("IF(C1330="""","""", OR(REGEXMATCH(LOWER(C1330),""cuota""), REGEXMATCH(C1330,""\d+\s*/\s*\d+"")))"),"")</f>
        <v/>
      </c>
      <c r="G1330" s="32" t="str">
        <f>IFERROR(__xludf.DUMMYFUNCTION("IFERROR(VALUE(REGEXEXTRACT(C1330,""(\d+)\s*/\s*\d+"")),"""")"),"")</f>
        <v/>
      </c>
      <c r="H1330" s="32" t="str">
        <f>IFERROR(__xludf.DUMMYFUNCTION("IFERROR(VALUE(REGEXEXTRACT(C1330,""\d+\s*/\s*(\d+)"")),"""")"),"")</f>
        <v/>
      </c>
      <c r="I1330" s="32" t="str">
        <f t="shared" si="2"/>
        <v/>
      </c>
      <c r="J1330" s="33" t="str">
        <f t="shared" si="3"/>
        <v/>
      </c>
    </row>
    <row r="1331" ht="15.75" customHeight="1">
      <c r="A1331" s="22" t="s">
        <v>113</v>
      </c>
      <c r="B1331" s="22" t="str">
        <f>IF(MOV_CC_NACIONAL!A1331="","",MOV_CC_NACIONAL!A1331)</f>
        <v/>
      </c>
      <c r="C1331" s="22" t="str">
        <f>IF(MOV_CC_NACIONAL!B1331="","",MOV_CC_NACIONAL!B1331)</f>
        <v/>
      </c>
      <c r="D1331" s="34" t="str">
        <f>IF(MOV_CC_NACIONAL!C1331="","",MOV_CC_NACIONAL!C1331)</f>
        <v/>
      </c>
      <c r="E1331" s="22" t="str">
        <f t="shared" si="1"/>
        <v/>
      </c>
      <c r="F1331" s="22" t="str">
        <f>IFERROR(__xludf.DUMMYFUNCTION("IF(C1331="""","""", OR(REGEXMATCH(LOWER(C1331),""cuota""), REGEXMATCH(C1331,""\d+\s*/\s*\d+"")))"),"")</f>
        <v/>
      </c>
      <c r="G1331" s="22" t="str">
        <f>IFERROR(__xludf.DUMMYFUNCTION("IFERROR(VALUE(REGEXEXTRACT(C1331,""(\d+)\s*/\s*\d+"")),"""")"),"")</f>
        <v/>
      </c>
      <c r="H1331" s="22" t="str">
        <f>IFERROR(__xludf.DUMMYFUNCTION("IFERROR(VALUE(REGEXEXTRACT(C1331,""\d+\s*/\s*(\d+)"")),"""")"),"")</f>
        <v/>
      </c>
      <c r="I1331" s="22" t="str">
        <f t="shared" si="2"/>
        <v/>
      </c>
      <c r="J1331" s="34" t="str">
        <f t="shared" si="3"/>
        <v/>
      </c>
    </row>
    <row r="1332" ht="15.75" customHeight="1">
      <c r="A1332" s="32" t="s">
        <v>113</v>
      </c>
      <c r="B1332" s="32" t="str">
        <f>IF(MOV_CC_NACIONAL!A1332="","",MOV_CC_NACIONAL!A1332)</f>
        <v/>
      </c>
      <c r="C1332" s="32" t="str">
        <f>IF(MOV_CC_NACIONAL!B1332="","",MOV_CC_NACIONAL!B1332)</f>
        <v/>
      </c>
      <c r="D1332" s="33" t="str">
        <f>IF(MOV_CC_NACIONAL!C1332="","",MOV_CC_NACIONAL!C1332)</f>
        <v/>
      </c>
      <c r="E1332" s="32" t="str">
        <f t="shared" si="1"/>
        <v/>
      </c>
      <c r="F1332" s="32" t="str">
        <f>IFERROR(__xludf.DUMMYFUNCTION("IF(C1332="""","""", OR(REGEXMATCH(LOWER(C1332),""cuota""), REGEXMATCH(C1332,""\d+\s*/\s*\d+"")))"),"")</f>
        <v/>
      </c>
      <c r="G1332" s="32" t="str">
        <f>IFERROR(__xludf.DUMMYFUNCTION("IFERROR(VALUE(REGEXEXTRACT(C1332,""(\d+)\s*/\s*\d+"")),"""")"),"")</f>
        <v/>
      </c>
      <c r="H1332" s="32" t="str">
        <f>IFERROR(__xludf.DUMMYFUNCTION("IFERROR(VALUE(REGEXEXTRACT(C1332,""\d+\s*/\s*(\d+)"")),"""")"),"")</f>
        <v/>
      </c>
      <c r="I1332" s="32" t="str">
        <f t="shared" si="2"/>
        <v/>
      </c>
      <c r="J1332" s="33" t="str">
        <f t="shared" si="3"/>
        <v/>
      </c>
    </row>
    <row r="1333" ht="15.75" customHeight="1">
      <c r="A1333" s="22" t="s">
        <v>113</v>
      </c>
      <c r="B1333" s="22" t="str">
        <f>IF(MOV_CC_NACIONAL!A1333="","",MOV_CC_NACIONAL!A1333)</f>
        <v/>
      </c>
      <c r="C1333" s="22" t="str">
        <f>IF(MOV_CC_NACIONAL!B1333="","",MOV_CC_NACIONAL!B1333)</f>
        <v/>
      </c>
      <c r="D1333" s="34" t="str">
        <f>IF(MOV_CC_NACIONAL!C1333="","",MOV_CC_NACIONAL!C1333)</f>
        <v/>
      </c>
      <c r="E1333" s="22" t="str">
        <f t="shared" si="1"/>
        <v/>
      </c>
      <c r="F1333" s="22" t="str">
        <f>IFERROR(__xludf.DUMMYFUNCTION("IF(C1333="""","""", OR(REGEXMATCH(LOWER(C1333),""cuota""), REGEXMATCH(C1333,""\d+\s*/\s*\d+"")))"),"")</f>
        <v/>
      </c>
      <c r="G1333" s="22" t="str">
        <f>IFERROR(__xludf.DUMMYFUNCTION("IFERROR(VALUE(REGEXEXTRACT(C1333,""(\d+)\s*/\s*\d+"")),"""")"),"")</f>
        <v/>
      </c>
      <c r="H1333" s="22" t="str">
        <f>IFERROR(__xludf.DUMMYFUNCTION("IFERROR(VALUE(REGEXEXTRACT(C1333,""\d+\s*/\s*(\d+)"")),"""")"),"")</f>
        <v/>
      </c>
      <c r="I1333" s="22" t="str">
        <f t="shared" si="2"/>
        <v/>
      </c>
      <c r="J1333" s="34" t="str">
        <f t="shared" si="3"/>
        <v/>
      </c>
    </row>
    <row r="1334" ht="15.75" customHeight="1">
      <c r="A1334" s="32" t="s">
        <v>113</v>
      </c>
      <c r="B1334" s="32" t="str">
        <f>IF(MOV_CC_NACIONAL!A1334="","",MOV_CC_NACIONAL!A1334)</f>
        <v/>
      </c>
      <c r="C1334" s="32" t="str">
        <f>IF(MOV_CC_NACIONAL!B1334="","",MOV_CC_NACIONAL!B1334)</f>
        <v/>
      </c>
      <c r="D1334" s="33" t="str">
        <f>IF(MOV_CC_NACIONAL!C1334="","",MOV_CC_NACIONAL!C1334)</f>
        <v/>
      </c>
      <c r="E1334" s="32" t="str">
        <f t="shared" si="1"/>
        <v/>
      </c>
      <c r="F1334" s="32" t="str">
        <f>IFERROR(__xludf.DUMMYFUNCTION("IF(C1334="""","""", OR(REGEXMATCH(LOWER(C1334),""cuota""), REGEXMATCH(C1334,""\d+\s*/\s*\d+"")))"),"")</f>
        <v/>
      </c>
      <c r="G1334" s="32" t="str">
        <f>IFERROR(__xludf.DUMMYFUNCTION("IFERROR(VALUE(REGEXEXTRACT(C1334,""(\d+)\s*/\s*\d+"")),"""")"),"")</f>
        <v/>
      </c>
      <c r="H1334" s="32" t="str">
        <f>IFERROR(__xludf.DUMMYFUNCTION("IFERROR(VALUE(REGEXEXTRACT(C1334,""\d+\s*/\s*(\d+)"")),"""")"),"")</f>
        <v/>
      </c>
      <c r="I1334" s="32" t="str">
        <f t="shared" si="2"/>
        <v/>
      </c>
      <c r="J1334" s="33" t="str">
        <f t="shared" si="3"/>
        <v/>
      </c>
    </row>
    <row r="1335" ht="15.75" customHeight="1">
      <c r="A1335" s="22" t="s">
        <v>113</v>
      </c>
      <c r="B1335" s="22" t="str">
        <f>IF(MOV_CC_NACIONAL!A1335="","",MOV_CC_NACIONAL!A1335)</f>
        <v/>
      </c>
      <c r="C1335" s="22" t="str">
        <f>IF(MOV_CC_NACIONAL!B1335="","",MOV_CC_NACIONAL!B1335)</f>
        <v/>
      </c>
      <c r="D1335" s="34" t="str">
        <f>IF(MOV_CC_NACIONAL!C1335="","",MOV_CC_NACIONAL!C1335)</f>
        <v/>
      </c>
      <c r="E1335" s="22" t="str">
        <f t="shared" si="1"/>
        <v/>
      </c>
      <c r="F1335" s="22" t="str">
        <f>IFERROR(__xludf.DUMMYFUNCTION("IF(C1335="""","""", OR(REGEXMATCH(LOWER(C1335),""cuota""), REGEXMATCH(C1335,""\d+\s*/\s*\d+"")))"),"")</f>
        <v/>
      </c>
      <c r="G1335" s="22" t="str">
        <f>IFERROR(__xludf.DUMMYFUNCTION("IFERROR(VALUE(REGEXEXTRACT(C1335,""(\d+)\s*/\s*\d+"")),"""")"),"")</f>
        <v/>
      </c>
      <c r="H1335" s="22" t="str">
        <f>IFERROR(__xludf.DUMMYFUNCTION("IFERROR(VALUE(REGEXEXTRACT(C1335,""\d+\s*/\s*(\d+)"")),"""")"),"")</f>
        <v/>
      </c>
      <c r="I1335" s="22" t="str">
        <f t="shared" si="2"/>
        <v/>
      </c>
      <c r="J1335" s="34" t="str">
        <f t="shared" si="3"/>
        <v/>
      </c>
    </row>
    <row r="1336" ht="15.75" customHeight="1">
      <c r="A1336" s="32" t="s">
        <v>113</v>
      </c>
      <c r="B1336" s="32" t="str">
        <f>IF(MOV_CC_NACIONAL!A1336="","",MOV_CC_NACIONAL!A1336)</f>
        <v/>
      </c>
      <c r="C1336" s="32" t="str">
        <f>IF(MOV_CC_NACIONAL!B1336="","",MOV_CC_NACIONAL!B1336)</f>
        <v/>
      </c>
      <c r="D1336" s="33" t="str">
        <f>IF(MOV_CC_NACIONAL!C1336="","",MOV_CC_NACIONAL!C1336)</f>
        <v/>
      </c>
      <c r="E1336" s="32" t="str">
        <f t="shared" si="1"/>
        <v/>
      </c>
      <c r="F1336" s="32" t="str">
        <f>IFERROR(__xludf.DUMMYFUNCTION("IF(C1336="""","""", OR(REGEXMATCH(LOWER(C1336),""cuota""), REGEXMATCH(C1336,""\d+\s*/\s*\d+"")))"),"")</f>
        <v/>
      </c>
      <c r="G1336" s="32" t="str">
        <f>IFERROR(__xludf.DUMMYFUNCTION("IFERROR(VALUE(REGEXEXTRACT(C1336,""(\d+)\s*/\s*\d+"")),"""")"),"")</f>
        <v/>
      </c>
      <c r="H1336" s="32" t="str">
        <f>IFERROR(__xludf.DUMMYFUNCTION("IFERROR(VALUE(REGEXEXTRACT(C1336,""\d+\s*/\s*(\d+)"")),"""")"),"")</f>
        <v/>
      </c>
      <c r="I1336" s="32" t="str">
        <f t="shared" si="2"/>
        <v/>
      </c>
      <c r="J1336" s="33" t="str">
        <f t="shared" si="3"/>
        <v/>
      </c>
    </row>
    <row r="1337" ht="15.75" customHeight="1">
      <c r="A1337" s="22" t="s">
        <v>113</v>
      </c>
      <c r="B1337" s="22" t="str">
        <f>IF(MOV_CC_NACIONAL!A1337="","",MOV_CC_NACIONAL!A1337)</f>
        <v/>
      </c>
      <c r="C1337" s="22" t="str">
        <f>IF(MOV_CC_NACIONAL!B1337="","",MOV_CC_NACIONAL!B1337)</f>
        <v/>
      </c>
      <c r="D1337" s="34" t="str">
        <f>IF(MOV_CC_NACIONAL!C1337="","",MOV_CC_NACIONAL!C1337)</f>
        <v/>
      </c>
      <c r="E1337" s="22" t="str">
        <f t="shared" si="1"/>
        <v/>
      </c>
      <c r="F1337" s="22" t="str">
        <f>IFERROR(__xludf.DUMMYFUNCTION("IF(C1337="""","""", OR(REGEXMATCH(LOWER(C1337),""cuota""), REGEXMATCH(C1337,""\d+\s*/\s*\d+"")))"),"")</f>
        <v/>
      </c>
      <c r="G1337" s="22" t="str">
        <f>IFERROR(__xludf.DUMMYFUNCTION("IFERROR(VALUE(REGEXEXTRACT(C1337,""(\d+)\s*/\s*\d+"")),"""")"),"")</f>
        <v/>
      </c>
      <c r="H1337" s="22" t="str">
        <f>IFERROR(__xludf.DUMMYFUNCTION("IFERROR(VALUE(REGEXEXTRACT(C1337,""\d+\s*/\s*(\d+)"")),"""")"),"")</f>
        <v/>
      </c>
      <c r="I1337" s="22" t="str">
        <f t="shared" si="2"/>
        <v/>
      </c>
      <c r="J1337" s="34" t="str">
        <f t="shared" si="3"/>
        <v/>
      </c>
    </row>
    <row r="1338" ht="15.75" customHeight="1">
      <c r="A1338" s="32" t="s">
        <v>113</v>
      </c>
      <c r="B1338" s="32" t="str">
        <f>IF(MOV_CC_NACIONAL!A1338="","",MOV_CC_NACIONAL!A1338)</f>
        <v/>
      </c>
      <c r="C1338" s="32" t="str">
        <f>IF(MOV_CC_NACIONAL!B1338="","",MOV_CC_NACIONAL!B1338)</f>
        <v/>
      </c>
      <c r="D1338" s="33" t="str">
        <f>IF(MOV_CC_NACIONAL!C1338="","",MOV_CC_NACIONAL!C1338)</f>
        <v/>
      </c>
      <c r="E1338" s="32" t="str">
        <f t="shared" si="1"/>
        <v/>
      </c>
      <c r="F1338" s="32" t="str">
        <f>IFERROR(__xludf.DUMMYFUNCTION("IF(C1338="""","""", OR(REGEXMATCH(LOWER(C1338),""cuota""), REGEXMATCH(C1338,""\d+\s*/\s*\d+"")))"),"")</f>
        <v/>
      </c>
      <c r="G1338" s="32" t="str">
        <f>IFERROR(__xludf.DUMMYFUNCTION("IFERROR(VALUE(REGEXEXTRACT(C1338,""(\d+)\s*/\s*\d+"")),"""")"),"")</f>
        <v/>
      </c>
      <c r="H1338" s="32" t="str">
        <f>IFERROR(__xludf.DUMMYFUNCTION("IFERROR(VALUE(REGEXEXTRACT(C1338,""\d+\s*/\s*(\d+)"")),"""")"),"")</f>
        <v/>
      </c>
      <c r="I1338" s="32" t="str">
        <f t="shared" si="2"/>
        <v/>
      </c>
      <c r="J1338" s="33" t="str">
        <f t="shared" si="3"/>
        <v/>
      </c>
    </row>
    <row r="1339" ht="15.75" customHeight="1">
      <c r="A1339" s="22" t="s">
        <v>113</v>
      </c>
      <c r="B1339" s="22" t="str">
        <f>IF(MOV_CC_NACIONAL!A1339="","",MOV_CC_NACIONAL!A1339)</f>
        <v/>
      </c>
      <c r="C1339" s="22" t="str">
        <f>IF(MOV_CC_NACIONAL!B1339="","",MOV_CC_NACIONAL!B1339)</f>
        <v/>
      </c>
      <c r="D1339" s="34" t="str">
        <f>IF(MOV_CC_NACIONAL!C1339="","",MOV_CC_NACIONAL!C1339)</f>
        <v/>
      </c>
      <c r="E1339" s="22" t="str">
        <f t="shared" si="1"/>
        <v/>
      </c>
      <c r="F1339" s="22" t="str">
        <f>IFERROR(__xludf.DUMMYFUNCTION("IF(C1339="""","""", OR(REGEXMATCH(LOWER(C1339),""cuota""), REGEXMATCH(C1339,""\d+\s*/\s*\d+"")))"),"")</f>
        <v/>
      </c>
      <c r="G1339" s="22" t="str">
        <f>IFERROR(__xludf.DUMMYFUNCTION("IFERROR(VALUE(REGEXEXTRACT(C1339,""(\d+)\s*/\s*\d+"")),"""")"),"")</f>
        <v/>
      </c>
      <c r="H1339" s="22" t="str">
        <f>IFERROR(__xludf.DUMMYFUNCTION("IFERROR(VALUE(REGEXEXTRACT(C1339,""\d+\s*/\s*(\d+)"")),"""")"),"")</f>
        <v/>
      </c>
      <c r="I1339" s="22" t="str">
        <f t="shared" si="2"/>
        <v/>
      </c>
      <c r="J1339" s="34" t="str">
        <f t="shared" si="3"/>
        <v/>
      </c>
    </row>
    <row r="1340" ht="15.75" customHeight="1">
      <c r="A1340" s="32" t="s">
        <v>113</v>
      </c>
      <c r="B1340" s="32" t="str">
        <f>IF(MOV_CC_NACIONAL!A1340="","",MOV_CC_NACIONAL!A1340)</f>
        <v/>
      </c>
      <c r="C1340" s="32" t="str">
        <f>IF(MOV_CC_NACIONAL!B1340="","",MOV_CC_NACIONAL!B1340)</f>
        <v/>
      </c>
      <c r="D1340" s="33" t="str">
        <f>IF(MOV_CC_NACIONAL!C1340="","",MOV_CC_NACIONAL!C1340)</f>
        <v/>
      </c>
      <c r="E1340" s="32" t="str">
        <f t="shared" si="1"/>
        <v/>
      </c>
      <c r="F1340" s="32" t="str">
        <f>IFERROR(__xludf.DUMMYFUNCTION("IF(C1340="""","""", OR(REGEXMATCH(LOWER(C1340),""cuota""), REGEXMATCH(C1340,""\d+\s*/\s*\d+"")))"),"")</f>
        <v/>
      </c>
      <c r="G1340" s="32" t="str">
        <f>IFERROR(__xludf.DUMMYFUNCTION("IFERROR(VALUE(REGEXEXTRACT(C1340,""(\d+)\s*/\s*\d+"")),"""")"),"")</f>
        <v/>
      </c>
      <c r="H1340" s="32" t="str">
        <f>IFERROR(__xludf.DUMMYFUNCTION("IFERROR(VALUE(REGEXEXTRACT(C1340,""\d+\s*/\s*(\d+)"")),"""")"),"")</f>
        <v/>
      </c>
      <c r="I1340" s="32" t="str">
        <f t="shared" si="2"/>
        <v/>
      </c>
      <c r="J1340" s="33" t="str">
        <f t="shared" si="3"/>
        <v/>
      </c>
    </row>
    <row r="1341" ht="15.75" customHeight="1">
      <c r="A1341" s="22" t="s">
        <v>113</v>
      </c>
      <c r="B1341" s="22" t="str">
        <f>IF(MOV_CC_NACIONAL!A1341="","",MOV_CC_NACIONAL!A1341)</f>
        <v/>
      </c>
      <c r="C1341" s="22" t="str">
        <f>IF(MOV_CC_NACIONAL!B1341="","",MOV_CC_NACIONAL!B1341)</f>
        <v/>
      </c>
      <c r="D1341" s="34" t="str">
        <f>IF(MOV_CC_NACIONAL!C1341="","",MOV_CC_NACIONAL!C1341)</f>
        <v/>
      </c>
      <c r="E1341" s="22" t="str">
        <f t="shared" si="1"/>
        <v/>
      </c>
      <c r="F1341" s="22" t="str">
        <f>IFERROR(__xludf.DUMMYFUNCTION("IF(C1341="""","""", OR(REGEXMATCH(LOWER(C1341),""cuota""), REGEXMATCH(C1341,""\d+\s*/\s*\d+"")))"),"")</f>
        <v/>
      </c>
      <c r="G1341" s="22" t="str">
        <f>IFERROR(__xludf.DUMMYFUNCTION("IFERROR(VALUE(REGEXEXTRACT(C1341,""(\d+)\s*/\s*\d+"")),"""")"),"")</f>
        <v/>
      </c>
      <c r="H1341" s="22" t="str">
        <f>IFERROR(__xludf.DUMMYFUNCTION("IFERROR(VALUE(REGEXEXTRACT(C1341,""\d+\s*/\s*(\d+)"")),"""")"),"")</f>
        <v/>
      </c>
      <c r="I1341" s="22" t="str">
        <f t="shared" si="2"/>
        <v/>
      </c>
      <c r="J1341" s="34" t="str">
        <f t="shared" si="3"/>
        <v/>
      </c>
    </row>
    <row r="1342" ht="15.75" customHeight="1">
      <c r="A1342" s="32" t="s">
        <v>113</v>
      </c>
      <c r="B1342" s="32" t="str">
        <f>IF(MOV_CC_NACIONAL!A1342="","",MOV_CC_NACIONAL!A1342)</f>
        <v/>
      </c>
      <c r="C1342" s="32" t="str">
        <f>IF(MOV_CC_NACIONAL!B1342="","",MOV_CC_NACIONAL!B1342)</f>
        <v/>
      </c>
      <c r="D1342" s="33" t="str">
        <f>IF(MOV_CC_NACIONAL!C1342="","",MOV_CC_NACIONAL!C1342)</f>
        <v/>
      </c>
      <c r="E1342" s="32" t="str">
        <f t="shared" si="1"/>
        <v/>
      </c>
      <c r="F1342" s="32" t="str">
        <f>IFERROR(__xludf.DUMMYFUNCTION("IF(C1342="""","""", OR(REGEXMATCH(LOWER(C1342),""cuota""), REGEXMATCH(C1342,""\d+\s*/\s*\d+"")))"),"")</f>
        <v/>
      </c>
      <c r="G1342" s="32" t="str">
        <f>IFERROR(__xludf.DUMMYFUNCTION("IFERROR(VALUE(REGEXEXTRACT(C1342,""(\d+)\s*/\s*\d+"")),"""")"),"")</f>
        <v/>
      </c>
      <c r="H1342" s="32" t="str">
        <f>IFERROR(__xludf.DUMMYFUNCTION("IFERROR(VALUE(REGEXEXTRACT(C1342,""\d+\s*/\s*(\d+)"")),"""")"),"")</f>
        <v/>
      </c>
      <c r="I1342" s="32" t="str">
        <f t="shared" si="2"/>
        <v/>
      </c>
      <c r="J1342" s="33" t="str">
        <f t="shared" si="3"/>
        <v/>
      </c>
    </row>
    <row r="1343" ht="15.75" customHeight="1">
      <c r="A1343" s="22" t="s">
        <v>113</v>
      </c>
      <c r="B1343" s="22" t="str">
        <f>IF(MOV_CC_NACIONAL!A1343="","",MOV_CC_NACIONAL!A1343)</f>
        <v/>
      </c>
      <c r="C1343" s="22" t="str">
        <f>IF(MOV_CC_NACIONAL!B1343="","",MOV_CC_NACIONAL!B1343)</f>
        <v/>
      </c>
      <c r="D1343" s="34" t="str">
        <f>IF(MOV_CC_NACIONAL!C1343="","",MOV_CC_NACIONAL!C1343)</f>
        <v/>
      </c>
      <c r="E1343" s="22" t="str">
        <f t="shared" si="1"/>
        <v/>
      </c>
      <c r="F1343" s="22" t="str">
        <f>IFERROR(__xludf.DUMMYFUNCTION("IF(C1343="""","""", OR(REGEXMATCH(LOWER(C1343),""cuota""), REGEXMATCH(C1343,""\d+\s*/\s*\d+"")))"),"")</f>
        <v/>
      </c>
      <c r="G1343" s="22" t="str">
        <f>IFERROR(__xludf.DUMMYFUNCTION("IFERROR(VALUE(REGEXEXTRACT(C1343,""(\d+)\s*/\s*\d+"")),"""")"),"")</f>
        <v/>
      </c>
      <c r="H1343" s="22" t="str">
        <f>IFERROR(__xludf.DUMMYFUNCTION("IFERROR(VALUE(REGEXEXTRACT(C1343,""\d+\s*/\s*(\d+)"")),"""")"),"")</f>
        <v/>
      </c>
      <c r="I1343" s="22" t="str">
        <f t="shared" si="2"/>
        <v/>
      </c>
      <c r="J1343" s="34" t="str">
        <f t="shared" si="3"/>
        <v/>
      </c>
    </row>
    <row r="1344" ht="15.75" customHeight="1">
      <c r="A1344" s="32" t="s">
        <v>113</v>
      </c>
      <c r="B1344" s="32" t="str">
        <f>IF(MOV_CC_NACIONAL!A1344="","",MOV_CC_NACIONAL!A1344)</f>
        <v/>
      </c>
      <c r="C1344" s="32" t="str">
        <f>IF(MOV_CC_NACIONAL!B1344="","",MOV_CC_NACIONAL!B1344)</f>
        <v/>
      </c>
      <c r="D1344" s="33" t="str">
        <f>IF(MOV_CC_NACIONAL!C1344="","",MOV_CC_NACIONAL!C1344)</f>
        <v/>
      </c>
      <c r="E1344" s="32" t="str">
        <f t="shared" si="1"/>
        <v/>
      </c>
      <c r="F1344" s="32" t="str">
        <f>IFERROR(__xludf.DUMMYFUNCTION("IF(C1344="""","""", OR(REGEXMATCH(LOWER(C1344),""cuota""), REGEXMATCH(C1344,""\d+\s*/\s*\d+"")))"),"")</f>
        <v/>
      </c>
      <c r="G1344" s="32" t="str">
        <f>IFERROR(__xludf.DUMMYFUNCTION("IFERROR(VALUE(REGEXEXTRACT(C1344,""(\d+)\s*/\s*\d+"")),"""")"),"")</f>
        <v/>
      </c>
      <c r="H1344" s="32" t="str">
        <f>IFERROR(__xludf.DUMMYFUNCTION("IFERROR(VALUE(REGEXEXTRACT(C1344,""\d+\s*/\s*(\d+)"")),"""")"),"")</f>
        <v/>
      </c>
      <c r="I1344" s="32" t="str">
        <f t="shared" si="2"/>
        <v/>
      </c>
      <c r="J1344" s="33" t="str">
        <f t="shared" si="3"/>
        <v/>
      </c>
    </row>
    <row r="1345" ht="15.75" customHeight="1">
      <c r="A1345" s="22" t="s">
        <v>113</v>
      </c>
      <c r="B1345" s="22" t="str">
        <f>IF(MOV_CC_NACIONAL!A1345="","",MOV_CC_NACIONAL!A1345)</f>
        <v/>
      </c>
      <c r="C1345" s="22" t="str">
        <f>IF(MOV_CC_NACIONAL!B1345="","",MOV_CC_NACIONAL!B1345)</f>
        <v/>
      </c>
      <c r="D1345" s="34" t="str">
        <f>IF(MOV_CC_NACIONAL!C1345="","",MOV_CC_NACIONAL!C1345)</f>
        <v/>
      </c>
      <c r="E1345" s="22" t="str">
        <f t="shared" si="1"/>
        <v/>
      </c>
      <c r="F1345" s="22" t="str">
        <f>IFERROR(__xludf.DUMMYFUNCTION("IF(C1345="""","""", OR(REGEXMATCH(LOWER(C1345),""cuota""), REGEXMATCH(C1345,""\d+\s*/\s*\d+"")))"),"")</f>
        <v/>
      </c>
      <c r="G1345" s="22" t="str">
        <f>IFERROR(__xludf.DUMMYFUNCTION("IFERROR(VALUE(REGEXEXTRACT(C1345,""(\d+)\s*/\s*\d+"")),"""")"),"")</f>
        <v/>
      </c>
      <c r="H1345" s="22" t="str">
        <f>IFERROR(__xludf.DUMMYFUNCTION("IFERROR(VALUE(REGEXEXTRACT(C1345,""\d+\s*/\s*(\d+)"")),"""")"),"")</f>
        <v/>
      </c>
      <c r="I1345" s="22" t="str">
        <f t="shared" si="2"/>
        <v/>
      </c>
      <c r="J1345" s="34" t="str">
        <f t="shared" si="3"/>
        <v/>
      </c>
    </row>
    <row r="1346" ht="15.75" customHeight="1">
      <c r="A1346" s="32" t="s">
        <v>113</v>
      </c>
      <c r="B1346" s="32" t="str">
        <f>IF(MOV_CC_NACIONAL!A1346="","",MOV_CC_NACIONAL!A1346)</f>
        <v/>
      </c>
      <c r="C1346" s="32" t="str">
        <f>IF(MOV_CC_NACIONAL!B1346="","",MOV_CC_NACIONAL!B1346)</f>
        <v/>
      </c>
      <c r="D1346" s="33" t="str">
        <f>IF(MOV_CC_NACIONAL!C1346="","",MOV_CC_NACIONAL!C1346)</f>
        <v/>
      </c>
      <c r="E1346" s="32" t="str">
        <f t="shared" si="1"/>
        <v/>
      </c>
      <c r="F1346" s="32" t="str">
        <f>IFERROR(__xludf.DUMMYFUNCTION("IF(C1346="""","""", OR(REGEXMATCH(LOWER(C1346),""cuota""), REGEXMATCH(C1346,""\d+\s*/\s*\d+"")))"),"")</f>
        <v/>
      </c>
      <c r="G1346" s="32" t="str">
        <f>IFERROR(__xludf.DUMMYFUNCTION("IFERROR(VALUE(REGEXEXTRACT(C1346,""(\d+)\s*/\s*\d+"")),"""")"),"")</f>
        <v/>
      </c>
      <c r="H1346" s="32" t="str">
        <f>IFERROR(__xludf.DUMMYFUNCTION("IFERROR(VALUE(REGEXEXTRACT(C1346,""\d+\s*/\s*(\d+)"")),"""")"),"")</f>
        <v/>
      </c>
      <c r="I1346" s="32" t="str">
        <f t="shared" si="2"/>
        <v/>
      </c>
      <c r="J1346" s="33" t="str">
        <f t="shared" si="3"/>
        <v/>
      </c>
    </row>
    <row r="1347" ht="15.75" customHeight="1">
      <c r="A1347" s="22" t="s">
        <v>113</v>
      </c>
      <c r="B1347" s="22" t="str">
        <f>IF(MOV_CC_NACIONAL!A1347="","",MOV_CC_NACIONAL!A1347)</f>
        <v/>
      </c>
      <c r="C1347" s="22" t="str">
        <f>IF(MOV_CC_NACIONAL!B1347="","",MOV_CC_NACIONAL!B1347)</f>
        <v/>
      </c>
      <c r="D1347" s="34" t="str">
        <f>IF(MOV_CC_NACIONAL!C1347="","",MOV_CC_NACIONAL!C1347)</f>
        <v/>
      </c>
      <c r="E1347" s="22" t="str">
        <f t="shared" si="1"/>
        <v/>
      </c>
      <c r="F1347" s="22" t="str">
        <f>IFERROR(__xludf.DUMMYFUNCTION("IF(C1347="""","""", OR(REGEXMATCH(LOWER(C1347),""cuota""), REGEXMATCH(C1347,""\d+\s*/\s*\d+"")))"),"")</f>
        <v/>
      </c>
      <c r="G1347" s="22" t="str">
        <f>IFERROR(__xludf.DUMMYFUNCTION("IFERROR(VALUE(REGEXEXTRACT(C1347,""(\d+)\s*/\s*\d+"")),"""")"),"")</f>
        <v/>
      </c>
      <c r="H1347" s="22" t="str">
        <f>IFERROR(__xludf.DUMMYFUNCTION("IFERROR(VALUE(REGEXEXTRACT(C1347,""\d+\s*/\s*(\d+)"")),"""")"),"")</f>
        <v/>
      </c>
      <c r="I1347" s="22" t="str">
        <f t="shared" si="2"/>
        <v/>
      </c>
      <c r="J1347" s="34" t="str">
        <f t="shared" si="3"/>
        <v/>
      </c>
    </row>
    <row r="1348" ht="15.75" customHeight="1">
      <c r="A1348" s="32" t="s">
        <v>113</v>
      </c>
      <c r="B1348" s="32" t="str">
        <f>IF(MOV_CC_NACIONAL!A1348="","",MOV_CC_NACIONAL!A1348)</f>
        <v/>
      </c>
      <c r="C1348" s="32" t="str">
        <f>IF(MOV_CC_NACIONAL!B1348="","",MOV_CC_NACIONAL!B1348)</f>
        <v/>
      </c>
      <c r="D1348" s="33" t="str">
        <f>IF(MOV_CC_NACIONAL!C1348="","",MOV_CC_NACIONAL!C1348)</f>
        <v/>
      </c>
      <c r="E1348" s="32" t="str">
        <f t="shared" si="1"/>
        <v/>
      </c>
      <c r="F1348" s="32" t="str">
        <f>IFERROR(__xludf.DUMMYFUNCTION("IF(C1348="""","""", OR(REGEXMATCH(LOWER(C1348),""cuota""), REGEXMATCH(C1348,""\d+\s*/\s*\d+"")))"),"")</f>
        <v/>
      </c>
      <c r="G1348" s="32" t="str">
        <f>IFERROR(__xludf.DUMMYFUNCTION("IFERROR(VALUE(REGEXEXTRACT(C1348,""(\d+)\s*/\s*\d+"")),"""")"),"")</f>
        <v/>
      </c>
      <c r="H1348" s="32" t="str">
        <f>IFERROR(__xludf.DUMMYFUNCTION("IFERROR(VALUE(REGEXEXTRACT(C1348,""\d+\s*/\s*(\d+)"")),"""")"),"")</f>
        <v/>
      </c>
      <c r="I1348" s="32" t="str">
        <f t="shared" si="2"/>
        <v/>
      </c>
      <c r="J1348" s="33" t="str">
        <f t="shared" si="3"/>
        <v/>
      </c>
    </row>
    <row r="1349" ht="15.75" customHeight="1">
      <c r="A1349" s="22" t="s">
        <v>113</v>
      </c>
      <c r="B1349" s="22" t="str">
        <f>IF(MOV_CC_NACIONAL!A1349="","",MOV_CC_NACIONAL!A1349)</f>
        <v/>
      </c>
      <c r="C1349" s="22" t="str">
        <f>IF(MOV_CC_NACIONAL!B1349="","",MOV_CC_NACIONAL!B1349)</f>
        <v/>
      </c>
      <c r="D1349" s="34" t="str">
        <f>IF(MOV_CC_NACIONAL!C1349="","",MOV_CC_NACIONAL!C1349)</f>
        <v/>
      </c>
      <c r="E1349" s="22" t="str">
        <f t="shared" si="1"/>
        <v/>
      </c>
      <c r="F1349" s="22" t="str">
        <f>IFERROR(__xludf.DUMMYFUNCTION("IF(C1349="""","""", OR(REGEXMATCH(LOWER(C1349),""cuota""), REGEXMATCH(C1349,""\d+\s*/\s*\d+"")))"),"")</f>
        <v/>
      </c>
      <c r="G1349" s="22" t="str">
        <f>IFERROR(__xludf.DUMMYFUNCTION("IFERROR(VALUE(REGEXEXTRACT(C1349,""(\d+)\s*/\s*\d+"")),"""")"),"")</f>
        <v/>
      </c>
      <c r="H1349" s="22" t="str">
        <f>IFERROR(__xludf.DUMMYFUNCTION("IFERROR(VALUE(REGEXEXTRACT(C1349,""\d+\s*/\s*(\d+)"")),"""")"),"")</f>
        <v/>
      </c>
      <c r="I1349" s="22" t="str">
        <f t="shared" si="2"/>
        <v/>
      </c>
      <c r="J1349" s="34" t="str">
        <f t="shared" si="3"/>
        <v/>
      </c>
    </row>
    <row r="1350" ht="15.75" customHeight="1">
      <c r="A1350" s="32" t="s">
        <v>113</v>
      </c>
      <c r="B1350" s="32" t="str">
        <f>IF(MOV_CC_NACIONAL!A1350="","",MOV_CC_NACIONAL!A1350)</f>
        <v/>
      </c>
      <c r="C1350" s="32" t="str">
        <f>IF(MOV_CC_NACIONAL!B1350="","",MOV_CC_NACIONAL!B1350)</f>
        <v/>
      </c>
      <c r="D1350" s="33" t="str">
        <f>IF(MOV_CC_NACIONAL!C1350="","",MOV_CC_NACIONAL!C1350)</f>
        <v/>
      </c>
      <c r="E1350" s="32" t="str">
        <f t="shared" si="1"/>
        <v/>
      </c>
      <c r="F1350" s="32" t="str">
        <f>IFERROR(__xludf.DUMMYFUNCTION("IF(C1350="""","""", OR(REGEXMATCH(LOWER(C1350),""cuota""), REGEXMATCH(C1350,""\d+\s*/\s*\d+"")))"),"")</f>
        <v/>
      </c>
      <c r="G1350" s="32" t="str">
        <f>IFERROR(__xludf.DUMMYFUNCTION("IFERROR(VALUE(REGEXEXTRACT(C1350,""(\d+)\s*/\s*\d+"")),"""")"),"")</f>
        <v/>
      </c>
      <c r="H1350" s="32" t="str">
        <f>IFERROR(__xludf.DUMMYFUNCTION("IFERROR(VALUE(REGEXEXTRACT(C1350,""\d+\s*/\s*(\d+)"")),"""")"),"")</f>
        <v/>
      </c>
      <c r="I1350" s="32" t="str">
        <f t="shared" si="2"/>
        <v/>
      </c>
      <c r="J1350" s="33" t="str">
        <f t="shared" si="3"/>
        <v/>
      </c>
    </row>
    <row r="1351" ht="15.75" customHeight="1">
      <c r="A1351" s="22" t="s">
        <v>113</v>
      </c>
      <c r="B1351" s="22" t="str">
        <f>IF(MOV_CC_NACIONAL!A1351="","",MOV_CC_NACIONAL!A1351)</f>
        <v/>
      </c>
      <c r="C1351" s="22" t="str">
        <f>IF(MOV_CC_NACIONAL!B1351="","",MOV_CC_NACIONAL!B1351)</f>
        <v/>
      </c>
      <c r="D1351" s="34" t="str">
        <f>IF(MOV_CC_NACIONAL!C1351="","",MOV_CC_NACIONAL!C1351)</f>
        <v/>
      </c>
      <c r="E1351" s="22" t="str">
        <f t="shared" si="1"/>
        <v/>
      </c>
      <c r="F1351" s="22" t="str">
        <f>IFERROR(__xludf.DUMMYFUNCTION("IF(C1351="""","""", OR(REGEXMATCH(LOWER(C1351),""cuota""), REGEXMATCH(C1351,""\d+\s*/\s*\d+"")))"),"")</f>
        <v/>
      </c>
      <c r="G1351" s="22" t="str">
        <f>IFERROR(__xludf.DUMMYFUNCTION("IFERROR(VALUE(REGEXEXTRACT(C1351,""(\d+)\s*/\s*\d+"")),"""")"),"")</f>
        <v/>
      </c>
      <c r="H1351" s="22" t="str">
        <f>IFERROR(__xludf.DUMMYFUNCTION("IFERROR(VALUE(REGEXEXTRACT(C1351,""\d+\s*/\s*(\d+)"")),"""")"),"")</f>
        <v/>
      </c>
      <c r="I1351" s="22" t="str">
        <f t="shared" si="2"/>
        <v/>
      </c>
      <c r="J1351" s="34" t="str">
        <f t="shared" si="3"/>
        <v/>
      </c>
    </row>
    <row r="1352" ht="15.75" customHeight="1">
      <c r="A1352" s="32" t="s">
        <v>113</v>
      </c>
      <c r="B1352" s="32" t="str">
        <f>IF(MOV_CC_NACIONAL!A1352="","",MOV_CC_NACIONAL!A1352)</f>
        <v/>
      </c>
      <c r="C1352" s="32" t="str">
        <f>IF(MOV_CC_NACIONAL!B1352="","",MOV_CC_NACIONAL!B1352)</f>
        <v/>
      </c>
      <c r="D1352" s="33" t="str">
        <f>IF(MOV_CC_NACIONAL!C1352="","",MOV_CC_NACIONAL!C1352)</f>
        <v/>
      </c>
      <c r="E1352" s="32" t="str">
        <f t="shared" si="1"/>
        <v/>
      </c>
      <c r="F1352" s="32" t="str">
        <f>IFERROR(__xludf.DUMMYFUNCTION("IF(C1352="""","""", OR(REGEXMATCH(LOWER(C1352),""cuota""), REGEXMATCH(C1352,""\d+\s*/\s*\d+"")))"),"")</f>
        <v/>
      </c>
      <c r="G1352" s="32" t="str">
        <f>IFERROR(__xludf.DUMMYFUNCTION("IFERROR(VALUE(REGEXEXTRACT(C1352,""(\d+)\s*/\s*\d+"")),"""")"),"")</f>
        <v/>
      </c>
      <c r="H1352" s="32" t="str">
        <f>IFERROR(__xludf.DUMMYFUNCTION("IFERROR(VALUE(REGEXEXTRACT(C1352,""\d+\s*/\s*(\d+)"")),"""")"),"")</f>
        <v/>
      </c>
      <c r="I1352" s="32" t="str">
        <f t="shared" si="2"/>
        <v/>
      </c>
      <c r="J1352" s="33" t="str">
        <f t="shared" si="3"/>
        <v/>
      </c>
    </row>
    <row r="1353" ht="15.75" customHeight="1">
      <c r="A1353" s="22" t="s">
        <v>113</v>
      </c>
      <c r="B1353" s="22" t="str">
        <f>IF(MOV_CC_NACIONAL!A1353="","",MOV_CC_NACIONAL!A1353)</f>
        <v/>
      </c>
      <c r="C1353" s="22" t="str">
        <f>IF(MOV_CC_NACIONAL!B1353="","",MOV_CC_NACIONAL!B1353)</f>
        <v/>
      </c>
      <c r="D1353" s="34" t="str">
        <f>IF(MOV_CC_NACIONAL!C1353="","",MOV_CC_NACIONAL!C1353)</f>
        <v/>
      </c>
      <c r="E1353" s="22" t="str">
        <f t="shared" si="1"/>
        <v/>
      </c>
      <c r="F1353" s="22" t="str">
        <f>IFERROR(__xludf.DUMMYFUNCTION("IF(C1353="""","""", OR(REGEXMATCH(LOWER(C1353),""cuota""), REGEXMATCH(C1353,""\d+\s*/\s*\d+"")))"),"")</f>
        <v/>
      </c>
      <c r="G1353" s="22" t="str">
        <f>IFERROR(__xludf.DUMMYFUNCTION("IFERROR(VALUE(REGEXEXTRACT(C1353,""(\d+)\s*/\s*\d+"")),"""")"),"")</f>
        <v/>
      </c>
      <c r="H1353" s="22" t="str">
        <f>IFERROR(__xludf.DUMMYFUNCTION("IFERROR(VALUE(REGEXEXTRACT(C1353,""\d+\s*/\s*(\d+)"")),"""")"),"")</f>
        <v/>
      </c>
      <c r="I1353" s="22" t="str">
        <f t="shared" si="2"/>
        <v/>
      </c>
      <c r="J1353" s="34" t="str">
        <f t="shared" si="3"/>
        <v/>
      </c>
    </row>
    <row r="1354" ht="15.75" customHeight="1">
      <c r="A1354" s="32" t="s">
        <v>113</v>
      </c>
      <c r="B1354" s="32" t="str">
        <f>IF(MOV_CC_NACIONAL!A1354="","",MOV_CC_NACIONAL!A1354)</f>
        <v/>
      </c>
      <c r="C1354" s="32" t="str">
        <f>IF(MOV_CC_NACIONAL!B1354="","",MOV_CC_NACIONAL!B1354)</f>
        <v/>
      </c>
      <c r="D1354" s="33" t="str">
        <f>IF(MOV_CC_NACIONAL!C1354="","",MOV_CC_NACIONAL!C1354)</f>
        <v/>
      </c>
      <c r="E1354" s="32" t="str">
        <f t="shared" si="1"/>
        <v/>
      </c>
      <c r="F1354" s="32" t="str">
        <f>IFERROR(__xludf.DUMMYFUNCTION("IF(C1354="""","""", OR(REGEXMATCH(LOWER(C1354),""cuota""), REGEXMATCH(C1354,""\d+\s*/\s*\d+"")))"),"")</f>
        <v/>
      </c>
      <c r="G1354" s="32" t="str">
        <f>IFERROR(__xludf.DUMMYFUNCTION("IFERROR(VALUE(REGEXEXTRACT(C1354,""(\d+)\s*/\s*\d+"")),"""")"),"")</f>
        <v/>
      </c>
      <c r="H1354" s="32" t="str">
        <f>IFERROR(__xludf.DUMMYFUNCTION("IFERROR(VALUE(REGEXEXTRACT(C1354,""\d+\s*/\s*(\d+)"")),"""")"),"")</f>
        <v/>
      </c>
      <c r="I1354" s="32" t="str">
        <f t="shared" si="2"/>
        <v/>
      </c>
      <c r="J1354" s="33" t="str">
        <f t="shared" si="3"/>
        <v/>
      </c>
    </row>
    <row r="1355" ht="15.75" customHeight="1">
      <c r="A1355" s="22" t="s">
        <v>113</v>
      </c>
      <c r="B1355" s="22" t="str">
        <f>IF(MOV_CC_NACIONAL!A1355="","",MOV_CC_NACIONAL!A1355)</f>
        <v/>
      </c>
      <c r="C1355" s="22" t="str">
        <f>IF(MOV_CC_NACIONAL!B1355="","",MOV_CC_NACIONAL!B1355)</f>
        <v/>
      </c>
      <c r="D1355" s="34" t="str">
        <f>IF(MOV_CC_NACIONAL!C1355="","",MOV_CC_NACIONAL!C1355)</f>
        <v/>
      </c>
      <c r="E1355" s="22" t="str">
        <f t="shared" si="1"/>
        <v/>
      </c>
      <c r="F1355" s="22" t="str">
        <f>IFERROR(__xludf.DUMMYFUNCTION("IF(C1355="""","""", OR(REGEXMATCH(LOWER(C1355),""cuota""), REGEXMATCH(C1355,""\d+\s*/\s*\d+"")))"),"")</f>
        <v/>
      </c>
      <c r="G1355" s="22" t="str">
        <f>IFERROR(__xludf.DUMMYFUNCTION("IFERROR(VALUE(REGEXEXTRACT(C1355,""(\d+)\s*/\s*\d+"")),"""")"),"")</f>
        <v/>
      </c>
      <c r="H1355" s="22" t="str">
        <f>IFERROR(__xludf.DUMMYFUNCTION("IFERROR(VALUE(REGEXEXTRACT(C1355,""\d+\s*/\s*(\d+)"")),"""")"),"")</f>
        <v/>
      </c>
      <c r="I1355" s="22" t="str">
        <f t="shared" si="2"/>
        <v/>
      </c>
      <c r="J1355" s="34" t="str">
        <f t="shared" si="3"/>
        <v/>
      </c>
    </row>
    <row r="1356" ht="15.75" customHeight="1">
      <c r="A1356" s="32" t="s">
        <v>113</v>
      </c>
      <c r="B1356" s="32" t="str">
        <f>IF(MOV_CC_NACIONAL!A1356="","",MOV_CC_NACIONAL!A1356)</f>
        <v/>
      </c>
      <c r="C1356" s="32" t="str">
        <f>IF(MOV_CC_NACIONAL!B1356="","",MOV_CC_NACIONAL!B1356)</f>
        <v/>
      </c>
      <c r="D1356" s="33" t="str">
        <f>IF(MOV_CC_NACIONAL!C1356="","",MOV_CC_NACIONAL!C1356)</f>
        <v/>
      </c>
      <c r="E1356" s="32" t="str">
        <f t="shared" si="1"/>
        <v/>
      </c>
      <c r="F1356" s="32" t="str">
        <f>IFERROR(__xludf.DUMMYFUNCTION("IF(C1356="""","""", OR(REGEXMATCH(LOWER(C1356),""cuota""), REGEXMATCH(C1356,""\d+\s*/\s*\d+"")))"),"")</f>
        <v/>
      </c>
      <c r="G1356" s="32" t="str">
        <f>IFERROR(__xludf.DUMMYFUNCTION("IFERROR(VALUE(REGEXEXTRACT(C1356,""(\d+)\s*/\s*\d+"")),"""")"),"")</f>
        <v/>
      </c>
      <c r="H1356" s="32" t="str">
        <f>IFERROR(__xludf.DUMMYFUNCTION("IFERROR(VALUE(REGEXEXTRACT(C1356,""\d+\s*/\s*(\d+)"")),"""")"),"")</f>
        <v/>
      </c>
      <c r="I1356" s="32" t="str">
        <f t="shared" si="2"/>
        <v/>
      </c>
      <c r="J1356" s="33" t="str">
        <f t="shared" si="3"/>
        <v/>
      </c>
    </row>
    <row r="1357" ht="15.75" customHeight="1">
      <c r="A1357" s="22" t="s">
        <v>113</v>
      </c>
      <c r="B1357" s="22" t="str">
        <f>IF(MOV_CC_NACIONAL!A1357="","",MOV_CC_NACIONAL!A1357)</f>
        <v/>
      </c>
      <c r="C1357" s="22" t="str">
        <f>IF(MOV_CC_NACIONAL!B1357="","",MOV_CC_NACIONAL!B1357)</f>
        <v/>
      </c>
      <c r="D1357" s="34" t="str">
        <f>IF(MOV_CC_NACIONAL!C1357="","",MOV_CC_NACIONAL!C1357)</f>
        <v/>
      </c>
      <c r="E1357" s="22" t="str">
        <f t="shared" si="1"/>
        <v/>
      </c>
      <c r="F1357" s="22" t="str">
        <f>IFERROR(__xludf.DUMMYFUNCTION("IF(C1357="""","""", OR(REGEXMATCH(LOWER(C1357),""cuota""), REGEXMATCH(C1357,""\d+\s*/\s*\d+"")))"),"")</f>
        <v/>
      </c>
      <c r="G1357" s="22" t="str">
        <f>IFERROR(__xludf.DUMMYFUNCTION("IFERROR(VALUE(REGEXEXTRACT(C1357,""(\d+)\s*/\s*\d+"")),"""")"),"")</f>
        <v/>
      </c>
      <c r="H1357" s="22" t="str">
        <f>IFERROR(__xludf.DUMMYFUNCTION("IFERROR(VALUE(REGEXEXTRACT(C1357,""\d+\s*/\s*(\d+)"")),"""")"),"")</f>
        <v/>
      </c>
      <c r="I1357" s="22" t="str">
        <f t="shared" si="2"/>
        <v/>
      </c>
      <c r="J1357" s="34" t="str">
        <f t="shared" si="3"/>
        <v/>
      </c>
    </row>
    <row r="1358" ht="15.75" customHeight="1">
      <c r="A1358" s="32" t="s">
        <v>113</v>
      </c>
      <c r="B1358" s="32" t="str">
        <f>IF(MOV_CC_NACIONAL!A1358="","",MOV_CC_NACIONAL!A1358)</f>
        <v/>
      </c>
      <c r="C1358" s="32" t="str">
        <f>IF(MOV_CC_NACIONAL!B1358="","",MOV_CC_NACIONAL!B1358)</f>
        <v/>
      </c>
      <c r="D1358" s="33" t="str">
        <f>IF(MOV_CC_NACIONAL!C1358="","",MOV_CC_NACIONAL!C1358)</f>
        <v/>
      </c>
      <c r="E1358" s="32" t="str">
        <f t="shared" si="1"/>
        <v/>
      </c>
      <c r="F1358" s="32" t="str">
        <f>IFERROR(__xludf.DUMMYFUNCTION("IF(C1358="""","""", OR(REGEXMATCH(LOWER(C1358),""cuota""), REGEXMATCH(C1358,""\d+\s*/\s*\d+"")))"),"")</f>
        <v/>
      </c>
      <c r="G1358" s="32" t="str">
        <f>IFERROR(__xludf.DUMMYFUNCTION("IFERROR(VALUE(REGEXEXTRACT(C1358,""(\d+)\s*/\s*\d+"")),"""")"),"")</f>
        <v/>
      </c>
      <c r="H1358" s="32" t="str">
        <f>IFERROR(__xludf.DUMMYFUNCTION("IFERROR(VALUE(REGEXEXTRACT(C1358,""\d+\s*/\s*(\d+)"")),"""")"),"")</f>
        <v/>
      </c>
      <c r="I1358" s="32" t="str">
        <f t="shared" si="2"/>
        <v/>
      </c>
      <c r="J1358" s="33" t="str">
        <f t="shared" si="3"/>
        <v/>
      </c>
    </row>
    <row r="1359" ht="15.75" customHeight="1">
      <c r="A1359" s="22" t="s">
        <v>113</v>
      </c>
      <c r="B1359" s="22" t="str">
        <f>IF(MOV_CC_NACIONAL!A1359="","",MOV_CC_NACIONAL!A1359)</f>
        <v/>
      </c>
      <c r="C1359" s="22" t="str">
        <f>IF(MOV_CC_NACIONAL!B1359="","",MOV_CC_NACIONAL!B1359)</f>
        <v/>
      </c>
      <c r="D1359" s="34" t="str">
        <f>IF(MOV_CC_NACIONAL!C1359="","",MOV_CC_NACIONAL!C1359)</f>
        <v/>
      </c>
      <c r="E1359" s="22" t="str">
        <f t="shared" si="1"/>
        <v/>
      </c>
      <c r="F1359" s="22" t="str">
        <f>IFERROR(__xludf.DUMMYFUNCTION("IF(C1359="""","""", OR(REGEXMATCH(LOWER(C1359),""cuota""), REGEXMATCH(C1359,""\d+\s*/\s*\d+"")))"),"")</f>
        <v/>
      </c>
      <c r="G1359" s="22" t="str">
        <f>IFERROR(__xludf.DUMMYFUNCTION("IFERROR(VALUE(REGEXEXTRACT(C1359,""(\d+)\s*/\s*\d+"")),"""")"),"")</f>
        <v/>
      </c>
      <c r="H1359" s="22" t="str">
        <f>IFERROR(__xludf.DUMMYFUNCTION("IFERROR(VALUE(REGEXEXTRACT(C1359,""\d+\s*/\s*(\d+)"")),"""")"),"")</f>
        <v/>
      </c>
      <c r="I1359" s="22" t="str">
        <f t="shared" si="2"/>
        <v/>
      </c>
      <c r="J1359" s="34" t="str">
        <f t="shared" si="3"/>
        <v/>
      </c>
    </row>
    <row r="1360" ht="15.75" customHeight="1">
      <c r="A1360" s="32" t="s">
        <v>113</v>
      </c>
      <c r="B1360" s="32" t="str">
        <f>IF(MOV_CC_NACIONAL!A1360="","",MOV_CC_NACIONAL!A1360)</f>
        <v/>
      </c>
      <c r="C1360" s="32" t="str">
        <f>IF(MOV_CC_NACIONAL!B1360="","",MOV_CC_NACIONAL!B1360)</f>
        <v/>
      </c>
      <c r="D1360" s="33" t="str">
        <f>IF(MOV_CC_NACIONAL!C1360="","",MOV_CC_NACIONAL!C1360)</f>
        <v/>
      </c>
      <c r="E1360" s="32" t="str">
        <f t="shared" si="1"/>
        <v/>
      </c>
      <c r="F1360" s="32" t="str">
        <f>IFERROR(__xludf.DUMMYFUNCTION("IF(C1360="""","""", OR(REGEXMATCH(LOWER(C1360),""cuota""), REGEXMATCH(C1360,""\d+\s*/\s*\d+"")))"),"")</f>
        <v/>
      </c>
      <c r="G1360" s="32" t="str">
        <f>IFERROR(__xludf.DUMMYFUNCTION("IFERROR(VALUE(REGEXEXTRACT(C1360,""(\d+)\s*/\s*\d+"")),"""")"),"")</f>
        <v/>
      </c>
      <c r="H1360" s="32" t="str">
        <f>IFERROR(__xludf.DUMMYFUNCTION("IFERROR(VALUE(REGEXEXTRACT(C1360,""\d+\s*/\s*(\d+)"")),"""")"),"")</f>
        <v/>
      </c>
      <c r="I1360" s="32" t="str">
        <f t="shared" si="2"/>
        <v/>
      </c>
      <c r="J1360" s="33" t="str">
        <f t="shared" si="3"/>
        <v/>
      </c>
    </row>
    <row r="1361" ht="15.75" customHeight="1">
      <c r="A1361" s="22" t="s">
        <v>113</v>
      </c>
      <c r="B1361" s="22" t="str">
        <f>IF(MOV_CC_NACIONAL!A1361="","",MOV_CC_NACIONAL!A1361)</f>
        <v/>
      </c>
      <c r="C1361" s="22" t="str">
        <f>IF(MOV_CC_NACIONAL!B1361="","",MOV_CC_NACIONAL!B1361)</f>
        <v/>
      </c>
      <c r="D1361" s="34" t="str">
        <f>IF(MOV_CC_NACIONAL!C1361="","",MOV_CC_NACIONAL!C1361)</f>
        <v/>
      </c>
      <c r="E1361" s="22" t="str">
        <f t="shared" si="1"/>
        <v/>
      </c>
      <c r="F1361" s="22" t="str">
        <f>IFERROR(__xludf.DUMMYFUNCTION("IF(C1361="""","""", OR(REGEXMATCH(LOWER(C1361),""cuota""), REGEXMATCH(C1361,""\d+\s*/\s*\d+"")))"),"")</f>
        <v/>
      </c>
      <c r="G1361" s="22" t="str">
        <f>IFERROR(__xludf.DUMMYFUNCTION("IFERROR(VALUE(REGEXEXTRACT(C1361,""(\d+)\s*/\s*\d+"")),"""")"),"")</f>
        <v/>
      </c>
      <c r="H1361" s="22" t="str">
        <f>IFERROR(__xludf.DUMMYFUNCTION("IFERROR(VALUE(REGEXEXTRACT(C1361,""\d+\s*/\s*(\d+)"")),"""")"),"")</f>
        <v/>
      </c>
      <c r="I1361" s="22" t="str">
        <f t="shared" si="2"/>
        <v/>
      </c>
      <c r="J1361" s="34" t="str">
        <f t="shared" si="3"/>
        <v/>
      </c>
    </row>
    <row r="1362" ht="15.75" customHeight="1">
      <c r="A1362" s="32" t="s">
        <v>113</v>
      </c>
      <c r="B1362" s="32" t="str">
        <f>IF(MOV_CC_NACIONAL!A1362="","",MOV_CC_NACIONAL!A1362)</f>
        <v/>
      </c>
      <c r="C1362" s="32" t="str">
        <f>IF(MOV_CC_NACIONAL!B1362="","",MOV_CC_NACIONAL!B1362)</f>
        <v/>
      </c>
      <c r="D1362" s="33" t="str">
        <f>IF(MOV_CC_NACIONAL!C1362="","",MOV_CC_NACIONAL!C1362)</f>
        <v/>
      </c>
      <c r="E1362" s="32" t="str">
        <f t="shared" si="1"/>
        <v/>
      </c>
      <c r="F1362" s="32" t="str">
        <f>IFERROR(__xludf.DUMMYFUNCTION("IF(C1362="""","""", OR(REGEXMATCH(LOWER(C1362),""cuota""), REGEXMATCH(C1362,""\d+\s*/\s*\d+"")))"),"")</f>
        <v/>
      </c>
      <c r="G1362" s="32" t="str">
        <f>IFERROR(__xludf.DUMMYFUNCTION("IFERROR(VALUE(REGEXEXTRACT(C1362,""(\d+)\s*/\s*\d+"")),"""")"),"")</f>
        <v/>
      </c>
      <c r="H1362" s="32" t="str">
        <f>IFERROR(__xludf.DUMMYFUNCTION("IFERROR(VALUE(REGEXEXTRACT(C1362,""\d+\s*/\s*(\d+)"")),"""")"),"")</f>
        <v/>
      </c>
      <c r="I1362" s="32" t="str">
        <f t="shared" si="2"/>
        <v/>
      </c>
      <c r="J1362" s="33" t="str">
        <f t="shared" si="3"/>
        <v/>
      </c>
    </row>
    <row r="1363" ht="15.75" customHeight="1">
      <c r="A1363" s="22" t="s">
        <v>113</v>
      </c>
      <c r="B1363" s="22" t="str">
        <f>IF(MOV_CC_NACIONAL!A1363="","",MOV_CC_NACIONAL!A1363)</f>
        <v/>
      </c>
      <c r="C1363" s="22" t="str">
        <f>IF(MOV_CC_NACIONAL!B1363="","",MOV_CC_NACIONAL!B1363)</f>
        <v/>
      </c>
      <c r="D1363" s="34" t="str">
        <f>IF(MOV_CC_NACIONAL!C1363="","",MOV_CC_NACIONAL!C1363)</f>
        <v/>
      </c>
      <c r="E1363" s="22" t="str">
        <f t="shared" si="1"/>
        <v/>
      </c>
      <c r="F1363" s="22" t="str">
        <f>IFERROR(__xludf.DUMMYFUNCTION("IF(C1363="""","""", OR(REGEXMATCH(LOWER(C1363),""cuota""), REGEXMATCH(C1363,""\d+\s*/\s*\d+"")))"),"")</f>
        <v/>
      </c>
      <c r="G1363" s="22" t="str">
        <f>IFERROR(__xludf.DUMMYFUNCTION("IFERROR(VALUE(REGEXEXTRACT(C1363,""(\d+)\s*/\s*\d+"")),"""")"),"")</f>
        <v/>
      </c>
      <c r="H1363" s="22" t="str">
        <f>IFERROR(__xludf.DUMMYFUNCTION("IFERROR(VALUE(REGEXEXTRACT(C1363,""\d+\s*/\s*(\d+)"")),"""")"),"")</f>
        <v/>
      </c>
      <c r="I1363" s="22" t="str">
        <f t="shared" si="2"/>
        <v/>
      </c>
      <c r="J1363" s="34" t="str">
        <f t="shared" si="3"/>
        <v/>
      </c>
    </row>
    <row r="1364" ht="15.75" customHeight="1">
      <c r="A1364" s="32" t="s">
        <v>113</v>
      </c>
      <c r="B1364" s="32" t="str">
        <f>IF(MOV_CC_NACIONAL!A1364="","",MOV_CC_NACIONAL!A1364)</f>
        <v/>
      </c>
      <c r="C1364" s="32" t="str">
        <f>IF(MOV_CC_NACIONAL!B1364="","",MOV_CC_NACIONAL!B1364)</f>
        <v/>
      </c>
      <c r="D1364" s="33" t="str">
        <f>IF(MOV_CC_NACIONAL!C1364="","",MOV_CC_NACIONAL!C1364)</f>
        <v/>
      </c>
      <c r="E1364" s="32" t="str">
        <f t="shared" si="1"/>
        <v/>
      </c>
      <c r="F1364" s="32" t="str">
        <f>IFERROR(__xludf.DUMMYFUNCTION("IF(C1364="""","""", OR(REGEXMATCH(LOWER(C1364),""cuota""), REGEXMATCH(C1364,""\d+\s*/\s*\d+"")))"),"")</f>
        <v/>
      </c>
      <c r="G1364" s="32" t="str">
        <f>IFERROR(__xludf.DUMMYFUNCTION("IFERROR(VALUE(REGEXEXTRACT(C1364,""(\d+)\s*/\s*\d+"")),"""")"),"")</f>
        <v/>
      </c>
      <c r="H1364" s="32" t="str">
        <f>IFERROR(__xludf.DUMMYFUNCTION("IFERROR(VALUE(REGEXEXTRACT(C1364,""\d+\s*/\s*(\d+)"")),"""")"),"")</f>
        <v/>
      </c>
      <c r="I1364" s="32" t="str">
        <f t="shared" si="2"/>
        <v/>
      </c>
      <c r="J1364" s="33" t="str">
        <f t="shared" si="3"/>
        <v/>
      </c>
    </row>
    <row r="1365" ht="15.75" customHeight="1">
      <c r="A1365" s="22" t="s">
        <v>113</v>
      </c>
      <c r="B1365" s="22" t="str">
        <f>IF(MOV_CC_NACIONAL!A1365="","",MOV_CC_NACIONAL!A1365)</f>
        <v/>
      </c>
      <c r="C1365" s="22" t="str">
        <f>IF(MOV_CC_NACIONAL!B1365="","",MOV_CC_NACIONAL!B1365)</f>
        <v/>
      </c>
      <c r="D1365" s="34" t="str">
        <f>IF(MOV_CC_NACIONAL!C1365="","",MOV_CC_NACIONAL!C1365)</f>
        <v/>
      </c>
      <c r="E1365" s="22" t="str">
        <f t="shared" si="1"/>
        <v/>
      </c>
      <c r="F1365" s="22" t="str">
        <f>IFERROR(__xludf.DUMMYFUNCTION("IF(C1365="""","""", OR(REGEXMATCH(LOWER(C1365),""cuota""), REGEXMATCH(C1365,""\d+\s*/\s*\d+"")))"),"")</f>
        <v/>
      </c>
      <c r="G1365" s="22" t="str">
        <f>IFERROR(__xludf.DUMMYFUNCTION("IFERROR(VALUE(REGEXEXTRACT(C1365,""(\d+)\s*/\s*\d+"")),"""")"),"")</f>
        <v/>
      </c>
      <c r="H1365" s="22" t="str">
        <f>IFERROR(__xludf.DUMMYFUNCTION("IFERROR(VALUE(REGEXEXTRACT(C1365,""\d+\s*/\s*(\d+)"")),"""")"),"")</f>
        <v/>
      </c>
      <c r="I1365" s="22" t="str">
        <f t="shared" si="2"/>
        <v/>
      </c>
      <c r="J1365" s="34" t="str">
        <f t="shared" si="3"/>
        <v/>
      </c>
    </row>
    <row r="1366" ht="15.75" customHeight="1">
      <c r="A1366" s="32" t="s">
        <v>113</v>
      </c>
      <c r="B1366" s="32" t="str">
        <f>IF(MOV_CC_NACIONAL!A1366="","",MOV_CC_NACIONAL!A1366)</f>
        <v/>
      </c>
      <c r="C1366" s="32" t="str">
        <f>IF(MOV_CC_NACIONAL!B1366="","",MOV_CC_NACIONAL!B1366)</f>
        <v/>
      </c>
      <c r="D1366" s="33" t="str">
        <f>IF(MOV_CC_NACIONAL!C1366="","",MOV_CC_NACIONAL!C1366)</f>
        <v/>
      </c>
      <c r="E1366" s="32" t="str">
        <f t="shared" si="1"/>
        <v/>
      </c>
      <c r="F1366" s="32" t="str">
        <f>IFERROR(__xludf.DUMMYFUNCTION("IF(C1366="""","""", OR(REGEXMATCH(LOWER(C1366),""cuota""), REGEXMATCH(C1366,""\d+\s*/\s*\d+"")))"),"")</f>
        <v/>
      </c>
      <c r="G1366" s="32" t="str">
        <f>IFERROR(__xludf.DUMMYFUNCTION("IFERROR(VALUE(REGEXEXTRACT(C1366,""(\d+)\s*/\s*\d+"")),"""")"),"")</f>
        <v/>
      </c>
      <c r="H1366" s="32" t="str">
        <f>IFERROR(__xludf.DUMMYFUNCTION("IFERROR(VALUE(REGEXEXTRACT(C1366,""\d+\s*/\s*(\d+)"")),"""")"),"")</f>
        <v/>
      </c>
      <c r="I1366" s="32" t="str">
        <f t="shared" si="2"/>
        <v/>
      </c>
      <c r="J1366" s="33" t="str">
        <f t="shared" si="3"/>
        <v/>
      </c>
    </row>
    <row r="1367" ht="15.75" customHeight="1">
      <c r="A1367" s="22" t="s">
        <v>113</v>
      </c>
      <c r="B1367" s="22" t="str">
        <f>IF(MOV_CC_NACIONAL!A1367="","",MOV_CC_NACIONAL!A1367)</f>
        <v/>
      </c>
      <c r="C1367" s="22" t="str">
        <f>IF(MOV_CC_NACIONAL!B1367="","",MOV_CC_NACIONAL!B1367)</f>
        <v/>
      </c>
      <c r="D1367" s="34" t="str">
        <f>IF(MOV_CC_NACIONAL!C1367="","",MOV_CC_NACIONAL!C1367)</f>
        <v/>
      </c>
      <c r="E1367" s="22" t="str">
        <f t="shared" si="1"/>
        <v/>
      </c>
      <c r="F1367" s="22" t="str">
        <f>IFERROR(__xludf.DUMMYFUNCTION("IF(C1367="""","""", OR(REGEXMATCH(LOWER(C1367),""cuota""), REGEXMATCH(C1367,""\d+\s*/\s*\d+"")))"),"")</f>
        <v/>
      </c>
      <c r="G1367" s="22" t="str">
        <f>IFERROR(__xludf.DUMMYFUNCTION("IFERROR(VALUE(REGEXEXTRACT(C1367,""(\d+)\s*/\s*\d+"")),"""")"),"")</f>
        <v/>
      </c>
      <c r="H1367" s="22" t="str">
        <f>IFERROR(__xludf.DUMMYFUNCTION("IFERROR(VALUE(REGEXEXTRACT(C1367,""\d+\s*/\s*(\d+)"")),"""")"),"")</f>
        <v/>
      </c>
      <c r="I1367" s="22" t="str">
        <f t="shared" si="2"/>
        <v/>
      </c>
      <c r="J1367" s="34" t="str">
        <f t="shared" si="3"/>
        <v/>
      </c>
    </row>
    <row r="1368" ht="15.75" customHeight="1">
      <c r="A1368" s="32" t="s">
        <v>113</v>
      </c>
      <c r="B1368" s="32" t="str">
        <f>IF(MOV_CC_NACIONAL!A1368="","",MOV_CC_NACIONAL!A1368)</f>
        <v/>
      </c>
      <c r="C1368" s="32" t="str">
        <f>IF(MOV_CC_NACIONAL!B1368="","",MOV_CC_NACIONAL!B1368)</f>
        <v/>
      </c>
      <c r="D1368" s="33" t="str">
        <f>IF(MOV_CC_NACIONAL!C1368="","",MOV_CC_NACIONAL!C1368)</f>
        <v/>
      </c>
      <c r="E1368" s="32" t="str">
        <f t="shared" si="1"/>
        <v/>
      </c>
      <c r="F1368" s="32" t="str">
        <f>IFERROR(__xludf.DUMMYFUNCTION("IF(C1368="""","""", OR(REGEXMATCH(LOWER(C1368),""cuota""), REGEXMATCH(C1368,""\d+\s*/\s*\d+"")))"),"")</f>
        <v/>
      </c>
      <c r="G1368" s="32" t="str">
        <f>IFERROR(__xludf.DUMMYFUNCTION("IFERROR(VALUE(REGEXEXTRACT(C1368,""(\d+)\s*/\s*\d+"")),"""")"),"")</f>
        <v/>
      </c>
      <c r="H1368" s="32" t="str">
        <f>IFERROR(__xludf.DUMMYFUNCTION("IFERROR(VALUE(REGEXEXTRACT(C1368,""\d+\s*/\s*(\d+)"")),"""")"),"")</f>
        <v/>
      </c>
      <c r="I1368" s="32" t="str">
        <f t="shared" si="2"/>
        <v/>
      </c>
      <c r="J1368" s="33" t="str">
        <f t="shared" si="3"/>
        <v/>
      </c>
    </row>
    <row r="1369" ht="15.75" customHeight="1">
      <c r="A1369" s="22" t="s">
        <v>113</v>
      </c>
      <c r="B1369" s="22" t="str">
        <f>IF(MOV_CC_NACIONAL!A1369="","",MOV_CC_NACIONAL!A1369)</f>
        <v/>
      </c>
      <c r="C1369" s="22" t="str">
        <f>IF(MOV_CC_NACIONAL!B1369="","",MOV_CC_NACIONAL!B1369)</f>
        <v/>
      </c>
      <c r="D1369" s="34" t="str">
        <f>IF(MOV_CC_NACIONAL!C1369="","",MOV_CC_NACIONAL!C1369)</f>
        <v/>
      </c>
      <c r="E1369" s="22" t="str">
        <f t="shared" si="1"/>
        <v/>
      </c>
      <c r="F1369" s="22" t="str">
        <f>IFERROR(__xludf.DUMMYFUNCTION("IF(C1369="""","""", OR(REGEXMATCH(LOWER(C1369),""cuota""), REGEXMATCH(C1369,""\d+\s*/\s*\d+"")))"),"")</f>
        <v/>
      </c>
      <c r="G1369" s="22" t="str">
        <f>IFERROR(__xludf.DUMMYFUNCTION("IFERROR(VALUE(REGEXEXTRACT(C1369,""(\d+)\s*/\s*\d+"")),"""")"),"")</f>
        <v/>
      </c>
      <c r="H1369" s="22" t="str">
        <f>IFERROR(__xludf.DUMMYFUNCTION("IFERROR(VALUE(REGEXEXTRACT(C1369,""\d+\s*/\s*(\d+)"")),"""")"),"")</f>
        <v/>
      </c>
      <c r="I1369" s="22" t="str">
        <f t="shared" si="2"/>
        <v/>
      </c>
      <c r="J1369" s="34" t="str">
        <f t="shared" si="3"/>
        <v/>
      </c>
    </row>
    <row r="1370" ht="15.75" customHeight="1">
      <c r="A1370" s="32" t="s">
        <v>113</v>
      </c>
      <c r="B1370" s="32" t="str">
        <f>IF(MOV_CC_NACIONAL!A1370="","",MOV_CC_NACIONAL!A1370)</f>
        <v/>
      </c>
      <c r="C1370" s="32" t="str">
        <f>IF(MOV_CC_NACIONAL!B1370="","",MOV_CC_NACIONAL!B1370)</f>
        <v/>
      </c>
      <c r="D1370" s="33" t="str">
        <f>IF(MOV_CC_NACIONAL!C1370="","",MOV_CC_NACIONAL!C1370)</f>
        <v/>
      </c>
      <c r="E1370" s="32" t="str">
        <f t="shared" si="1"/>
        <v/>
      </c>
      <c r="F1370" s="32" t="str">
        <f>IFERROR(__xludf.DUMMYFUNCTION("IF(C1370="""","""", OR(REGEXMATCH(LOWER(C1370),""cuota""), REGEXMATCH(C1370,""\d+\s*/\s*\d+"")))"),"")</f>
        <v/>
      </c>
      <c r="G1370" s="32" t="str">
        <f>IFERROR(__xludf.DUMMYFUNCTION("IFERROR(VALUE(REGEXEXTRACT(C1370,""(\d+)\s*/\s*\d+"")),"""")"),"")</f>
        <v/>
      </c>
      <c r="H1370" s="32" t="str">
        <f>IFERROR(__xludf.DUMMYFUNCTION("IFERROR(VALUE(REGEXEXTRACT(C1370,""\d+\s*/\s*(\d+)"")),"""")"),"")</f>
        <v/>
      </c>
      <c r="I1370" s="32" t="str">
        <f t="shared" si="2"/>
        <v/>
      </c>
      <c r="J1370" s="33" t="str">
        <f t="shared" si="3"/>
        <v/>
      </c>
    </row>
    <row r="1371" ht="15.75" customHeight="1">
      <c r="A1371" s="22" t="s">
        <v>113</v>
      </c>
      <c r="B1371" s="22" t="str">
        <f>IF(MOV_CC_NACIONAL!A1371="","",MOV_CC_NACIONAL!A1371)</f>
        <v/>
      </c>
      <c r="C1371" s="22" t="str">
        <f>IF(MOV_CC_NACIONAL!B1371="","",MOV_CC_NACIONAL!B1371)</f>
        <v/>
      </c>
      <c r="D1371" s="34" t="str">
        <f>IF(MOV_CC_NACIONAL!C1371="","",MOV_CC_NACIONAL!C1371)</f>
        <v/>
      </c>
      <c r="E1371" s="22" t="str">
        <f t="shared" si="1"/>
        <v/>
      </c>
      <c r="F1371" s="22" t="str">
        <f>IFERROR(__xludf.DUMMYFUNCTION("IF(C1371="""","""", OR(REGEXMATCH(LOWER(C1371),""cuota""), REGEXMATCH(C1371,""\d+\s*/\s*\d+"")))"),"")</f>
        <v/>
      </c>
      <c r="G1371" s="22" t="str">
        <f>IFERROR(__xludf.DUMMYFUNCTION("IFERROR(VALUE(REGEXEXTRACT(C1371,""(\d+)\s*/\s*\d+"")),"""")"),"")</f>
        <v/>
      </c>
      <c r="H1371" s="22" t="str">
        <f>IFERROR(__xludf.DUMMYFUNCTION("IFERROR(VALUE(REGEXEXTRACT(C1371,""\d+\s*/\s*(\d+)"")),"""")"),"")</f>
        <v/>
      </c>
      <c r="I1371" s="22" t="str">
        <f t="shared" si="2"/>
        <v/>
      </c>
      <c r="J1371" s="34" t="str">
        <f t="shared" si="3"/>
        <v/>
      </c>
    </row>
    <row r="1372" ht="15.75" customHeight="1">
      <c r="A1372" s="32" t="s">
        <v>113</v>
      </c>
      <c r="B1372" s="32" t="str">
        <f>IF(MOV_CC_NACIONAL!A1372="","",MOV_CC_NACIONAL!A1372)</f>
        <v/>
      </c>
      <c r="C1372" s="32" t="str">
        <f>IF(MOV_CC_NACIONAL!B1372="","",MOV_CC_NACIONAL!B1372)</f>
        <v/>
      </c>
      <c r="D1372" s="33" t="str">
        <f>IF(MOV_CC_NACIONAL!C1372="","",MOV_CC_NACIONAL!C1372)</f>
        <v/>
      </c>
      <c r="E1372" s="32" t="str">
        <f t="shared" si="1"/>
        <v/>
      </c>
      <c r="F1372" s="32" t="str">
        <f>IFERROR(__xludf.DUMMYFUNCTION("IF(C1372="""","""", OR(REGEXMATCH(LOWER(C1372),""cuota""), REGEXMATCH(C1372,""\d+\s*/\s*\d+"")))"),"")</f>
        <v/>
      </c>
      <c r="G1372" s="32" t="str">
        <f>IFERROR(__xludf.DUMMYFUNCTION("IFERROR(VALUE(REGEXEXTRACT(C1372,""(\d+)\s*/\s*\d+"")),"""")"),"")</f>
        <v/>
      </c>
      <c r="H1372" s="32" t="str">
        <f>IFERROR(__xludf.DUMMYFUNCTION("IFERROR(VALUE(REGEXEXTRACT(C1372,""\d+\s*/\s*(\d+)"")),"""")"),"")</f>
        <v/>
      </c>
      <c r="I1372" s="32" t="str">
        <f t="shared" si="2"/>
        <v/>
      </c>
      <c r="J1372" s="33" t="str">
        <f t="shared" si="3"/>
        <v/>
      </c>
    </row>
    <row r="1373" ht="15.75" customHeight="1">
      <c r="A1373" s="22" t="s">
        <v>113</v>
      </c>
      <c r="B1373" s="22" t="str">
        <f>IF(MOV_CC_NACIONAL!A1373="","",MOV_CC_NACIONAL!A1373)</f>
        <v/>
      </c>
      <c r="C1373" s="22" t="str">
        <f>IF(MOV_CC_NACIONAL!B1373="","",MOV_CC_NACIONAL!B1373)</f>
        <v/>
      </c>
      <c r="D1373" s="34" t="str">
        <f>IF(MOV_CC_NACIONAL!C1373="","",MOV_CC_NACIONAL!C1373)</f>
        <v/>
      </c>
      <c r="E1373" s="22" t="str">
        <f t="shared" si="1"/>
        <v/>
      </c>
      <c r="F1373" s="22" t="str">
        <f>IFERROR(__xludf.DUMMYFUNCTION("IF(C1373="""","""", OR(REGEXMATCH(LOWER(C1373),""cuota""), REGEXMATCH(C1373,""\d+\s*/\s*\d+"")))"),"")</f>
        <v/>
      </c>
      <c r="G1373" s="22" t="str">
        <f>IFERROR(__xludf.DUMMYFUNCTION("IFERROR(VALUE(REGEXEXTRACT(C1373,""(\d+)\s*/\s*\d+"")),"""")"),"")</f>
        <v/>
      </c>
      <c r="H1373" s="22" t="str">
        <f>IFERROR(__xludf.DUMMYFUNCTION("IFERROR(VALUE(REGEXEXTRACT(C1373,""\d+\s*/\s*(\d+)"")),"""")"),"")</f>
        <v/>
      </c>
      <c r="I1373" s="22" t="str">
        <f t="shared" si="2"/>
        <v/>
      </c>
      <c r="J1373" s="34" t="str">
        <f t="shared" si="3"/>
        <v/>
      </c>
    </row>
    <row r="1374" ht="15.75" customHeight="1">
      <c r="A1374" s="32" t="s">
        <v>113</v>
      </c>
      <c r="B1374" s="32" t="str">
        <f>IF(MOV_CC_NACIONAL!A1374="","",MOV_CC_NACIONAL!A1374)</f>
        <v/>
      </c>
      <c r="C1374" s="32" t="str">
        <f>IF(MOV_CC_NACIONAL!B1374="","",MOV_CC_NACIONAL!B1374)</f>
        <v/>
      </c>
      <c r="D1374" s="33" t="str">
        <f>IF(MOV_CC_NACIONAL!C1374="","",MOV_CC_NACIONAL!C1374)</f>
        <v/>
      </c>
      <c r="E1374" s="32" t="str">
        <f t="shared" si="1"/>
        <v/>
      </c>
      <c r="F1374" s="32" t="str">
        <f>IFERROR(__xludf.DUMMYFUNCTION("IF(C1374="""","""", OR(REGEXMATCH(LOWER(C1374),""cuota""), REGEXMATCH(C1374,""\d+\s*/\s*\d+"")))"),"")</f>
        <v/>
      </c>
      <c r="G1374" s="32" t="str">
        <f>IFERROR(__xludf.DUMMYFUNCTION("IFERROR(VALUE(REGEXEXTRACT(C1374,""(\d+)\s*/\s*\d+"")),"""")"),"")</f>
        <v/>
      </c>
      <c r="H1374" s="32" t="str">
        <f>IFERROR(__xludf.DUMMYFUNCTION("IFERROR(VALUE(REGEXEXTRACT(C1374,""\d+\s*/\s*(\d+)"")),"""")"),"")</f>
        <v/>
      </c>
      <c r="I1374" s="32" t="str">
        <f t="shared" si="2"/>
        <v/>
      </c>
      <c r="J1374" s="33" t="str">
        <f t="shared" si="3"/>
        <v/>
      </c>
    </row>
    <row r="1375" ht="15.75" customHeight="1">
      <c r="A1375" s="22" t="s">
        <v>113</v>
      </c>
      <c r="B1375" s="22" t="str">
        <f>IF(MOV_CC_NACIONAL!A1375="","",MOV_CC_NACIONAL!A1375)</f>
        <v/>
      </c>
      <c r="C1375" s="22" t="str">
        <f>IF(MOV_CC_NACIONAL!B1375="","",MOV_CC_NACIONAL!B1375)</f>
        <v/>
      </c>
      <c r="D1375" s="34" t="str">
        <f>IF(MOV_CC_NACIONAL!C1375="","",MOV_CC_NACIONAL!C1375)</f>
        <v/>
      </c>
      <c r="E1375" s="22" t="str">
        <f t="shared" si="1"/>
        <v/>
      </c>
      <c r="F1375" s="22" t="str">
        <f>IFERROR(__xludf.DUMMYFUNCTION("IF(C1375="""","""", OR(REGEXMATCH(LOWER(C1375),""cuota""), REGEXMATCH(C1375,""\d+\s*/\s*\d+"")))"),"")</f>
        <v/>
      </c>
      <c r="G1375" s="22" t="str">
        <f>IFERROR(__xludf.DUMMYFUNCTION("IFERROR(VALUE(REGEXEXTRACT(C1375,""(\d+)\s*/\s*\d+"")),"""")"),"")</f>
        <v/>
      </c>
      <c r="H1375" s="22" t="str">
        <f>IFERROR(__xludf.DUMMYFUNCTION("IFERROR(VALUE(REGEXEXTRACT(C1375,""\d+\s*/\s*(\d+)"")),"""")"),"")</f>
        <v/>
      </c>
      <c r="I1375" s="22" t="str">
        <f t="shared" si="2"/>
        <v/>
      </c>
      <c r="J1375" s="34" t="str">
        <f t="shared" si="3"/>
        <v/>
      </c>
    </row>
    <row r="1376" ht="15.75" customHeight="1">
      <c r="A1376" s="32" t="s">
        <v>113</v>
      </c>
      <c r="B1376" s="32" t="str">
        <f>IF(MOV_CC_NACIONAL!A1376="","",MOV_CC_NACIONAL!A1376)</f>
        <v/>
      </c>
      <c r="C1376" s="32" t="str">
        <f>IF(MOV_CC_NACIONAL!B1376="","",MOV_CC_NACIONAL!B1376)</f>
        <v/>
      </c>
      <c r="D1376" s="33" t="str">
        <f>IF(MOV_CC_NACIONAL!C1376="","",MOV_CC_NACIONAL!C1376)</f>
        <v/>
      </c>
      <c r="E1376" s="32" t="str">
        <f t="shared" si="1"/>
        <v/>
      </c>
      <c r="F1376" s="32" t="str">
        <f>IFERROR(__xludf.DUMMYFUNCTION("IF(C1376="""","""", OR(REGEXMATCH(LOWER(C1376),""cuota""), REGEXMATCH(C1376,""\d+\s*/\s*\d+"")))"),"")</f>
        <v/>
      </c>
      <c r="G1376" s="32" t="str">
        <f>IFERROR(__xludf.DUMMYFUNCTION("IFERROR(VALUE(REGEXEXTRACT(C1376,""(\d+)\s*/\s*\d+"")),"""")"),"")</f>
        <v/>
      </c>
      <c r="H1376" s="32" t="str">
        <f>IFERROR(__xludf.DUMMYFUNCTION("IFERROR(VALUE(REGEXEXTRACT(C1376,""\d+\s*/\s*(\d+)"")),"""")"),"")</f>
        <v/>
      </c>
      <c r="I1376" s="32" t="str">
        <f t="shared" si="2"/>
        <v/>
      </c>
      <c r="J1376" s="33" t="str">
        <f t="shared" si="3"/>
        <v/>
      </c>
    </row>
    <row r="1377" ht="15.75" customHeight="1">
      <c r="A1377" s="22" t="s">
        <v>113</v>
      </c>
      <c r="B1377" s="22" t="str">
        <f>IF(MOV_CC_NACIONAL!A1377="","",MOV_CC_NACIONAL!A1377)</f>
        <v/>
      </c>
      <c r="C1377" s="22" t="str">
        <f>IF(MOV_CC_NACIONAL!B1377="","",MOV_CC_NACIONAL!B1377)</f>
        <v/>
      </c>
      <c r="D1377" s="34" t="str">
        <f>IF(MOV_CC_NACIONAL!C1377="","",MOV_CC_NACIONAL!C1377)</f>
        <v/>
      </c>
      <c r="E1377" s="22" t="str">
        <f t="shared" si="1"/>
        <v/>
      </c>
      <c r="F1377" s="22" t="str">
        <f>IFERROR(__xludf.DUMMYFUNCTION("IF(C1377="""","""", OR(REGEXMATCH(LOWER(C1377),""cuota""), REGEXMATCH(C1377,""\d+\s*/\s*\d+"")))"),"")</f>
        <v/>
      </c>
      <c r="G1377" s="22" t="str">
        <f>IFERROR(__xludf.DUMMYFUNCTION("IFERROR(VALUE(REGEXEXTRACT(C1377,""(\d+)\s*/\s*\d+"")),"""")"),"")</f>
        <v/>
      </c>
      <c r="H1377" s="22" t="str">
        <f>IFERROR(__xludf.DUMMYFUNCTION("IFERROR(VALUE(REGEXEXTRACT(C1377,""\d+\s*/\s*(\d+)"")),"""")"),"")</f>
        <v/>
      </c>
      <c r="I1377" s="22" t="str">
        <f t="shared" si="2"/>
        <v/>
      </c>
      <c r="J1377" s="34" t="str">
        <f t="shared" si="3"/>
        <v/>
      </c>
    </row>
    <row r="1378" ht="15.75" customHeight="1">
      <c r="A1378" s="32" t="s">
        <v>113</v>
      </c>
      <c r="B1378" s="32" t="str">
        <f>IF(MOV_CC_NACIONAL!A1378="","",MOV_CC_NACIONAL!A1378)</f>
        <v/>
      </c>
      <c r="C1378" s="32" t="str">
        <f>IF(MOV_CC_NACIONAL!B1378="","",MOV_CC_NACIONAL!B1378)</f>
        <v/>
      </c>
      <c r="D1378" s="33" t="str">
        <f>IF(MOV_CC_NACIONAL!C1378="","",MOV_CC_NACIONAL!C1378)</f>
        <v/>
      </c>
      <c r="E1378" s="32" t="str">
        <f t="shared" si="1"/>
        <v/>
      </c>
      <c r="F1378" s="32" t="str">
        <f>IFERROR(__xludf.DUMMYFUNCTION("IF(C1378="""","""", OR(REGEXMATCH(LOWER(C1378),""cuota""), REGEXMATCH(C1378,""\d+\s*/\s*\d+"")))"),"")</f>
        <v/>
      </c>
      <c r="G1378" s="32" t="str">
        <f>IFERROR(__xludf.DUMMYFUNCTION("IFERROR(VALUE(REGEXEXTRACT(C1378,""(\d+)\s*/\s*\d+"")),"""")"),"")</f>
        <v/>
      </c>
      <c r="H1378" s="32" t="str">
        <f>IFERROR(__xludf.DUMMYFUNCTION("IFERROR(VALUE(REGEXEXTRACT(C1378,""\d+\s*/\s*(\d+)"")),"""")"),"")</f>
        <v/>
      </c>
      <c r="I1378" s="32" t="str">
        <f t="shared" si="2"/>
        <v/>
      </c>
      <c r="J1378" s="33" t="str">
        <f t="shared" si="3"/>
        <v/>
      </c>
    </row>
    <row r="1379" ht="15.75" customHeight="1">
      <c r="A1379" s="22" t="s">
        <v>113</v>
      </c>
      <c r="B1379" s="22" t="str">
        <f>IF(MOV_CC_NACIONAL!A1379="","",MOV_CC_NACIONAL!A1379)</f>
        <v/>
      </c>
      <c r="C1379" s="22" t="str">
        <f>IF(MOV_CC_NACIONAL!B1379="","",MOV_CC_NACIONAL!B1379)</f>
        <v/>
      </c>
      <c r="D1379" s="34" t="str">
        <f>IF(MOV_CC_NACIONAL!C1379="","",MOV_CC_NACIONAL!C1379)</f>
        <v/>
      </c>
      <c r="E1379" s="22" t="str">
        <f t="shared" si="1"/>
        <v/>
      </c>
      <c r="F1379" s="22" t="str">
        <f>IFERROR(__xludf.DUMMYFUNCTION("IF(C1379="""","""", OR(REGEXMATCH(LOWER(C1379),""cuota""), REGEXMATCH(C1379,""\d+\s*/\s*\d+"")))"),"")</f>
        <v/>
      </c>
      <c r="G1379" s="22" t="str">
        <f>IFERROR(__xludf.DUMMYFUNCTION("IFERROR(VALUE(REGEXEXTRACT(C1379,""(\d+)\s*/\s*\d+"")),"""")"),"")</f>
        <v/>
      </c>
      <c r="H1379" s="22" t="str">
        <f>IFERROR(__xludf.DUMMYFUNCTION("IFERROR(VALUE(REGEXEXTRACT(C1379,""\d+\s*/\s*(\d+)"")),"""")"),"")</f>
        <v/>
      </c>
      <c r="I1379" s="22" t="str">
        <f t="shared" si="2"/>
        <v/>
      </c>
      <c r="J1379" s="34" t="str">
        <f t="shared" si="3"/>
        <v/>
      </c>
    </row>
    <row r="1380" ht="15.75" customHeight="1">
      <c r="A1380" s="32" t="s">
        <v>113</v>
      </c>
      <c r="B1380" s="32" t="str">
        <f>IF(MOV_CC_NACIONAL!A1380="","",MOV_CC_NACIONAL!A1380)</f>
        <v/>
      </c>
      <c r="C1380" s="32" t="str">
        <f>IF(MOV_CC_NACIONAL!B1380="","",MOV_CC_NACIONAL!B1380)</f>
        <v/>
      </c>
      <c r="D1380" s="33" t="str">
        <f>IF(MOV_CC_NACIONAL!C1380="","",MOV_CC_NACIONAL!C1380)</f>
        <v/>
      </c>
      <c r="E1380" s="32" t="str">
        <f t="shared" si="1"/>
        <v/>
      </c>
      <c r="F1380" s="32" t="str">
        <f>IFERROR(__xludf.DUMMYFUNCTION("IF(C1380="""","""", OR(REGEXMATCH(LOWER(C1380),""cuota""), REGEXMATCH(C1380,""\d+\s*/\s*\d+"")))"),"")</f>
        <v/>
      </c>
      <c r="G1380" s="32" t="str">
        <f>IFERROR(__xludf.DUMMYFUNCTION("IFERROR(VALUE(REGEXEXTRACT(C1380,""(\d+)\s*/\s*\d+"")),"""")"),"")</f>
        <v/>
      </c>
      <c r="H1380" s="32" t="str">
        <f>IFERROR(__xludf.DUMMYFUNCTION("IFERROR(VALUE(REGEXEXTRACT(C1380,""\d+\s*/\s*(\d+)"")),"""")"),"")</f>
        <v/>
      </c>
      <c r="I1380" s="32" t="str">
        <f t="shared" si="2"/>
        <v/>
      </c>
      <c r="J1380" s="33" t="str">
        <f t="shared" si="3"/>
        <v/>
      </c>
    </row>
    <row r="1381" ht="15.75" customHeight="1">
      <c r="A1381" s="22" t="s">
        <v>113</v>
      </c>
      <c r="B1381" s="22" t="str">
        <f>IF(MOV_CC_NACIONAL!A1381="","",MOV_CC_NACIONAL!A1381)</f>
        <v/>
      </c>
      <c r="C1381" s="22" t="str">
        <f>IF(MOV_CC_NACIONAL!B1381="","",MOV_CC_NACIONAL!B1381)</f>
        <v/>
      </c>
      <c r="D1381" s="34" t="str">
        <f>IF(MOV_CC_NACIONAL!C1381="","",MOV_CC_NACIONAL!C1381)</f>
        <v/>
      </c>
      <c r="E1381" s="22" t="str">
        <f t="shared" si="1"/>
        <v/>
      </c>
      <c r="F1381" s="22" t="str">
        <f>IFERROR(__xludf.DUMMYFUNCTION("IF(C1381="""","""", OR(REGEXMATCH(LOWER(C1381),""cuota""), REGEXMATCH(C1381,""\d+\s*/\s*\d+"")))"),"")</f>
        <v/>
      </c>
      <c r="G1381" s="22" t="str">
        <f>IFERROR(__xludf.DUMMYFUNCTION("IFERROR(VALUE(REGEXEXTRACT(C1381,""(\d+)\s*/\s*\d+"")),"""")"),"")</f>
        <v/>
      </c>
      <c r="H1381" s="22" t="str">
        <f>IFERROR(__xludf.DUMMYFUNCTION("IFERROR(VALUE(REGEXEXTRACT(C1381,""\d+\s*/\s*(\d+)"")),"""")"),"")</f>
        <v/>
      </c>
      <c r="I1381" s="22" t="str">
        <f t="shared" si="2"/>
        <v/>
      </c>
      <c r="J1381" s="34" t="str">
        <f t="shared" si="3"/>
        <v/>
      </c>
    </row>
    <row r="1382" ht="15.75" customHeight="1">
      <c r="A1382" s="32" t="s">
        <v>113</v>
      </c>
      <c r="B1382" s="32" t="str">
        <f>IF(MOV_CC_NACIONAL!A1382="","",MOV_CC_NACIONAL!A1382)</f>
        <v/>
      </c>
      <c r="C1382" s="32" t="str">
        <f>IF(MOV_CC_NACIONAL!B1382="","",MOV_CC_NACIONAL!B1382)</f>
        <v/>
      </c>
      <c r="D1382" s="33" t="str">
        <f>IF(MOV_CC_NACIONAL!C1382="","",MOV_CC_NACIONAL!C1382)</f>
        <v/>
      </c>
      <c r="E1382" s="32" t="str">
        <f t="shared" si="1"/>
        <v/>
      </c>
      <c r="F1382" s="32" t="str">
        <f>IFERROR(__xludf.DUMMYFUNCTION("IF(C1382="""","""", OR(REGEXMATCH(LOWER(C1382),""cuota""), REGEXMATCH(C1382,""\d+\s*/\s*\d+"")))"),"")</f>
        <v/>
      </c>
      <c r="G1382" s="32" t="str">
        <f>IFERROR(__xludf.DUMMYFUNCTION("IFERROR(VALUE(REGEXEXTRACT(C1382,""(\d+)\s*/\s*\d+"")),"""")"),"")</f>
        <v/>
      </c>
      <c r="H1382" s="32" t="str">
        <f>IFERROR(__xludf.DUMMYFUNCTION("IFERROR(VALUE(REGEXEXTRACT(C1382,""\d+\s*/\s*(\d+)"")),"""")"),"")</f>
        <v/>
      </c>
      <c r="I1382" s="32" t="str">
        <f t="shared" si="2"/>
        <v/>
      </c>
      <c r="J1382" s="33" t="str">
        <f t="shared" si="3"/>
        <v/>
      </c>
    </row>
    <row r="1383" ht="15.75" customHeight="1">
      <c r="A1383" s="22" t="s">
        <v>113</v>
      </c>
      <c r="B1383" s="22" t="str">
        <f>IF(MOV_CC_NACIONAL!A1383="","",MOV_CC_NACIONAL!A1383)</f>
        <v/>
      </c>
      <c r="C1383" s="22" t="str">
        <f>IF(MOV_CC_NACIONAL!B1383="","",MOV_CC_NACIONAL!B1383)</f>
        <v/>
      </c>
      <c r="D1383" s="34" t="str">
        <f>IF(MOV_CC_NACIONAL!C1383="","",MOV_CC_NACIONAL!C1383)</f>
        <v/>
      </c>
      <c r="E1383" s="22" t="str">
        <f t="shared" si="1"/>
        <v/>
      </c>
      <c r="F1383" s="22" t="str">
        <f>IFERROR(__xludf.DUMMYFUNCTION("IF(C1383="""","""", OR(REGEXMATCH(LOWER(C1383),""cuota""), REGEXMATCH(C1383,""\d+\s*/\s*\d+"")))"),"")</f>
        <v/>
      </c>
      <c r="G1383" s="22" t="str">
        <f>IFERROR(__xludf.DUMMYFUNCTION("IFERROR(VALUE(REGEXEXTRACT(C1383,""(\d+)\s*/\s*\d+"")),"""")"),"")</f>
        <v/>
      </c>
      <c r="H1383" s="22" t="str">
        <f>IFERROR(__xludf.DUMMYFUNCTION("IFERROR(VALUE(REGEXEXTRACT(C1383,""\d+\s*/\s*(\d+)"")),"""")"),"")</f>
        <v/>
      </c>
      <c r="I1383" s="22" t="str">
        <f t="shared" si="2"/>
        <v/>
      </c>
      <c r="J1383" s="34" t="str">
        <f t="shared" si="3"/>
        <v/>
      </c>
    </row>
    <row r="1384" ht="15.75" customHeight="1">
      <c r="A1384" s="32" t="s">
        <v>113</v>
      </c>
      <c r="B1384" s="32" t="str">
        <f>IF(MOV_CC_NACIONAL!A1384="","",MOV_CC_NACIONAL!A1384)</f>
        <v/>
      </c>
      <c r="C1384" s="32" t="str">
        <f>IF(MOV_CC_NACIONAL!B1384="","",MOV_CC_NACIONAL!B1384)</f>
        <v/>
      </c>
      <c r="D1384" s="33" t="str">
        <f>IF(MOV_CC_NACIONAL!C1384="","",MOV_CC_NACIONAL!C1384)</f>
        <v/>
      </c>
      <c r="E1384" s="32" t="str">
        <f t="shared" si="1"/>
        <v/>
      </c>
      <c r="F1384" s="32" t="str">
        <f>IFERROR(__xludf.DUMMYFUNCTION("IF(C1384="""","""", OR(REGEXMATCH(LOWER(C1384),""cuota""), REGEXMATCH(C1384,""\d+\s*/\s*\d+"")))"),"")</f>
        <v/>
      </c>
      <c r="G1384" s="32" t="str">
        <f>IFERROR(__xludf.DUMMYFUNCTION("IFERROR(VALUE(REGEXEXTRACT(C1384,""(\d+)\s*/\s*\d+"")),"""")"),"")</f>
        <v/>
      </c>
      <c r="H1384" s="32" t="str">
        <f>IFERROR(__xludf.DUMMYFUNCTION("IFERROR(VALUE(REGEXEXTRACT(C1384,""\d+\s*/\s*(\d+)"")),"""")"),"")</f>
        <v/>
      </c>
      <c r="I1384" s="32" t="str">
        <f t="shared" si="2"/>
        <v/>
      </c>
      <c r="J1384" s="33" t="str">
        <f t="shared" si="3"/>
        <v/>
      </c>
    </row>
    <row r="1385" ht="15.75" customHeight="1">
      <c r="A1385" s="22" t="s">
        <v>113</v>
      </c>
      <c r="B1385" s="22" t="str">
        <f>IF(MOV_CC_NACIONAL!A1385="","",MOV_CC_NACIONAL!A1385)</f>
        <v/>
      </c>
      <c r="C1385" s="22" t="str">
        <f>IF(MOV_CC_NACIONAL!B1385="","",MOV_CC_NACIONAL!B1385)</f>
        <v/>
      </c>
      <c r="D1385" s="34" t="str">
        <f>IF(MOV_CC_NACIONAL!C1385="","",MOV_CC_NACIONAL!C1385)</f>
        <v/>
      </c>
      <c r="E1385" s="22" t="str">
        <f t="shared" si="1"/>
        <v/>
      </c>
      <c r="F1385" s="22" t="str">
        <f>IFERROR(__xludf.DUMMYFUNCTION("IF(C1385="""","""", OR(REGEXMATCH(LOWER(C1385),""cuota""), REGEXMATCH(C1385,""\d+\s*/\s*\d+"")))"),"")</f>
        <v/>
      </c>
      <c r="G1385" s="22" t="str">
        <f>IFERROR(__xludf.DUMMYFUNCTION("IFERROR(VALUE(REGEXEXTRACT(C1385,""(\d+)\s*/\s*\d+"")),"""")"),"")</f>
        <v/>
      </c>
      <c r="H1385" s="22" t="str">
        <f>IFERROR(__xludf.DUMMYFUNCTION("IFERROR(VALUE(REGEXEXTRACT(C1385,""\d+\s*/\s*(\d+)"")),"""")"),"")</f>
        <v/>
      </c>
      <c r="I1385" s="22" t="str">
        <f t="shared" si="2"/>
        <v/>
      </c>
      <c r="J1385" s="34" t="str">
        <f t="shared" si="3"/>
        <v/>
      </c>
    </row>
    <row r="1386" ht="15.75" customHeight="1">
      <c r="A1386" s="32" t="s">
        <v>113</v>
      </c>
      <c r="B1386" s="32" t="str">
        <f>IF(MOV_CC_NACIONAL!A1386="","",MOV_CC_NACIONAL!A1386)</f>
        <v/>
      </c>
      <c r="C1386" s="32" t="str">
        <f>IF(MOV_CC_NACIONAL!B1386="","",MOV_CC_NACIONAL!B1386)</f>
        <v/>
      </c>
      <c r="D1386" s="33" t="str">
        <f>IF(MOV_CC_NACIONAL!C1386="","",MOV_CC_NACIONAL!C1386)</f>
        <v/>
      </c>
      <c r="E1386" s="32" t="str">
        <f t="shared" si="1"/>
        <v/>
      </c>
      <c r="F1386" s="32" t="str">
        <f>IFERROR(__xludf.DUMMYFUNCTION("IF(C1386="""","""", OR(REGEXMATCH(LOWER(C1386),""cuota""), REGEXMATCH(C1386,""\d+\s*/\s*\d+"")))"),"")</f>
        <v/>
      </c>
      <c r="G1386" s="32" t="str">
        <f>IFERROR(__xludf.DUMMYFUNCTION("IFERROR(VALUE(REGEXEXTRACT(C1386,""(\d+)\s*/\s*\d+"")),"""")"),"")</f>
        <v/>
      </c>
      <c r="H1386" s="32" t="str">
        <f>IFERROR(__xludf.DUMMYFUNCTION("IFERROR(VALUE(REGEXEXTRACT(C1386,""\d+\s*/\s*(\d+)"")),"""")"),"")</f>
        <v/>
      </c>
      <c r="I1386" s="32" t="str">
        <f t="shared" si="2"/>
        <v/>
      </c>
      <c r="J1386" s="33" t="str">
        <f t="shared" si="3"/>
        <v/>
      </c>
    </row>
    <row r="1387" ht="15.75" customHeight="1">
      <c r="A1387" s="22" t="s">
        <v>113</v>
      </c>
      <c r="B1387" s="22" t="str">
        <f>IF(MOV_CC_NACIONAL!A1387="","",MOV_CC_NACIONAL!A1387)</f>
        <v/>
      </c>
      <c r="C1387" s="22" t="str">
        <f>IF(MOV_CC_NACIONAL!B1387="","",MOV_CC_NACIONAL!B1387)</f>
        <v/>
      </c>
      <c r="D1387" s="34" t="str">
        <f>IF(MOV_CC_NACIONAL!C1387="","",MOV_CC_NACIONAL!C1387)</f>
        <v/>
      </c>
      <c r="E1387" s="22" t="str">
        <f t="shared" si="1"/>
        <v/>
      </c>
      <c r="F1387" s="22" t="str">
        <f>IFERROR(__xludf.DUMMYFUNCTION("IF(C1387="""","""", OR(REGEXMATCH(LOWER(C1387),""cuota""), REGEXMATCH(C1387,""\d+\s*/\s*\d+"")))"),"")</f>
        <v/>
      </c>
      <c r="G1387" s="22" t="str">
        <f>IFERROR(__xludf.DUMMYFUNCTION("IFERROR(VALUE(REGEXEXTRACT(C1387,""(\d+)\s*/\s*\d+"")),"""")"),"")</f>
        <v/>
      </c>
      <c r="H1387" s="22" t="str">
        <f>IFERROR(__xludf.DUMMYFUNCTION("IFERROR(VALUE(REGEXEXTRACT(C1387,""\d+\s*/\s*(\d+)"")),"""")"),"")</f>
        <v/>
      </c>
      <c r="I1387" s="22" t="str">
        <f t="shared" si="2"/>
        <v/>
      </c>
      <c r="J1387" s="34" t="str">
        <f t="shared" si="3"/>
        <v/>
      </c>
    </row>
    <row r="1388" ht="15.75" customHeight="1">
      <c r="A1388" s="32" t="s">
        <v>113</v>
      </c>
      <c r="B1388" s="32" t="str">
        <f>IF(MOV_CC_NACIONAL!A1388="","",MOV_CC_NACIONAL!A1388)</f>
        <v/>
      </c>
      <c r="C1388" s="32" t="str">
        <f>IF(MOV_CC_NACIONAL!B1388="","",MOV_CC_NACIONAL!B1388)</f>
        <v/>
      </c>
      <c r="D1388" s="33" t="str">
        <f>IF(MOV_CC_NACIONAL!C1388="","",MOV_CC_NACIONAL!C1388)</f>
        <v/>
      </c>
      <c r="E1388" s="32" t="str">
        <f t="shared" si="1"/>
        <v/>
      </c>
      <c r="F1388" s="32" t="str">
        <f>IFERROR(__xludf.DUMMYFUNCTION("IF(C1388="""","""", OR(REGEXMATCH(LOWER(C1388),""cuota""), REGEXMATCH(C1388,""\d+\s*/\s*\d+"")))"),"")</f>
        <v/>
      </c>
      <c r="G1388" s="32" t="str">
        <f>IFERROR(__xludf.DUMMYFUNCTION("IFERROR(VALUE(REGEXEXTRACT(C1388,""(\d+)\s*/\s*\d+"")),"""")"),"")</f>
        <v/>
      </c>
      <c r="H1388" s="32" t="str">
        <f>IFERROR(__xludf.DUMMYFUNCTION("IFERROR(VALUE(REGEXEXTRACT(C1388,""\d+\s*/\s*(\d+)"")),"""")"),"")</f>
        <v/>
      </c>
      <c r="I1388" s="32" t="str">
        <f t="shared" si="2"/>
        <v/>
      </c>
      <c r="J1388" s="33" t="str">
        <f t="shared" si="3"/>
        <v/>
      </c>
    </row>
    <row r="1389" ht="15.75" customHeight="1">
      <c r="A1389" s="22" t="s">
        <v>113</v>
      </c>
      <c r="B1389" s="22" t="str">
        <f>IF(MOV_CC_NACIONAL!A1389="","",MOV_CC_NACIONAL!A1389)</f>
        <v/>
      </c>
      <c r="C1389" s="22" t="str">
        <f>IF(MOV_CC_NACIONAL!B1389="","",MOV_CC_NACIONAL!B1389)</f>
        <v/>
      </c>
      <c r="D1389" s="34" t="str">
        <f>IF(MOV_CC_NACIONAL!C1389="","",MOV_CC_NACIONAL!C1389)</f>
        <v/>
      </c>
      <c r="E1389" s="22" t="str">
        <f t="shared" si="1"/>
        <v/>
      </c>
      <c r="F1389" s="22" t="str">
        <f>IFERROR(__xludf.DUMMYFUNCTION("IF(C1389="""","""", OR(REGEXMATCH(LOWER(C1389),""cuota""), REGEXMATCH(C1389,""\d+\s*/\s*\d+"")))"),"")</f>
        <v/>
      </c>
      <c r="G1389" s="22" t="str">
        <f>IFERROR(__xludf.DUMMYFUNCTION("IFERROR(VALUE(REGEXEXTRACT(C1389,""(\d+)\s*/\s*\d+"")),"""")"),"")</f>
        <v/>
      </c>
      <c r="H1389" s="22" t="str">
        <f>IFERROR(__xludf.DUMMYFUNCTION("IFERROR(VALUE(REGEXEXTRACT(C1389,""\d+\s*/\s*(\d+)"")),"""")"),"")</f>
        <v/>
      </c>
      <c r="I1389" s="22" t="str">
        <f t="shared" si="2"/>
        <v/>
      </c>
      <c r="J1389" s="34" t="str">
        <f t="shared" si="3"/>
        <v/>
      </c>
    </row>
    <row r="1390" ht="15.75" customHeight="1">
      <c r="A1390" s="32" t="s">
        <v>113</v>
      </c>
      <c r="B1390" s="32" t="str">
        <f>IF(MOV_CC_NACIONAL!A1390="","",MOV_CC_NACIONAL!A1390)</f>
        <v/>
      </c>
      <c r="C1390" s="32" t="str">
        <f>IF(MOV_CC_NACIONAL!B1390="","",MOV_CC_NACIONAL!B1390)</f>
        <v/>
      </c>
      <c r="D1390" s="33" t="str">
        <f>IF(MOV_CC_NACIONAL!C1390="","",MOV_CC_NACIONAL!C1390)</f>
        <v/>
      </c>
      <c r="E1390" s="32" t="str">
        <f t="shared" si="1"/>
        <v/>
      </c>
      <c r="F1390" s="32" t="str">
        <f>IFERROR(__xludf.DUMMYFUNCTION("IF(C1390="""","""", OR(REGEXMATCH(LOWER(C1390),""cuota""), REGEXMATCH(C1390,""\d+\s*/\s*\d+"")))"),"")</f>
        <v/>
      </c>
      <c r="G1390" s="32" t="str">
        <f>IFERROR(__xludf.DUMMYFUNCTION("IFERROR(VALUE(REGEXEXTRACT(C1390,""(\d+)\s*/\s*\d+"")),"""")"),"")</f>
        <v/>
      </c>
      <c r="H1390" s="32" t="str">
        <f>IFERROR(__xludf.DUMMYFUNCTION("IFERROR(VALUE(REGEXEXTRACT(C1390,""\d+\s*/\s*(\d+)"")),"""")"),"")</f>
        <v/>
      </c>
      <c r="I1390" s="32" t="str">
        <f t="shared" si="2"/>
        <v/>
      </c>
      <c r="J1390" s="33" t="str">
        <f t="shared" si="3"/>
        <v/>
      </c>
    </row>
    <row r="1391" ht="15.75" customHeight="1">
      <c r="A1391" s="22" t="s">
        <v>113</v>
      </c>
      <c r="B1391" s="22" t="str">
        <f>IF(MOV_CC_NACIONAL!A1391="","",MOV_CC_NACIONAL!A1391)</f>
        <v/>
      </c>
      <c r="C1391" s="22" t="str">
        <f>IF(MOV_CC_NACIONAL!B1391="","",MOV_CC_NACIONAL!B1391)</f>
        <v/>
      </c>
      <c r="D1391" s="34" t="str">
        <f>IF(MOV_CC_NACIONAL!C1391="","",MOV_CC_NACIONAL!C1391)</f>
        <v/>
      </c>
      <c r="E1391" s="22" t="str">
        <f t="shared" si="1"/>
        <v/>
      </c>
      <c r="F1391" s="22" t="str">
        <f>IFERROR(__xludf.DUMMYFUNCTION("IF(C1391="""","""", OR(REGEXMATCH(LOWER(C1391),""cuota""), REGEXMATCH(C1391,""\d+\s*/\s*\d+"")))"),"")</f>
        <v/>
      </c>
      <c r="G1391" s="22" t="str">
        <f>IFERROR(__xludf.DUMMYFUNCTION("IFERROR(VALUE(REGEXEXTRACT(C1391,""(\d+)\s*/\s*\d+"")),"""")"),"")</f>
        <v/>
      </c>
      <c r="H1391" s="22" t="str">
        <f>IFERROR(__xludf.DUMMYFUNCTION("IFERROR(VALUE(REGEXEXTRACT(C1391,""\d+\s*/\s*(\d+)"")),"""")"),"")</f>
        <v/>
      </c>
      <c r="I1391" s="22" t="str">
        <f t="shared" si="2"/>
        <v/>
      </c>
      <c r="J1391" s="34" t="str">
        <f t="shared" si="3"/>
        <v/>
      </c>
    </row>
    <row r="1392" ht="15.75" customHeight="1">
      <c r="A1392" s="32" t="s">
        <v>113</v>
      </c>
      <c r="B1392" s="32" t="str">
        <f>IF(MOV_CC_NACIONAL!A1392="","",MOV_CC_NACIONAL!A1392)</f>
        <v/>
      </c>
      <c r="C1392" s="32" t="str">
        <f>IF(MOV_CC_NACIONAL!B1392="","",MOV_CC_NACIONAL!B1392)</f>
        <v/>
      </c>
      <c r="D1392" s="33" t="str">
        <f>IF(MOV_CC_NACIONAL!C1392="","",MOV_CC_NACIONAL!C1392)</f>
        <v/>
      </c>
      <c r="E1392" s="32" t="str">
        <f t="shared" si="1"/>
        <v/>
      </c>
      <c r="F1392" s="32" t="str">
        <f>IFERROR(__xludf.DUMMYFUNCTION("IF(C1392="""","""", OR(REGEXMATCH(LOWER(C1392),""cuota""), REGEXMATCH(C1392,""\d+\s*/\s*\d+"")))"),"")</f>
        <v/>
      </c>
      <c r="G1392" s="32" t="str">
        <f>IFERROR(__xludf.DUMMYFUNCTION("IFERROR(VALUE(REGEXEXTRACT(C1392,""(\d+)\s*/\s*\d+"")),"""")"),"")</f>
        <v/>
      </c>
      <c r="H1392" s="32" t="str">
        <f>IFERROR(__xludf.DUMMYFUNCTION("IFERROR(VALUE(REGEXEXTRACT(C1392,""\d+\s*/\s*(\d+)"")),"""")"),"")</f>
        <v/>
      </c>
      <c r="I1392" s="32" t="str">
        <f t="shared" si="2"/>
        <v/>
      </c>
      <c r="J1392" s="33" t="str">
        <f t="shared" si="3"/>
        <v/>
      </c>
    </row>
    <row r="1393" ht="15.75" customHeight="1">
      <c r="A1393" s="22" t="s">
        <v>113</v>
      </c>
      <c r="B1393" s="22" t="str">
        <f>IF(MOV_CC_NACIONAL!A1393="","",MOV_CC_NACIONAL!A1393)</f>
        <v/>
      </c>
      <c r="C1393" s="22" t="str">
        <f>IF(MOV_CC_NACIONAL!B1393="","",MOV_CC_NACIONAL!B1393)</f>
        <v/>
      </c>
      <c r="D1393" s="34" t="str">
        <f>IF(MOV_CC_NACIONAL!C1393="","",MOV_CC_NACIONAL!C1393)</f>
        <v/>
      </c>
      <c r="E1393" s="22" t="str">
        <f t="shared" si="1"/>
        <v/>
      </c>
      <c r="F1393" s="22" t="str">
        <f>IFERROR(__xludf.DUMMYFUNCTION("IF(C1393="""","""", OR(REGEXMATCH(LOWER(C1393),""cuota""), REGEXMATCH(C1393,""\d+\s*/\s*\d+"")))"),"")</f>
        <v/>
      </c>
      <c r="G1393" s="22" t="str">
        <f>IFERROR(__xludf.DUMMYFUNCTION("IFERROR(VALUE(REGEXEXTRACT(C1393,""(\d+)\s*/\s*\d+"")),"""")"),"")</f>
        <v/>
      </c>
      <c r="H1393" s="22" t="str">
        <f>IFERROR(__xludf.DUMMYFUNCTION("IFERROR(VALUE(REGEXEXTRACT(C1393,""\d+\s*/\s*(\d+)"")),"""")"),"")</f>
        <v/>
      </c>
      <c r="I1393" s="22" t="str">
        <f t="shared" si="2"/>
        <v/>
      </c>
      <c r="J1393" s="34" t="str">
        <f t="shared" si="3"/>
        <v/>
      </c>
    </row>
    <row r="1394" ht="15.75" customHeight="1">
      <c r="A1394" s="32" t="s">
        <v>113</v>
      </c>
      <c r="B1394" s="32" t="str">
        <f>IF(MOV_CC_NACIONAL!A1394="","",MOV_CC_NACIONAL!A1394)</f>
        <v/>
      </c>
      <c r="C1394" s="32" t="str">
        <f>IF(MOV_CC_NACIONAL!B1394="","",MOV_CC_NACIONAL!B1394)</f>
        <v/>
      </c>
      <c r="D1394" s="33" t="str">
        <f>IF(MOV_CC_NACIONAL!C1394="","",MOV_CC_NACIONAL!C1394)</f>
        <v/>
      </c>
      <c r="E1394" s="32" t="str">
        <f t="shared" si="1"/>
        <v/>
      </c>
      <c r="F1394" s="32" t="str">
        <f>IFERROR(__xludf.DUMMYFUNCTION("IF(C1394="""","""", OR(REGEXMATCH(LOWER(C1394),""cuota""), REGEXMATCH(C1394,""\d+\s*/\s*\d+"")))"),"")</f>
        <v/>
      </c>
      <c r="G1394" s="32" t="str">
        <f>IFERROR(__xludf.DUMMYFUNCTION("IFERROR(VALUE(REGEXEXTRACT(C1394,""(\d+)\s*/\s*\d+"")),"""")"),"")</f>
        <v/>
      </c>
      <c r="H1394" s="32" t="str">
        <f>IFERROR(__xludf.DUMMYFUNCTION("IFERROR(VALUE(REGEXEXTRACT(C1394,""\d+\s*/\s*(\d+)"")),"""")"),"")</f>
        <v/>
      </c>
      <c r="I1394" s="32" t="str">
        <f t="shared" si="2"/>
        <v/>
      </c>
      <c r="J1394" s="33" t="str">
        <f t="shared" si="3"/>
        <v/>
      </c>
    </row>
    <row r="1395" ht="15.75" customHeight="1">
      <c r="A1395" s="22" t="s">
        <v>113</v>
      </c>
      <c r="B1395" s="22" t="str">
        <f>IF(MOV_CC_NACIONAL!A1395="","",MOV_CC_NACIONAL!A1395)</f>
        <v/>
      </c>
      <c r="C1395" s="22" t="str">
        <f>IF(MOV_CC_NACIONAL!B1395="","",MOV_CC_NACIONAL!B1395)</f>
        <v/>
      </c>
      <c r="D1395" s="34" t="str">
        <f>IF(MOV_CC_NACIONAL!C1395="","",MOV_CC_NACIONAL!C1395)</f>
        <v/>
      </c>
      <c r="E1395" s="22" t="str">
        <f t="shared" si="1"/>
        <v/>
      </c>
      <c r="F1395" s="22" t="str">
        <f>IFERROR(__xludf.DUMMYFUNCTION("IF(C1395="""","""", OR(REGEXMATCH(LOWER(C1395),""cuota""), REGEXMATCH(C1395,""\d+\s*/\s*\d+"")))"),"")</f>
        <v/>
      </c>
      <c r="G1395" s="22" t="str">
        <f>IFERROR(__xludf.DUMMYFUNCTION("IFERROR(VALUE(REGEXEXTRACT(C1395,""(\d+)\s*/\s*\d+"")),"""")"),"")</f>
        <v/>
      </c>
      <c r="H1395" s="22" t="str">
        <f>IFERROR(__xludf.DUMMYFUNCTION("IFERROR(VALUE(REGEXEXTRACT(C1395,""\d+\s*/\s*(\d+)"")),"""")"),"")</f>
        <v/>
      </c>
      <c r="I1395" s="22" t="str">
        <f t="shared" si="2"/>
        <v/>
      </c>
      <c r="J1395" s="34" t="str">
        <f t="shared" si="3"/>
        <v/>
      </c>
    </row>
    <row r="1396" ht="15.75" customHeight="1">
      <c r="A1396" s="32" t="s">
        <v>113</v>
      </c>
      <c r="B1396" s="32" t="str">
        <f>IF(MOV_CC_NACIONAL!A1396="","",MOV_CC_NACIONAL!A1396)</f>
        <v/>
      </c>
      <c r="C1396" s="32" t="str">
        <f>IF(MOV_CC_NACIONAL!B1396="","",MOV_CC_NACIONAL!B1396)</f>
        <v/>
      </c>
      <c r="D1396" s="33" t="str">
        <f>IF(MOV_CC_NACIONAL!C1396="","",MOV_CC_NACIONAL!C1396)</f>
        <v/>
      </c>
      <c r="E1396" s="32" t="str">
        <f t="shared" si="1"/>
        <v/>
      </c>
      <c r="F1396" s="32" t="str">
        <f>IFERROR(__xludf.DUMMYFUNCTION("IF(C1396="""","""", OR(REGEXMATCH(LOWER(C1396),""cuota""), REGEXMATCH(C1396,""\d+\s*/\s*\d+"")))"),"")</f>
        <v/>
      </c>
      <c r="G1396" s="32" t="str">
        <f>IFERROR(__xludf.DUMMYFUNCTION("IFERROR(VALUE(REGEXEXTRACT(C1396,""(\d+)\s*/\s*\d+"")),"""")"),"")</f>
        <v/>
      </c>
      <c r="H1396" s="32" t="str">
        <f>IFERROR(__xludf.DUMMYFUNCTION("IFERROR(VALUE(REGEXEXTRACT(C1396,""\d+\s*/\s*(\d+)"")),"""")"),"")</f>
        <v/>
      </c>
      <c r="I1396" s="32" t="str">
        <f t="shared" si="2"/>
        <v/>
      </c>
      <c r="J1396" s="33" t="str">
        <f t="shared" si="3"/>
        <v/>
      </c>
    </row>
    <row r="1397" ht="15.75" customHeight="1">
      <c r="A1397" s="22" t="s">
        <v>113</v>
      </c>
      <c r="B1397" s="22" t="str">
        <f>IF(MOV_CC_NACIONAL!A1397="","",MOV_CC_NACIONAL!A1397)</f>
        <v/>
      </c>
      <c r="C1397" s="22" t="str">
        <f>IF(MOV_CC_NACIONAL!B1397="","",MOV_CC_NACIONAL!B1397)</f>
        <v/>
      </c>
      <c r="D1397" s="34" t="str">
        <f>IF(MOV_CC_NACIONAL!C1397="","",MOV_CC_NACIONAL!C1397)</f>
        <v/>
      </c>
      <c r="E1397" s="22" t="str">
        <f t="shared" si="1"/>
        <v/>
      </c>
      <c r="F1397" s="22" t="str">
        <f>IFERROR(__xludf.DUMMYFUNCTION("IF(C1397="""","""", OR(REGEXMATCH(LOWER(C1397),""cuota""), REGEXMATCH(C1397,""\d+\s*/\s*\d+"")))"),"")</f>
        <v/>
      </c>
      <c r="G1397" s="22" t="str">
        <f>IFERROR(__xludf.DUMMYFUNCTION("IFERROR(VALUE(REGEXEXTRACT(C1397,""(\d+)\s*/\s*\d+"")),"""")"),"")</f>
        <v/>
      </c>
      <c r="H1397" s="22" t="str">
        <f>IFERROR(__xludf.DUMMYFUNCTION("IFERROR(VALUE(REGEXEXTRACT(C1397,""\d+\s*/\s*(\d+)"")),"""")"),"")</f>
        <v/>
      </c>
      <c r="I1397" s="22" t="str">
        <f t="shared" si="2"/>
        <v/>
      </c>
      <c r="J1397" s="34" t="str">
        <f t="shared" si="3"/>
        <v/>
      </c>
    </row>
    <row r="1398" ht="15.75" customHeight="1">
      <c r="A1398" s="32" t="s">
        <v>113</v>
      </c>
      <c r="B1398" s="32" t="str">
        <f>IF(MOV_CC_NACIONAL!A1398="","",MOV_CC_NACIONAL!A1398)</f>
        <v/>
      </c>
      <c r="C1398" s="32" t="str">
        <f>IF(MOV_CC_NACIONAL!B1398="","",MOV_CC_NACIONAL!B1398)</f>
        <v/>
      </c>
      <c r="D1398" s="33" t="str">
        <f>IF(MOV_CC_NACIONAL!C1398="","",MOV_CC_NACIONAL!C1398)</f>
        <v/>
      </c>
      <c r="E1398" s="32" t="str">
        <f t="shared" si="1"/>
        <v/>
      </c>
      <c r="F1398" s="32" t="str">
        <f>IFERROR(__xludf.DUMMYFUNCTION("IF(C1398="""","""", OR(REGEXMATCH(LOWER(C1398),""cuota""), REGEXMATCH(C1398,""\d+\s*/\s*\d+"")))"),"")</f>
        <v/>
      </c>
      <c r="G1398" s="32" t="str">
        <f>IFERROR(__xludf.DUMMYFUNCTION("IFERROR(VALUE(REGEXEXTRACT(C1398,""(\d+)\s*/\s*\d+"")),"""")"),"")</f>
        <v/>
      </c>
      <c r="H1398" s="32" t="str">
        <f>IFERROR(__xludf.DUMMYFUNCTION("IFERROR(VALUE(REGEXEXTRACT(C1398,""\d+\s*/\s*(\d+)"")),"""")"),"")</f>
        <v/>
      </c>
      <c r="I1398" s="32" t="str">
        <f t="shared" si="2"/>
        <v/>
      </c>
      <c r="J1398" s="33" t="str">
        <f t="shared" si="3"/>
        <v/>
      </c>
    </row>
    <row r="1399" ht="15.75" customHeight="1">
      <c r="A1399" s="22" t="s">
        <v>113</v>
      </c>
      <c r="B1399" s="22" t="str">
        <f>IF(MOV_CC_NACIONAL!A1399="","",MOV_CC_NACIONAL!A1399)</f>
        <v/>
      </c>
      <c r="C1399" s="22" t="str">
        <f>IF(MOV_CC_NACIONAL!B1399="","",MOV_CC_NACIONAL!B1399)</f>
        <v/>
      </c>
      <c r="D1399" s="34" t="str">
        <f>IF(MOV_CC_NACIONAL!C1399="","",MOV_CC_NACIONAL!C1399)</f>
        <v/>
      </c>
      <c r="E1399" s="22" t="str">
        <f t="shared" si="1"/>
        <v/>
      </c>
      <c r="F1399" s="22" t="str">
        <f>IFERROR(__xludf.DUMMYFUNCTION("IF(C1399="""","""", OR(REGEXMATCH(LOWER(C1399),""cuota""), REGEXMATCH(C1399,""\d+\s*/\s*\d+"")))"),"")</f>
        <v/>
      </c>
      <c r="G1399" s="22" t="str">
        <f>IFERROR(__xludf.DUMMYFUNCTION("IFERROR(VALUE(REGEXEXTRACT(C1399,""(\d+)\s*/\s*\d+"")),"""")"),"")</f>
        <v/>
      </c>
      <c r="H1399" s="22" t="str">
        <f>IFERROR(__xludf.DUMMYFUNCTION("IFERROR(VALUE(REGEXEXTRACT(C1399,""\d+\s*/\s*(\d+)"")),"""")"),"")</f>
        <v/>
      </c>
      <c r="I1399" s="22" t="str">
        <f t="shared" si="2"/>
        <v/>
      </c>
      <c r="J1399" s="34" t="str">
        <f t="shared" si="3"/>
        <v/>
      </c>
    </row>
    <row r="1400" ht="15.75" customHeight="1">
      <c r="A1400" s="32" t="s">
        <v>113</v>
      </c>
      <c r="B1400" s="32" t="str">
        <f>IF(MOV_CC_NACIONAL!A1400="","",MOV_CC_NACIONAL!A1400)</f>
        <v/>
      </c>
      <c r="C1400" s="32" t="str">
        <f>IF(MOV_CC_NACIONAL!B1400="","",MOV_CC_NACIONAL!B1400)</f>
        <v/>
      </c>
      <c r="D1400" s="33" t="str">
        <f>IF(MOV_CC_NACIONAL!C1400="","",MOV_CC_NACIONAL!C1400)</f>
        <v/>
      </c>
      <c r="E1400" s="32" t="str">
        <f t="shared" si="1"/>
        <v/>
      </c>
      <c r="F1400" s="32" t="str">
        <f>IFERROR(__xludf.DUMMYFUNCTION("IF(C1400="""","""", OR(REGEXMATCH(LOWER(C1400),""cuota""), REGEXMATCH(C1400,""\d+\s*/\s*\d+"")))"),"")</f>
        <v/>
      </c>
      <c r="G1400" s="32" t="str">
        <f>IFERROR(__xludf.DUMMYFUNCTION("IFERROR(VALUE(REGEXEXTRACT(C1400,""(\d+)\s*/\s*\d+"")),"""")"),"")</f>
        <v/>
      </c>
      <c r="H1400" s="32" t="str">
        <f>IFERROR(__xludf.DUMMYFUNCTION("IFERROR(VALUE(REGEXEXTRACT(C1400,""\d+\s*/\s*(\d+)"")),"""")"),"")</f>
        <v/>
      </c>
      <c r="I1400" s="32" t="str">
        <f t="shared" si="2"/>
        <v/>
      </c>
      <c r="J1400" s="33" t="str">
        <f t="shared" si="3"/>
        <v/>
      </c>
    </row>
    <row r="1401" ht="15.75" customHeight="1">
      <c r="A1401" s="22" t="s">
        <v>113</v>
      </c>
      <c r="B1401" s="22" t="str">
        <f>IF(MOV_CC_NACIONAL!A1401="","",MOV_CC_NACIONAL!A1401)</f>
        <v/>
      </c>
      <c r="C1401" s="22" t="str">
        <f>IF(MOV_CC_NACIONAL!B1401="","",MOV_CC_NACIONAL!B1401)</f>
        <v/>
      </c>
      <c r="D1401" s="34" t="str">
        <f>IF(MOV_CC_NACIONAL!C1401="","",MOV_CC_NACIONAL!C1401)</f>
        <v/>
      </c>
      <c r="E1401" s="22" t="str">
        <f t="shared" si="1"/>
        <v/>
      </c>
      <c r="F1401" s="22" t="str">
        <f>IFERROR(__xludf.DUMMYFUNCTION("IF(C1401="""","""", OR(REGEXMATCH(LOWER(C1401),""cuota""), REGEXMATCH(C1401,""\d+\s*/\s*\d+"")))"),"")</f>
        <v/>
      </c>
      <c r="G1401" s="22" t="str">
        <f>IFERROR(__xludf.DUMMYFUNCTION("IFERROR(VALUE(REGEXEXTRACT(C1401,""(\d+)\s*/\s*\d+"")),"""")"),"")</f>
        <v/>
      </c>
      <c r="H1401" s="22" t="str">
        <f>IFERROR(__xludf.DUMMYFUNCTION("IFERROR(VALUE(REGEXEXTRACT(C1401,""\d+\s*/\s*(\d+)"")),"""")"),"")</f>
        <v/>
      </c>
      <c r="I1401" s="22" t="str">
        <f t="shared" si="2"/>
        <v/>
      </c>
      <c r="J1401" s="34" t="str">
        <f t="shared" si="3"/>
        <v/>
      </c>
    </row>
    <row r="1402" ht="15.75" customHeight="1">
      <c r="A1402" s="32" t="s">
        <v>113</v>
      </c>
      <c r="B1402" s="32" t="str">
        <f>IF(MOV_CC_NACIONAL!A1402="","",MOV_CC_NACIONAL!A1402)</f>
        <v/>
      </c>
      <c r="C1402" s="32" t="str">
        <f>IF(MOV_CC_NACIONAL!B1402="","",MOV_CC_NACIONAL!B1402)</f>
        <v/>
      </c>
      <c r="D1402" s="33" t="str">
        <f>IF(MOV_CC_NACIONAL!C1402="","",MOV_CC_NACIONAL!C1402)</f>
        <v/>
      </c>
      <c r="E1402" s="32" t="str">
        <f t="shared" si="1"/>
        <v/>
      </c>
      <c r="F1402" s="32" t="str">
        <f>IFERROR(__xludf.DUMMYFUNCTION("IF(C1402="""","""", OR(REGEXMATCH(LOWER(C1402),""cuota""), REGEXMATCH(C1402,""\d+\s*/\s*\d+"")))"),"")</f>
        <v/>
      </c>
      <c r="G1402" s="32" t="str">
        <f>IFERROR(__xludf.DUMMYFUNCTION("IFERROR(VALUE(REGEXEXTRACT(C1402,""(\d+)\s*/\s*\d+"")),"""")"),"")</f>
        <v/>
      </c>
      <c r="H1402" s="32" t="str">
        <f>IFERROR(__xludf.DUMMYFUNCTION("IFERROR(VALUE(REGEXEXTRACT(C1402,""\d+\s*/\s*(\d+)"")),"""")"),"")</f>
        <v/>
      </c>
      <c r="I1402" s="32" t="str">
        <f t="shared" si="2"/>
        <v/>
      </c>
      <c r="J1402" s="33" t="str">
        <f t="shared" si="3"/>
        <v/>
      </c>
    </row>
    <row r="1403" ht="15.75" customHeight="1">
      <c r="A1403" s="22" t="s">
        <v>113</v>
      </c>
      <c r="B1403" s="22" t="str">
        <f>IF(MOV_CC_NACIONAL!A1403="","",MOV_CC_NACIONAL!A1403)</f>
        <v/>
      </c>
      <c r="C1403" s="22" t="str">
        <f>IF(MOV_CC_NACIONAL!B1403="","",MOV_CC_NACIONAL!B1403)</f>
        <v/>
      </c>
      <c r="D1403" s="34" t="str">
        <f>IF(MOV_CC_NACIONAL!C1403="","",MOV_CC_NACIONAL!C1403)</f>
        <v/>
      </c>
      <c r="E1403" s="22" t="str">
        <f t="shared" si="1"/>
        <v/>
      </c>
      <c r="F1403" s="22" t="str">
        <f>IFERROR(__xludf.DUMMYFUNCTION("IF(C1403="""","""", OR(REGEXMATCH(LOWER(C1403),""cuota""), REGEXMATCH(C1403,""\d+\s*/\s*\d+"")))"),"")</f>
        <v/>
      </c>
      <c r="G1403" s="22" t="str">
        <f>IFERROR(__xludf.DUMMYFUNCTION("IFERROR(VALUE(REGEXEXTRACT(C1403,""(\d+)\s*/\s*\d+"")),"""")"),"")</f>
        <v/>
      </c>
      <c r="H1403" s="22" t="str">
        <f>IFERROR(__xludf.DUMMYFUNCTION("IFERROR(VALUE(REGEXEXTRACT(C1403,""\d+\s*/\s*(\d+)"")),"""")"),"")</f>
        <v/>
      </c>
      <c r="I1403" s="22" t="str">
        <f t="shared" si="2"/>
        <v/>
      </c>
      <c r="J1403" s="34" t="str">
        <f t="shared" si="3"/>
        <v/>
      </c>
    </row>
    <row r="1404" ht="15.75" customHeight="1">
      <c r="A1404" s="32" t="s">
        <v>113</v>
      </c>
      <c r="B1404" s="32" t="str">
        <f>IF(MOV_CC_NACIONAL!A1404="","",MOV_CC_NACIONAL!A1404)</f>
        <v/>
      </c>
      <c r="C1404" s="32" t="str">
        <f>IF(MOV_CC_NACIONAL!B1404="","",MOV_CC_NACIONAL!B1404)</f>
        <v/>
      </c>
      <c r="D1404" s="33" t="str">
        <f>IF(MOV_CC_NACIONAL!C1404="","",MOV_CC_NACIONAL!C1404)</f>
        <v/>
      </c>
      <c r="E1404" s="32" t="str">
        <f t="shared" si="1"/>
        <v/>
      </c>
      <c r="F1404" s="32" t="str">
        <f>IFERROR(__xludf.DUMMYFUNCTION("IF(C1404="""","""", OR(REGEXMATCH(LOWER(C1404),""cuota""), REGEXMATCH(C1404,""\d+\s*/\s*\d+"")))"),"")</f>
        <v/>
      </c>
      <c r="G1404" s="32" t="str">
        <f>IFERROR(__xludf.DUMMYFUNCTION("IFERROR(VALUE(REGEXEXTRACT(C1404,""(\d+)\s*/\s*\d+"")),"""")"),"")</f>
        <v/>
      </c>
      <c r="H1404" s="32" t="str">
        <f>IFERROR(__xludf.DUMMYFUNCTION("IFERROR(VALUE(REGEXEXTRACT(C1404,""\d+\s*/\s*(\d+)"")),"""")"),"")</f>
        <v/>
      </c>
      <c r="I1404" s="32" t="str">
        <f t="shared" si="2"/>
        <v/>
      </c>
      <c r="J1404" s="33" t="str">
        <f t="shared" si="3"/>
        <v/>
      </c>
    </row>
    <row r="1405" ht="15.75" customHeight="1">
      <c r="A1405" s="22" t="s">
        <v>113</v>
      </c>
      <c r="B1405" s="22" t="str">
        <f>IF(MOV_CC_NACIONAL!A1405="","",MOV_CC_NACIONAL!A1405)</f>
        <v/>
      </c>
      <c r="C1405" s="22" t="str">
        <f>IF(MOV_CC_NACIONAL!B1405="","",MOV_CC_NACIONAL!B1405)</f>
        <v/>
      </c>
      <c r="D1405" s="34" t="str">
        <f>IF(MOV_CC_NACIONAL!C1405="","",MOV_CC_NACIONAL!C1405)</f>
        <v/>
      </c>
      <c r="E1405" s="22" t="str">
        <f t="shared" si="1"/>
        <v/>
      </c>
      <c r="F1405" s="22" t="str">
        <f>IFERROR(__xludf.DUMMYFUNCTION("IF(C1405="""","""", OR(REGEXMATCH(LOWER(C1405),""cuota""), REGEXMATCH(C1405,""\d+\s*/\s*\d+"")))"),"")</f>
        <v/>
      </c>
      <c r="G1405" s="22" t="str">
        <f>IFERROR(__xludf.DUMMYFUNCTION("IFERROR(VALUE(REGEXEXTRACT(C1405,""(\d+)\s*/\s*\d+"")),"""")"),"")</f>
        <v/>
      </c>
      <c r="H1405" s="22" t="str">
        <f>IFERROR(__xludf.DUMMYFUNCTION("IFERROR(VALUE(REGEXEXTRACT(C1405,""\d+\s*/\s*(\d+)"")),"""")"),"")</f>
        <v/>
      </c>
      <c r="I1405" s="22" t="str">
        <f t="shared" si="2"/>
        <v/>
      </c>
      <c r="J1405" s="34" t="str">
        <f t="shared" si="3"/>
        <v/>
      </c>
    </row>
    <row r="1406" ht="15.75" customHeight="1">
      <c r="A1406" s="32" t="s">
        <v>113</v>
      </c>
      <c r="B1406" s="32" t="str">
        <f>IF(MOV_CC_NACIONAL!A1406="","",MOV_CC_NACIONAL!A1406)</f>
        <v/>
      </c>
      <c r="C1406" s="32" t="str">
        <f>IF(MOV_CC_NACIONAL!B1406="","",MOV_CC_NACIONAL!B1406)</f>
        <v/>
      </c>
      <c r="D1406" s="33" t="str">
        <f>IF(MOV_CC_NACIONAL!C1406="","",MOV_CC_NACIONAL!C1406)</f>
        <v/>
      </c>
      <c r="E1406" s="32" t="str">
        <f t="shared" si="1"/>
        <v/>
      </c>
      <c r="F1406" s="32" t="str">
        <f>IFERROR(__xludf.DUMMYFUNCTION("IF(C1406="""","""", OR(REGEXMATCH(LOWER(C1406),""cuota""), REGEXMATCH(C1406,""\d+\s*/\s*\d+"")))"),"")</f>
        <v/>
      </c>
      <c r="G1406" s="32" t="str">
        <f>IFERROR(__xludf.DUMMYFUNCTION("IFERROR(VALUE(REGEXEXTRACT(C1406,""(\d+)\s*/\s*\d+"")),"""")"),"")</f>
        <v/>
      </c>
      <c r="H1406" s="32" t="str">
        <f>IFERROR(__xludf.DUMMYFUNCTION("IFERROR(VALUE(REGEXEXTRACT(C1406,""\d+\s*/\s*(\d+)"")),"""")"),"")</f>
        <v/>
      </c>
      <c r="I1406" s="32" t="str">
        <f t="shared" si="2"/>
        <v/>
      </c>
      <c r="J1406" s="33" t="str">
        <f t="shared" si="3"/>
        <v/>
      </c>
    </row>
    <row r="1407" ht="15.75" customHeight="1">
      <c r="A1407" s="22" t="s">
        <v>113</v>
      </c>
      <c r="B1407" s="22" t="str">
        <f>IF(MOV_CC_NACIONAL!A1407="","",MOV_CC_NACIONAL!A1407)</f>
        <v/>
      </c>
      <c r="C1407" s="22" t="str">
        <f>IF(MOV_CC_NACIONAL!B1407="","",MOV_CC_NACIONAL!B1407)</f>
        <v/>
      </c>
      <c r="D1407" s="34" t="str">
        <f>IF(MOV_CC_NACIONAL!C1407="","",MOV_CC_NACIONAL!C1407)</f>
        <v/>
      </c>
      <c r="E1407" s="22" t="str">
        <f t="shared" si="1"/>
        <v/>
      </c>
      <c r="F1407" s="22" t="str">
        <f>IFERROR(__xludf.DUMMYFUNCTION("IF(C1407="""","""", OR(REGEXMATCH(LOWER(C1407),""cuota""), REGEXMATCH(C1407,""\d+\s*/\s*\d+"")))"),"")</f>
        <v/>
      </c>
      <c r="G1407" s="22" t="str">
        <f>IFERROR(__xludf.DUMMYFUNCTION("IFERROR(VALUE(REGEXEXTRACT(C1407,""(\d+)\s*/\s*\d+"")),"""")"),"")</f>
        <v/>
      </c>
      <c r="H1407" s="22" t="str">
        <f>IFERROR(__xludf.DUMMYFUNCTION("IFERROR(VALUE(REGEXEXTRACT(C1407,""\d+\s*/\s*(\d+)"")),"""")"),"")</f>
        <v/>
      </c>
      <c r="I1407" s="22" t="str">
        <f t="shared" si="2"/>
        <v/>
      </c>
      <c r="J1407" s="34" t="str">
        <f t="shared" si="3"/>
        <v/>
      </c>
    </row>
    <row r="1408" ht="15.75" customHeight="1">
      <c r="A1408" s="32" t="s">
        <v>113</v>
      </c>
      <c r="B1408" s="32" t="str">
        <f>IF(MOV_CC_NACIONAL!A1408="","",MOV_CC_NACIONAL!A1408)</f>
        <v/>
      </c>
      <c r="C1408" s="32" t="str">
        <f>IF(MOV_CC_NACIONAL!B1408="","",MOV_CC_NACIONAL!B1408)</f>
        <v/>
      </c>
      <c r="D1408" s="33" t="str">
        <f>IF(MOV_CC_NACIONAL!C1408="","",MOV_CC_NACIONAL!C1408)</f>
        <v/>
      </c>
      <c r="E1408" s="32" t="str">
        <f t="shared" si="1"/>
        <v/>
      </c>
      <c r="F1408" s="32" t="str">
        <f>IFERROR(__xludf.DUMMYFUNCTION("IF(C1408="""","""", OR(REGEXMATCH(LOWER(C1408),""cuota""), REGEXMATCH(C1408,""\d+\s*/\s*\d+"")))"),"")</f>
        <v/>
      </c>
      <c r="G1408" s="32" t="str">
        <f>IFERROR(__xludf.DUMMYFUNCTION("IFERROR(VALUE(REGEXEXTRACT(C1408,""(\d+)\s*/\s*\d+"")),"""")"),"")</f>
        <v/>
      </c>
      <c r="H1408" s="32" t="str">
        <f>IFERROR(__xludf.DUMMYFUNCTION("IFERROR(VALUE(REGEXEXTRACT(C1408,""\d+\s*/\s*(\d+)"")),"""")"),"")</f>
        <v/>
      </c>
      <c r="I1408" s="32" t="str">
        <f t="shared" si="2"/>
        <v/>
      </c>
      <c r="J1408" s="33" t="str">
        <f t="shared" si="3"/>
        <v/>
      </c>
    </row>
    <row r="1409" ht="15.75" customHeight="1">
      <c r="A1409" s="22" t="s">
        <v>113</v>
      </c>
      <c r="B1409" s="22" t="str">
        <f>IF(MOV_CC_NACIONAL!A1409="","",MOV_CC_NACIONAL!A1409)</f>
        <v/>
      </c>
      <c r="C1409" s="22" t="str">
        <f>IF(MOV_CC_NACIONAL!B1409="","",MOV_CC_NACIONAL!B1409)</f>
        <v/>
      </c>
      <c r="D1409" s="34" t="str">
        <f>IF(MOV_CC_NACIONAL!C1409="","",MOV_CC_NACIONAL!C1409)</f>
        <v/>
      </c>
      <c r="E1409" s="22" t="str">
        <f t="shared" si="1"/>
        <v/>
      </c>
      <c r="F1409" s="22" t="str">
        <f>IFERROR(__xludf.DUMMYFUNCTION("IF(C1409="""","""", OR(REGEXMATCH(LOWER(C1409),""cuota""), REGEXMATCH(C1409,""\d+\s*/\s*\d+"")))"),"")</f>
        <v/>
      </c>
      <c r="G1409" s="22" t="str">
        <f>IFERROR(__xludf.DUMMYFUNCTION("IFERROR(VALUE(REGEXEXTRACT(C1409,""(\d+)\s*/\s*\d+"")),"""")"),"")</f>
        <v/>
      </c>
      <c r="H1409" s="22" t="str">
        <f>IFERROR(__xludf.DUMMYFUNCTION("IFERROR(VALUE(REGEXEXTRACT(C1409,""\d+\s*/\s*(\d+)"")),"""")"),"")</f>
        <v/>
      </c>
      <c r="I1409" s="22" t="str">
        <f t="shared" si="2"/>
        <v/>
      </c>
      <c r="J1409" s="34" t="str">
        <f t="shared" si="3"/>
        <v/>
      </c>
    </row>
    <row r="1410" ht="15.75" customHeight="1">
      <c r="A1410" s="32" t="s">
        <v>113</v>
      </c>
      <c r="B1410" s="32" t="str">
        <f>IF(MOV_CC_NACIONAL!A1410="","",MOV_CC_NACIONAL!A1410)</f>
        <v/>
      </c>
      <c r="C1410" s="32" t="str">
        <f>IF(MOV_CC_NACIONAL!B1410="","",MOV_CC_NACIONAL!B1410)</f>
        <v/>
      </c>
      <c r="D1410" s="33" t="str">
        <f>IF(MOV_CC_NACIONAL!C1410="","",MOV_CC_NACIONAL!C1410)</f>
        <v/>
      </c>
      <c r="E1410" s="32" t="str">
        <f t="shared" si="1"/>
        <v/>
      </c>
      <c r="F1410" s="32" t="str">
        <f>IFERROR(__xludf.DUMMYFUNCTION("IF(C1410="""","""", OR(REGEXMATCH(LOWER(C1410),""cuota""), REGEXMATCH(C1410,""\d+\s*/\s*\d+"")))"),"")</f>
        <v/>
      </c>
      <c r="G1410" s="32" t="str">
        <f>IFERROR(__xludf.DUMMYFUNCTION("IFERROR(VALUE(REGEXEXTRACT(C1410,""(\d+)\s*/\s*\d+"")),"""")"),"")</f>
        <v/>
      </c>
      <c r="H1410" s="32" t="str">
        <f>IFERROR(__xludf.DUMMYFUNCTION("IFERROR(VALUE(REGEXEXTRACT(C1410,""\d+\s*/\s*(\d+)"")),"""")"),"")</f>
        <v/>
      </c>
      <c r="I1410" s="32" t="str">
        <f t="shared" si="2"/>
        <v/>
      </c>
      <c r="J1410" s="33" t="str">
        <f t="shared" si="3"/>
        <v/>
      </c>
    </row>
    <row r="1411" ht="15.75" customHeight="1">
      <c r="A1411" s="22" t="s">
        <v>113</v>
      </c>
      <c r="B1411" s="22" t="str">
        <f>IF(MOV_CC_NACIONAL!A1411="","",MOV_CC_NACIONAL!A1411)</f>
        <v/>
      </c>
      <c r="C1411" s="22" t="str">
        <f>IF(MOV_CC_NACIONAL!B1411="","",MOV_CC_NACIONAL!B1411)</f>
        <v/>
      </c>
      <c r="D1411" s="34" t="str">
        <f>IF(MOV_CC_NACIONAL!C1411="","",MOV_CC_NACIONAL!C1411)</f>
        <v/>
      </c>
      <c r="E1411" s="22" t="str">
        <f t="shared" si="1"/>
        <v/>
      </c>
      <c r="F1411" s="22" t="str">
        <f>IFERROR(__xludf.DUMMYFUNCTION("IF(C1411="""","""", OR(REGEXMATCH(LOWER(C1411),""cuota""), REGEXMATCH(C1411,""\d+\s*/\s*\d+"")))"),"")</f>
        <v/>
      </c>
      <c r="G1411" s="22" t="str">
        <f>IFERROR(__xludf.DUMMYFUNCTION("IFERROR(VALUE(REGEXEXTRACT(C1411,""(\d+)\s*/\s*\d+"")),"""")"),"")</f>
        <v/>
      </c>
      <c r="H1411" s="22" t="str">
        <f>IFERROR(__xludf.DUMMYFUNCTION("IFERROR(VALUE(REGEXEXTRACT(C1411,""\d+\s*/\s*(\d+)"")),"""")"),"")</f>
        <v/>
      </c>
      <c r="I1411" s="22" t="str">
        <f t="shared" si="2"/>
        <v/>
      </c>
      <c r="J1411" s="34" t="str">
        <f t="shared" si="3"/>
        <v/>
      </c>
    </row>
    <row r="1412" ht="15.75" customHeight="1">
      <c r="A1412" s="32" t="s">
        <v>113</v>
      </c>
      <c r="B1412" s="32" t="str">
        <f>IF(MOV_CC_NACIONAL!A1412="","",MOV_CC_NACIONAL!A1412)</f>
        <v/>
      </c>
      <c r="C1412" s="32" t="str">
        <f>IF(MOV_CC_NACIONAL!B1412="","",MOV_CC_NACIONAL!B1412)</f>
        <v/>
      </c>
      <c r="D1412" s="33" t="str">
        <f>IF(MOV_CC_NACIONAL!C1412="","",MOV_CC_NACIONAL!C1412)</f>
        <v/>
      </c>
      <c r="E1412" s="32" t="str">
        <f t="shared" si="1"/>
        <v/>
      </c>
      <c r="F1412" s="32" t="str">
        <f>IFERROR(__xludf.DUMMYFUNCTION("IF(C1412="""","""", OR(REGEXMATCH(LOWER(C1412),""cuota""), REGEXMATCH(C1412,""\d+\s*/\s*\d+"")))"),"")</f>
        <v/>
      </c>
      <c r="G1412" s="32" t="str">
        <f>IFERROR(__xludf.DUMMYFUNCTION("IFERROR(VALUE(REGEXEXTRACT(C1412,""(\d+)\s*/\s*\d+"")),"""")"),"")</f>
        <v/>
      </c>
      <c r="H1412" s="32" t="str">
        <f>IFERROR(__xludf.DUMMYFUNCTION("IFERROR(VALUE(REGEXEXTRACT(C1412,""\d+\s*/\s*(\d+)"")),"""")"),"")</f>
        <v/>
      </c>
      <c r="I1412" s="32" t="str">
        <f t="shared" si="2"/>
        <v/>
      </c>
      <c r="J1412" s="33" t="str">
        <f t="shared" si="3"/>
        <v/>
      </c>
    </row>
    <row r="1413" ht="15.75" customHeight="1">
      <c r="A1413" s="22" t="s">
        <v>113</v>
      </c>
      <c r="B1413" s="22" t="str">
        <f>IF(MOV_CC_NACIONAL!A1413="","",MOV_CC_NACIONAL!A1413)</f>
        <v/>
      </c>
      <c r="C1413" s="22" t="str">
        <f>IF(MOV_CC_NACIONAL!B1413="","",MOV_CC_NACIONAL!B1413)</f>
        <v/>
      </c>
      <c r="D1413" s="34" t="str">
        <f>IF(MOV_CC_NACIONAL!C1413="","",MOV_CC_NACIONAL!C1413)</f>
        <v/>
      </c>
      <c r="E1413" s="22" t="str">
        <f t="shared" si="1"/>
        <v/>
      </c>
      <c r="F1413" s="22" t="str">
        <f>IFERROR(__xludf.DUMMYFUNCTION("IF(C1413="""","""", OR(REGEXMATCH(LOWER(C1413),""cuota""), REGEXMATCH(C1413,""\d+\s*/\s*\d+"")))"),"")</f>
        <v/>
      </c>
      <c r="G1413" s="22" t="str">
        <f>IFERROR(__xludf.DUMMYFUNCTION("IFERROR(VALUE(REGEXEXTRACT(C1413,""(\d+)\s*/\s*\d+"")),"""")"),"")</f>
        <v/>
      </c>
      <c r="H1413" s="22" t="str">
        <f>IFERROR(__xludf.DUMMYFUNCTION("IFERROR(VALUE(REGEXEXTRACT(C1413,""\d+\s*/\s*(\d+)"")),"""")"),"")</f>
        <v/>
      </c>
      <c r="I1413" s="22" t="str">
        <f t="shared" si="2"/>
        <v/>
      </c>
      <c r="J1413" s="34" t="str">
        <f t="shared" si="3"/>
        <v/>
      </c>
    </row>
    <row r="1414" ht="15.75" customHeight="1">
      <c r="A1414" s="32" t="s">
        <v>113</v>
      </c>
      <c r="B1414" s="32" t="str">
        <f>IF(MOV_CC_NACIONAL!A1414="","",MOV_CC_NACIONAL!A1414)</f>
        <v/>
      </c>
      <c r="C1414" s="32" t="str">
        <f>IF(MOV_CC_NACIONAL!B1414="","",MOV_CC_NACIONAL!B1414)</f>
        <v/>
      </c>
      <c r="D1414" s="33" t="str">
        <f>IF(MOV_CC_NACIONAL!C1414="","",MOV_CC_NACIONAL!C1414)</f>
        <v/>
      </c>
      <c r="E1414" s="32" t="str">
        <f t="shared" si="1"/>
        <v/>
      </c>
      <c r="F1414" s="32" t="str">
        <f>IFERROR(__xludf.DUMMYFUNCTION("IF(C1414="""","""", OR(REGEXMATCH(LOWER(C1414),""cuota""), REGEXMATCH(C1414,""\d+\s*/\s*\d+"")))"),"")</f>
        <v/>
      </c>
      <c r="G1414" s="32" t="str">
        <f>IFERROR(__xludf.DUMMYFUNCTION("IFERROR(VALUE(REGEXEXTRACT(C1414,""(\d+)\s*/\s*\d+"")),"""")"),"")</f>
        <v/>
      </c>
      <c r="H1414" s="32" t="str">
        <f>IFERROR(__xludf.DUMMYFUNCTION("IFERROR(VALUE(REGEXEXTRACT(C1414,""\d+\s*/\s*(\d+)"")),"""")"),"")</f>
        <v/>
      </c>
      <c r="I1414" s="32" t="str">
        <f t="shared" si="2"/>
        <v/>
      </c>
      <c r="J1414" s="33" t="str">
        <f t="shared" si="3"/>
        <v/>
      </c>
    </row>
    <row r="1415" ht="15.75" customHeight="1">
      <c r="A1415" s="22" t="s">
        <v>113</v>
      </c>
      <c r="B1415" s="22" t="str">
        <f>IF(MOV_CC_NACIONAL!A1415="","",MOV_CC_NACIONAL!A1415)</f>
        <v/>
      </c>
      <c r="C1415" s="22" t="str">
        <f>IF(MOV_CC_NACIONAL!B1415="","",MOV_CC_NACIONAL!B1415)</f>
        <v/>
      </c>
      <c r="D1415" s="34" t="str">
        <f>IF(MOV_CC_NACIONAL!C1415="","",MOV_CC_NACIONAL!C1415)</f>
        <v/>
      </c>
      <c r="E1415" s="22" t="str">
        <f t="shared" si="1"/>
        <v/>
      </c>
      <c r="F1415" s="22" t="str">
        <f>IFERROR(__xludf.DUMMYFUNCTION("IF(C1415="""","""", OR(REGEXMATCH(LOWER(C1415),""cuota""), REGEXMATCH(C1415,""\d+\s*/\s*\d+"")))"),"")</f>
        <v/>
      </c>
      <c r="G1415" s="22" t="str">
        <f>IFERROR(__xludf.DUMMYFUNCTION("IFERROR(VALUE(REGEXEXTRACT(C1415,""(\d+)\s*/\s*\d+"")),"""")"),"")</f>
        <v/>
      </c>
      <c r="H1415" s="22" t="str">
        <f>IFERROR(__xludf.DUMMYFUNCTION("IFERROR(VALUE(REGEXEXTRACT(C1415,""\d+\s*/\s*(\d+)"")),"""")"),"")</f>
        <v/>
      </c>
      <c r="I1415" s="22" t="str">
        <f t="shared" si="2"/>
        <v/>
      </c>
      <c r="J1415" s="34" t="str">
        <f t="shared" si="3"/>
        <v/>
      </c>
    </row>
    <row r="1416" ht="15.75" customHeight="1">
      <c r="A1416" s="32" t="s">
        <v>113</v>
      </c>
      <c r="B1416" s="32" t="str">
        <f>IF(MOV_CC_NACIONAL!A1416="","",MOV_CC_NACIONAL!A1416)</f>
        <v/>
      </c>
      <c r="C1416" s="32" t="str">
        <f>IF(MOV_CC_NACIONAL!B1416="","",MOV_CC_NACIONAL!B1416)</f>
        <v/>
      </c>
      <c r="D1416" s="33" t="str">
        <f>IF(MOV_CC_NACIONAL!C1416="","",MOV_CC_NACIONAL!C1416)</f>
        <v/>
      </c>
      <c r="E1416" s="32" t="str">
        <f t="shared" si="1"/>
        <v/>
      </c>
      <c r="F1416" s="32" t="str">
        <f>IFERROR(__xludf.DUMMYFUNCTION("IF(C1416="""","""", OR(REGEXMATCH(LOWER(C1416),""cuota""), REGEXMATCH(C1416,""\d+\s*/\s*\d+"")))"),"")</f>
        <v/>
      </c>
      <c r="G1416" s="32" t="str">
        <f>IFERROR(__xludf.DUMMYFUNCTION("IFERROR(VALUE(REGEXEXTRACT(C1416,""(\d+)\s*/\s*\d+"")),"""")"),"")</f>
        <v/>
      </c>
      <c r="H1416" s="32" t="str">
        <f>IFERROR(__xludf.DUMMYFUNCTION("IFERROR(VALUE(REGEXEXTRACT(C1416,""\d+\s*/\s*(\d+)"")),"""")"),"")</f>
        <v/>
      </c>
      <c r="I1416" s="32" t="str">
        <f t="shared" si="2"/>
        <v/>
      </c>
      <c r="J1416" s="33" t="str">
        <f t="shared" si="3"/>
        <v/>
      </c>
    </row>
    <row r="1417" ht="15.75" customHeight="1">
      <c r="A1417" s="22" t="s">
        <v>113</v>
      </c>
      <c r="B1417" s="22" t="str">
        <f>IF(MOV_CC_NACIONAL!A1417="","",MOV_CC_NACIONAL!A1417)</f>
        <v/>
      </c>
      <c r="C1417" s="22" t="str">
        <f>IF(MOV_CC_NACIONAL!B1417="","",MOV_CC_NACIONAL!B1417)</f>
        <v/>
      </c>
      <c r="D1417" s="34" t="str">
        <f>IF(MOV_CC_NACIONAL!C1417="","",MOV_CC_NACIONAL!C1417)</f>
        <v/>
      </c>
      <c r="E1417" s="22" t="str">
        <f t="shared" si="1"/>
        <v/>
      </c>
      <c r="F1417" s="22" t="str">
        <f>IFERROR(__xludf.DUMMYFUNCTION("IF(C1417="""","""", OR(REGEXMATCH(LOWER(C1417),""cuota""), REGEXMATCH(C1417,""\d+\s*/\s*\d+"")))"),"")</f>
        <v/>
      </c>
      <c r="G1417" s="22" t="str">
        <f>IFERROR(__xludf.DUMMYFUNCTION("IFERROR(VALUE(REGEXEXTRACT(C1417,""(\d+)\s*/\s*\d+"")),"""")"),"")</f>
        <v/>
      </c>
      <c r="H1417" s="22" t="str">
        <f>IFERROR(__xludf.DUMMYFUNCTION("IFERROR(VALUE(REGEXEXTRACT(C1417,""\d+\s*/\s*(\d+)"")),"""")"),"")</f>
        <v/>
      </c>
      <c r="I1417" s="22" t="str">
        <f t="shared" si="2"/>
        <v/>
      </c>
      <c r="J1417" s="34" t="str">
        <f t="shared" si="3"/>
        <v/>
      </c>
    </row>
    <row r="1418" ht="15.75" customHeight="1">
      <c r="A1418" s="32" t="s">
        <v>113</v>
      </c>
      <c r="B1418" s="32" t="str">
        <f>IF(MOV_CC_NACIONAL!A1418="","",MOV_CC_NACIONAL!A1418)</f>
        <v/>
      </c>
      <c r="C1418" s="32" t="str">
        <f>IF(MOV_CC_NACIONAL!B1418="","",MOV_CC_NACIONAL!B1418)</f>
        <v/>
      </c>
      <c r="D1418" s="33" t="str">
        <f>IF(MOV_CC_NACIONAL!C1418="","",MOV_CC_NACIONAL!C1418)</f>
        <v/>
      </c>
      <c r="E1418" s="32" t="str">
        <f t="shared" si="1"/>
        <v/>
      </c>
      <c r="F1418" s="32" t="str">
        <f>IFERROR(__xludf.DUMMYFUNCTION("IF(C1418="""","""", OR(REGEXMATCH(LOWER(C1418),""cuota""), REGEXMATCH(C1418,""\d+\s*/\s*\d+"")))"),"")</f>
        <v/>
      </c>
      <c r="G1418" s="32" t="str">
        <f>IFERROR(__xludf.DUMMYFUNCTION("IFERROR(VALUE(REGEXEXTRACT(C1418,""(\d+)\s*/\s*\d+"")),"""")"),"")</f>
        <v/>
      </c>
      <c r="H1418" s="32" t="str">
        <f>IFERROR(__xludf.DUMMYFUNCTION("IFERROR(VALUE(REGEXEXTRACT(C1418,""\d+\s*/\s*(\d+)"")),"""")"),"")</f>
        <v/>
      </c>
      <c r="I1418" s="32" t="str">
        <f t="shared" si="2"/>
        <v/>
      </c>
      <c r="J1418" s="33" t="str">
        <f t="shared" si="3"/>
        <v/>
      </c>
    </row>
    <row r="1419" ht="15.75" customHeight="1">
      <c r="A1419" s="22" t="s">
        <v>113</v>
      </c>
      <c r="B1419" s="22" t="str">
        <f>IF(MOV_CC_NACIONAL!A1419="","",MOV_CC_NACIONAL!A1419)</f>
        <v/>
      </c>
      <c r="C1419" s="22" t="str">
        <f>IF(MOV_CC_NACIONAL!B1419="","",MOV_CC_NACIONAL!B1419)</f>
        <v/>
      </c>
      <c r="D1419" s="34" t="str">
        <f>IF(MOV_CC_NACIONAL!C1419="","",MOV_CC_NACIONAL!C1419)</f>
        <v/>
      </c>
      <c r="E1419" s="22" t="str">
        <f t="shared" si="1"/>
        <v/>
      </c>
      <c r="F1419" s="22" t="str">
        <f>IFERROR(__xludf.DUMMYFUNCTION("IF(C1419="""","""", OR(REGEXMATCH(LOWER(C1419),""cuota""), REGEXMATCH(C1419,""\d+\s*/\s*\d+"")))"),"")</f>
        <v/>
      </c>
      <c r="G1419" s="22" t="str">
        <f>IFERROR(__xludf.DUMMYFUNCTION("IFERROR(VALUE(REGEXEXTRACT(C1419,""(\d+)\s*/\s*\d+"")),"""")"),"")</f>
        <v/>
      </c>
      <c r="H1419" s="22" t="str">
        <f>IFERROR(__xludf.DUMMYFUNCTION("IFERROR(VALUE(REGEXEXTRACT(C1419,""\d+\s*/\s*(\d+)"")),"""")"),"")</f>
        <v/>
      </c>
      <c r="I1419" s="22" t="str">
        <f t="shared" si="2"/>
        <v/>
      </c>
      <c r="J1419" s="34" t="str">
        <f t="shared" si="3"/>
        <v/>
      </c>
    </row>
    <row r="1420" ht="15.75" customHeight="1">
      <c r="A1420" s="32" t="s">
        <v>113</v>
      </c>
      <c r="B1420" s="32" t="str">
        <f>IF(MOV_CC_NACIONAL!A1420="","",MOV_CC_NACIONAL!A1420)</f>
        <v/>
      </c>
      <c r="C1420" s="32" t="str">
        <f>IF(MOV_CC_NACIONAL!B1420="","",MOV_CC_NACIONAL!B1420)</f>
        <v/>
      </c>
      <c r="D1420" s="33" t="str">
        <f>IF(MOV_CC_NACIONAL!C1420="","",MOV_CC_NACIONAL!C1420)</f>
        <v/>
      </c>
      <c r="E1420" s="32" t="str">
        <f t="shared" si="1"/>
        <v/>
      </c>
      <c r="F1420" s="32" t="str">
        <f>IFERROR(__xludf.DUMMYFUNCTION("IF(C1420="""","""", OR(REGEXMATCH(LOWER(C1420),""cuota""), REGEXMATCH(C1420,""\d+\s*/\s*\d+"")))"),"")</f>
        <v/>
      </c>
      <c r="G1420" s="32" t="str">
        <f>IFERROR(__xludf.DUMMYFUNCTION("IFERROR(VALUE(REGEXEXTRACT(C1420,""(\d+)\s*/\s*\d+"")),"""")"),"")</f>
        <v/>
      </c>
      <c r="H1420" s="32" t="str">
        <f>IFERROR(__xludf.DUMMYFUNCTION("IFERROR(VALUE(REGEXEXTRACT(C1420,""\d+\s*/\s*(\d+)"")),"""")"),"")</f>
        <v/>
      </c>
      <c r="I1420" s="32" t="str">
        <f t="shared" si="2"/>
        <v/>
      </c>
      <c r="J1420" s="33" t="str">
        <f t="shared" si="3"/>
        <v/>
      </c>
    </row>
    <row r="1421" ht="15.75" customHeight="1">
      <c r="A1421" s="22" t="s">
        <v>113</v>
      </c>
      <c r="B1421" s="22" t="str">
        <f>IF(MOV_CC_NACIONAL!A1421="","",MOV_CC_NACIONAL!A1421)</f>
        <v/>
      </c>
      <c r="C1421" s="22" t="str">
        <f>IF(MOV_CC_NACIONAL!B1421="","",MOV_CC_NACIONAL!B1421)</f>
        <v/>
      </c>
      <c r="D1421" s="34" t="str">
        <f>IF(MOV_CC_NACIONAL!C1421="","",MOV_CC_NACIONAL!C1421)</f>
        <v/>
      </c>
      <c r="E1421" s="22" t="str">
        <f t="shared" si="1"/>
        <v/>
      </c>
      <c r="F1421" s="22" t="str">
        <f>IFERROR(__xludf.DUMMYFUNCTION("IF(C1421="""","""", OR(REGEXMATCH(LOWER(C1421),""cuota""), REGEXMATCH(C1421,""\d+\s*/\s*\d+"")))"),"")</f>
        <v/>
      </c>
      <c r="G1421" s="22" t="str">
        <f>IFERROR(__xludf.DUMMYFUNCTION("IFERROR(VALUE(REGEXEXTRACT(C1421,""(\d+)\s*/\s*\d+"")),"""")"),"")</f>
        <v/>
      </c>
      <c r="H1421" s="22" t="str">
        <f>IFERROR(__xludf.DUMMYFUNCTION("IFERROR(VALUE(REGEXEXTRACT(C1421,""\d+\s*/\s*(\d+)"")),"""")"),"")</f>
        <v/>
      </c>
      <c r="I1421" s="22" t="str">
        <f t="shared" si="2"/>
        <v/>
      </c>
      <c r="J1421" s="34" t="str">
        <f t="shared" si="3"/>
        <v/>
      </c>
    </row>
    <row r="1422" ht="15.75" customHeight="1">
      <c r="A1422" s="32" t="s">
        <v>113</v>
      </c>
      <c r="B1422" s="32" t="str">
        <f>IF(MOV_CC_NACIONAL!A1422="","",MOV_CC_NACIONAL!A1422)</f>
        <v/>
      </c>
      <c r="C1422" s="32" t="str">
        <f>IF(MOV_CC_NACIONAL!B1422="","",MOV_CC_NACIONAL!B1422)</f>
        <v/>
      </c>
      <c r="D1422" s="33" t="str">
        <f>IF(MOV_CC_NACIONAL!C1422="","",MOV_CC_NACIONAL!C1422)</f>
        <v/>
      </c>
      <c r="E1422" s="32" t="str">
        <f t="shared" si="1"/>
        <v/>
      </c>
      <c r="F1422" s="32" t="str">
        <f>IFERROR(__xludf.DUMMYFUNCTION("IF(C1422="""","""", OR(REGEXMATCH(LOWER(C1422),""cuota""), REGEXMATCH(C1422,""\d+\s*/\s*\d+"")))"),"")</f>
        <v/>
      </c>
      <c r="G1422" s="32" t="str">
        <f>IFERROR(__xludf.DUMMYFUNCTION("IFERROR(VALUE(REGEXEXTRACT(C1422,""(\d+)\s*/\s*\d+"")),"""")"),"")</f>
        <v/>
      </c>
      <c r="H1422" s="32" t="str">
        <f>IFERROR(__xludf.DUMMYFUNCTION("IFERROR(VALUE(REGEXEXTRACT(C1422,""\d+\s*/\s*(\d+)"")),"""")"),"")</f>
        <v/>
      </c>
      <c r="I1422" s="32" t="str">
        <f t="shared" si="2"/>
        <v/>
      </c>
      <c r="J1422" s="33" t="str">
        <f t="shared" si="3"/>
        <v/>
      </c>
    </row>
    <row r="1423" ht="15.75" customHeight="1">
      <c r="A1423" s="22" t="s">
        <v>113</v>
      </c>
      <c r="B1423" s="22" t="str">
        <f>IF(MOV_CC_NACIONAL!A1423="","",MOV_CC_NACIONAL!A1423)</f>
        <v/>
      </c>
      <c r="C1423" s="22" t="str">
        <f>IF(MOV_CC_NACIONAL!B1423="","",MOV_CC_NACIONAL!B1423)</f>
        <v/>
      </c>
      <c r="D1423" s="34" t="str">
        <f>IF(MOV_CC_NACIONAL!C1423="","",MOV_CC_NACIONAL!C1423)</f>
        <v/>
      </c>
      <c r="E1423" s="22" t="str">
        <f t="shared" si="1"/>
        <v/>
      </c>
      <c r="F1423" s="22" t="str">
        <f>IFERROR(__xludf.DUMMYFUNCTION("IF(C1423="""","""", OR(REGEXMATCH(LOWER(C1423),""cuota""), REGEXMATCH(C1423,""\d+\s*/\s*\d+"")))"),"")</f>
        <v/>
      </c>
      <c r="G1423" s="22" t="str">
        <f>IFERROR(__xludf.DUMMYFUNCTION("IFERROR(VALUE(REGEXEXTRACT(C1423,""(\d+)\s*/\s*\d+"")),"""")"),"")</f>
        <v/>
      </c>
      <c r="H1423" s="22" t="str">
        <f>IFERROR(__xludf.DUMMYFUNCTION("IFERROR(VALUE(REGEXEXTRACT(C1423,""\d+\s*/\s*(\d+)"")),"""")"),"")</f>
        <v/>
      </c>
      <c r="I1423" s="22" t="str">
        <f t="shared" si="2"/>
        <v/>
      </c>
      <c r="J1423" s="34" t="str">
        <f t="shared" si="3"/>
        <v/>
      </c>
    </row>
    <row r="1424" ht="15.75" customHeight="1">
      <c r="A1424" s="32" t="s">
        <v>113</v>
      </c>
      <c r="B1424" s="32" t="str">
        <f>IF(MOV_CC_NACIONAL!A1424="","",MOV_CC_NACIONAL!A1424)</f>
        <v/>
      </c>
      <c r="C1424" s="32" t="str">
        <f>IF(MOV_CC_NACIONAL!B1424="","",MOV_CC_NACIONAL!B1424)</f>
        <v/>
      </c>
      <c r="D1424" s="33" t="str">
        <f>IF(MOV_CC_NACIONAL!C1424="","",MOV_CC_NACIONAL!C1424)</f>
        <v/>
      </c>
      <c r="E1424" s="32" t="str">
        <f t="shared" si="1"/>
        <v/>
      </c>
      <c r="F1424" s="32" t="str">
        <f>IFERROR(__xludf.DUMMYFUNCTION("IF(C1424="""","""", OR(REGEXMATCH(LOWER(C1424),""cuota""), REGEXMATCH(C1424,""\d+\s*/\s*\d+"")))"),"")</f>
        <v/>
      </c>
      <c r="G1424" s="32" t="str">
        <f>IFERROR(__xludf.DUMMYFUNCTION("IFERROR(VALUE(REGEXEXTRACT(C1424,""(\d+)\s*/\s*\d+"")),"""")"),"")</f>
        <v/>
      </c>
      <c r="H1424" s="32" t="str">
        <f>IFERROR(__xludf.DUMMYFUNCTION("IFERROR(VALUE(REGEXEXTRACT(C1424,""\d+\s*/\s*(\d+)"")),"""")"),"")</f>
        <v/>
      </c>
      <c r="I1424" s="32" t="str">
        <f t="shared" si="2"/>
        <v/>
      </c>
      <c r="J1424" s="33" t="str">
        <f t="shared" si="3"/>
        <v/>
      </c>
    </row>
    <row r="1425" ht="15.75" customHeight="1">
      <c r="A1425" s="22" t="s">
        <v>113</v>
      </c>
      <c r="B1425" s="22" t="str">
        <f>IF(MOV_CC_NACIONAL!A1425="","",MOV_CC_NACIONAL!A1425)</f>
        <v/>
      </c>
      <c r="C1425" s="22" t="str">
        <f>IF(MOV_CC_NACIONAL!B1425="","",MOV_CC_NACIONAL!B1425)</f>
        <v/>
      </c>
      <c r="D1425" s="34" t="str">
        <f>IF(MOV_CC_NACIONAL!C1425="","",MOV_CC_NACIONAL!C1425)</f>
        <v/>
      </c>
      <c r="E1425" s="22" t="str">
        <f t="shared" si="1"/>
        <v/>
      </c>
      <c r="F1425" s="22" t="str">
        <f>IFERROR(__xludf.DUMMYFUNCTION("IF(C1425="""","""", OR(REGEXMATCH(LOWER(C1425),""cuota""), REGEXMATCH(C1425,""\d+\s*/\s*\d+"")))"),"")</f>
        <v/>
      </c>
      <c r="G1425" s="22" t="str">
        <f>IFERROR(__xludf.DUMMYFUNCTION("IFERROR(VALUE(REGEXEXTRACT(C1425,""(\d+)\s*/\s*\d+"")),"""")"),"")</f>
        <v/>
      </c>
      <c r="H1425" s="22" t="str">
        <f>IFERROR(__xludf.DUMMYFUNCTION("IFERROR(VALUE(REGEXEXTRACT(C1425,""\d+\s*/\s*(\d+)"")),"""")"),"")</f>
        <v/>
      </c>
      <c r="I1425" s="22" t="str">
        <f t="shared" si="2"/>
        <v/>
      </c>
      <c r="J1425" s="34" t="str">
        <f t="shared" si="3"/>
        <v/>
      </c>
    </row>
    <row r="1426" ht="15.75" customHeight="1">
      <c r="A1426" s="32" t="s">
        <v>113</v>
      </c>
      <c r="B1426" s="32" t="str">
        <f>IF(MOV_CC_NACIONAL!A1426="","",MOV_CC_NACIONAL!A1426)</f>
        <v/>
      </c>
      <c r="C1426" s="32" t="str">
        <f>IF(MOV_CC_NACIONAL!B1426="","",MOV_CC_NACIONAL!B1426)</f>
        <v/>
      </c>
      <c r="D1426" s="33" t="str">
        <f>IF(MOV_CC_NACIONAL!C1426="","",MOV_CC_NACIONAL!C1426)</f>
        <v/>
      </c>
      <c r="E1426" s="32" t="str">
        <f t="shared" si="1"/>
        <v/>
      </c>
      <c r="F1426" s="32" t="str">
        <f>IFERROR(__xludf.DUMMYFUNCTION("IF(C1426="""","""", OR(REGEXMATCH(LOWER(C1426),""cuota""), REGEXMATCH(C1426,""\d+\s*/\s*\d+"")))"),"")</f>
        <v/>
      </c>
      <c r="G1426" s="32" t="str">
        <f>IFERROR(__xludf.DUMMYFUNCTION("IFERROR(VALUE(REGEXEXTRACT(C1426,""(\d+)\s*/\s*\d+"")),"""")"),"")</f>
        <v/>
      </c>
      <c r="H1426" s="32" t="str">
        <f>IFERROR(__xludf.DUMMYFUNCTION("IFERROR(VALUE(REGEXEXTRACT(C1426,""\d+\s*/\s*(\d+)"")),"""")"),"")</f>
        <v/>
      </c>
      <c r="I1426" s="32" t="str">
        <f t="shared" si="2"/>
        <v/>
      </c>
      <c r="J1426" s="33" t="str">
        <f t="shared" si="3"/>
        <v/>
      </c>
    </row>
    <row r="1427" ht="15.75" customHeight="1">
      <c r="A1427" s="22" t="s">
        <v>113</v>
      </c>
      <c r="B1427" s="22" t="str">
        <f>IF(MOV_CC_NACIONAL!A1427="","",MOV_CC_NACIONAL!A1427)</f>
        <v/>
      </c>
      <c r="C1427" s="22" t="str">
        <f>IF(MOV_CC_NACIONAL!B1427="","",MOV_CC_NACIONAL!B1427)</f>
        <v/>
      </c>
      <c r="D1427" s="34" t="str">
        <f>IF(MOV_CC_NACIONAL!C1427="","",MOV_CC_NACIONAL!C1427)</f>
        <v/>
      </c>
      <c r="E1427" s="22" t="str">
        <f t="shared" si="1"/>
        <v/>
      </c>
      <c r="F1427" s="22" t="str">
        <f>IFERROR(__xludf.DUMMYFUNCTION("IF(C1427="""","""", OR(REGEXMATCH(LOWER(C1427),""cuota""), REGEXMATCH(C1427,""\d+\s*/\s*\d+"")))"),"")</f>
        <v/>
      </c>
      <c r="G1427" s="22" t="str">
        <f>IFERROR(__xludf.DUMMYFUNCTION("IFERROR(VALUE(REGEXEXTRACT(C1427,""(\d+)\s*/\s*\d+"")),"""")"),"")</f>
        <v/>
      </c>
      <c r="H1427" s="22" t="str">
        <f>IFERROR(__xludf.DUMMYFUNCTION("IFERROR(VALUE(REGEXEXTRACT(C1427,""\d+\s*/\s*(\d+)"")),"""")"),"")</f>
        <v/>
      </c>
      <c r="I1427" s="22" t="str">
        <f t="shared" si="2"/>
        <v/>
      </c>
      <c r="J1427" s="34" t="str">
        <f t="shared" si="3"/>
        <v/>
      </c>
    </row>
    <row r="1428" ht="15.75" customHeight="1">
      <c r="A1428" s="32" t="s">
        <v>113</v>
      </c>
      <c r="B1428" s="32" t="str">
        <f>IF(MOV_CC_NACIONAL!A1428="","",MOV_CC_NACIONAL!A1428)</f>
        <v/>
      </c>
      <c r="C1428" s="32" t="str">
        <f>IF(MOV_CC_NACIONAL!B1428="","",MOV_CC_NACIONAL!B1428)</f>
        <v/>
      </c>
      <c r="D1428" s="33" t="str">
        <f>IF(MOV_CC_NACIONAL!C1428="","",MOV_CC_NACIONAL!C1428)</f>
        <v/>
      </c>
      <c r="E1428" s="32" t="str">
        <f t="shared" si="1"/>
        <v/>
      </c>
      <c r="F1428" s="32" t="str">
        <f>IFERROR(__xludf.DUMMYFUNCTION("IF(C1428="""","""", OR(REGEXMATCH(LOWER(C1428),""cuota""), REGEXMATCH(C1428,""\d+\s*/\s*\d+"")))"),"")</f>
        <v/>
      </c>
      <c r="G1428" s="32" t="str">
        <f>IFERROR(__xludf.DUMMYFUNCTION("IFERROR(VALUE(REGEXEXTRACT(C1428,""(\d+)\s*/\s*\d+"")),"""")"),"")</f>
        <v/>
      </c>
      <c r="H1428" s="32" t="str">
        <f>IFERROR(__xludf.DUMMYFUNCTION("IFERROR(VALUE(REGEXEXTRACT(C1428,""\d+\s*/\s*(\d+)"")),"""")"),"")</f>
        <v/>
      </c>
      <c r="I1428" s="32" t="str">
        <f t="shared" si="2"/>
        <v/>
      </c>
      <c r="J1428" s="33" t="str">
        <f t="shared" si="3"/>
        <v/>
      </c>
    </row>
    <row r="1429" ht="15.75" customHeight="1">
      <c r="A1429" s="22" t="s">
        <v>113</v>
      </c>
      <c r="B1429" s="22" t="str">
        <f>IF(MOV_CC_NACIONAL!A1429="","",MOV_CC_NACIONAL!A1429)</f>
        <v/>
      </c>
      <c r="C1429" s="22" t="str">
        <f>IF(MOV_CC_NACIONAL!B1429="","",MOV_CC_NACIONAL!B1429)</f>
        <v/>
      </c>
      <c r="D1429" s="34" t="str">
        <f>IF(MOV_CC_NACIONAL!C1429="","",MOV_CC_NACIONAL!C1429)</f>
        <v/>
      </c>
      <c r="E1429" s="22" t="str">
        <f t="shared" si="1"/>
        <v/>
      </c>
      <c r="F1429" s="22" t="str">
        <f>IFERROR(__xludf.DUMMYFUNCTION("IF(C1429="""","""", OR(REGEXMATCH(LOWER(C1429),""cuota""), REGEXMATCH(C1429,""\d+\s*/\s*\d+"")))"),"")</f>
        <v/>
      </c>
      <c r="G1429" s="22" t="str">
        <f>IFERROR(__xludf.DUMMYFUNCTION("IFERROR(VALUE(REGEXEXTRACT(C1429,""(\d+)\s*/\s*\d+"")),"""")"),"")</f>
        <v/>
      </c>
      <c r="H1429" s="22" t="str">
        <f>IFERROR(__xludf.DUMMYFUNCTION("IFERROR(VALUE(REGEXEXTRACT(C1429,""\d+\s*/\s*(\d+)"")),"""")"),"")</f>
        <v/>
      </c>
      <c r="I1429" s="22" t="str">
        <f t="shared" si="2"/>
        <v/>
      </c>
      <c r="J1429" s="34" t="str">
        <f t="shared" si="3"/>
        <v/>
      </c>
    </row>
    <row r="1430" ht="15.75" customHeight="1">
      <c r="A1430" s="32" t="s">
        <v>113</v>
      </c>
      <c r="B1430" s="32" t="str">
        <f>IF(MOV_CC_NACIONAL!A1430="","",MOV_CC_NACIONAL!A1430)</f>
        <v/>
      </c>
      <c r="C1430" s="32" t="str">
        <f>IF(MOV_CC_NACIONAL!B1430="","",MOV_CC_NACIONAL!B1430)</f>
        <v/>
      </c>
      <c r="D1430" s="33" t="str">
        <f>IF(MOV_CC_NACIONAL!C1430="","",MOV_CC_NACIONAL!C1430)</f>
        <v/>
      </c>
      <c r="E1430" s="32" t="str">
        <f t="shared" si="1"/>
        <v/>
      </c>
      <c r="F1430" s="32" t="str">
        <f>IFERROR(__xludf.DUMMYFUNCTION("IF(C1430="""","""", OR(REGEXMATCH(LOWER(C1430),""cuota""), REGEXMATCH(C1430,""\d+\s*/\s*\d+"")))"),"")</f>
        <v/>
      </c>
      <c r="G1430" s="32" t="str">
        <f>IFERROR(__xludf.DUMMYFUNCTION("IFERROR(VALUE(REGEXEXTRACT(C1430,""(\d+)\s*/\s*\d+"")),"""")"),"")</f>
        <v/>
      </c>
      <c r="H1430" s="32" t="str">
        <f>IFERROR(__xludf.DUMMYFUNCTION("IFERROR(VALUE(REGEXEXTRACT(C1430,""\d+\s*/\s*(\d+)"")),"""")"),"")</f>
        <v/>
      </c>
      <c r="I1430" s="32" t="str">
        <f t="shared" si="2"/>
        <v/>
      </c>
      <c r="J1430" s="33" t="str">
        <f t="shared" si="3"/>
        <v/>
      </c>
    </row>
    <row r="1431" ht="15.75" customHeight="1">
      <c r="A1431" s="22" t="s">
        <v>113</v>
      </c>
      <c r="B1431" s="22" t="str">
        <f>IF(MOV_CC_NACIONAL!A1431="","",MOV_CC_NACIONAL!A1431)</f>
        <v/>
      </c>
      <c r="C1431" s="22" t="str">
        <f>IF(MOV_CC_NACIONAL!B1431="","",MOV_CC_NACIONAL!B1431)</f>
        <v/>
      </c>
      <c r="D1431" s="34" t="str">
        <f>IF(MOV_CC_NACIONAL!C1431="","",MOV_CC_NACIONAL!C1431)</f>
        <v/>
      </c>
      <c r="E1431" s="22" t="str">
        <f t="shared" si="1"/>
        <v/>
      </c>
      <c r="F1431" s="22" t="str">
        <f>IFERROR(__xludf.DUMMYFUNCTION("IF(C1431="""","""", OR(REGEXMATCH(LOWER(C1431),""cuota""), REGEXMATCH(C1431,""\d+\s*/\s*\d+"")))"),"")</f>
        <v/>
      </c>
      <c r="G1431" s="22" t="str">
        <f>IFERROR(__xludf.DUMMYFUNCTION("IFERROR(VALUE(REGEXEXTRACT(C1431,""(\d+)\s*/\s*\d+"")),"""")"),"")</f>
        <v/>
      </c>
      <c r="H1431" s="22" t="str">
        <f>IFERROR(__xludf.DUMMYFUNCTION("IFERROR(VALUE(REGEXEXTRACT(C1431,""\d+\s*/\s*(\d+)"")),"""")"),"")</f>
        <v/>
      </c>
      <c r="I1431" s="22" t="str">
        <f t="shared" si="2"/>
        <v/>
      </c>
      <c r="J1431" s="34" t="str">
        <f t="shared" si="3"/>
        <v/>
      </c>
    </row>
    <row r="1432" ht="15.75" customHeight="1">
      <c r="A1432" s="32" t="s">
        <v>113</v>
      </c>
      <c r="B1432" s="32" t="str">
        <f>IF(MOV_CC_NACIONAL!A1432="","",MOV_CC_NACIONAL!A1432)</f>
        <v/>
      </c>
      <c r="C1432" s="32" t="str">
        <f>IF(MOV_CC_NACIONAL!B1432="","",MOV_CC_NACIONAL!B1432)</f>
        <v/>
      </c>
      <c r="D1432" s="33" t="str">
        <f>IF(MOV_CC_NACIONAL!C1432="","",MOV_CC_NACIONAL!C1432)</f>
        <v/>
      </c>
      <c r="E1432" s="32" t="str">
        <f t="shared" si="1"/>
        <v/>
      </c>
      <c r="F1432" s="32" t="str">
        <f>IFERROR(__xludf.DUMMYFUNCTION("IF(C1432="""","""", OR(REGEXMATCH(LOWER(C1432),""cuota""), REGEXMATCH(C1432,""\d+\s*/\s*\d+"")))"),"")</f>
        <v/>
      </c>
      <c r="G1432" s="32" t="str">
        <f>IFERROR(__xludf.DUMMYFUNCTION("IFERROR(VALUE(REGEXEXTRACT(C1432,""(\d+)\s*/\s*\d+"")),"""")"),"")</f>
        <v/>
      </c>
      <c r="H1432" s="32" t="str">
        <f>IFERROR(__xludf.DUMMYFUNCTION("IFERROR(VALUE(REGEXEXTRACT(C1432,""\d+\s*/\s*(\d+)"")),"""")"),"")</f>
        <v/>
      </c>
      <c r="I1432" s="32" t="str">
        <f t="shared" si="2"/>
        <v/>
      </c>
      <c r="J1432" s="33" t="str">
        <f t="shared" si="3"/>
        <v/>
      </c>
    </row>
    <row r="1433" ht="15.75" customHeight="1">
      <c r="A1433" s="22" t="s">
        <v>113</v>
      </c>
      <c r="B1433" s="22" t="str">
        <f>IF(MOV_CC_NACIONAL!A1433="","",MOV_CC_NACIONAL!A1433)</f>
        <v/>
      </c>
      <c r="C1433" s="22" t="str">
        <f>IF(MOV_CC_NACIONAL!B1433="","",MOV_CC_NACIONAL!B1433)</f>
        <v/>
      </c>
      <c r="D1433" s="34" t="str">
        <f>IF(MOV_CC_NACIONAL!C1433="","",MOV_CC_NACIONAL!C1433)</f>
        <v/>
      </c>
      <c r="E1433" s="22" t="str">
        <f t="shared" si="1"/>
        <v/>
      </c>
      <c r="F1433" s="22" t="str">
        <f>IFERROR(__xludf.DUMMYFUNCTION("IF(C1433="""","""", OR(REGEXMATCH(LOWER(C1433),""cuota""), REGEXMATCH(C1433,""\d+\s*/\s*\d+"")))"),"")</f>
        <v/>
      </c>
      <c r="G1433" s="22" t="str">
        <f>IFERROR(__xludf.DUMMYFUNCTION("IFERROR(VALUE(REGEXEXTRACT(C1433,""(\d+)\s*/\s*\d+"")),"""")"),"")</f>
        <v/>
      </c>
      <c r="H1433" s="22" t="str">
        <f>IFERROR(__xludf.DUMMYFUNCTION("IFERROR(VALUE(REGEXEXTRACT(C1433,""\d+\s*/\s*(\d+)"")),"""")"),"")</f>
        <v/>
      </c>
      <c r="I1433" s="22" t="str">
        <f t="shared" si="2"/>
        <v/>
      </c>
      <c r="J1433" s="34" t="str">
        <f t="shared" si="3"/>
        <v/>
      </c>
    </row>
    <row r="1434" ht="15.75" customHeight="1">
      <c r="A1434" s="32" t="s">
        <v>113</v>
      </c>
      <c r="B1434" s="32" t="str">
        <f>IF(MOV_CC_NACIONAL!A1434="","",MOV_CC_NACIONAL!A1434)</f>
        <v/>
      </c>
      <c r="C1434" s="32" t="str">
        <f>IF(MOV_CC_NACIONAL!B1434="","",MOV_CC_NACIONAL!B1434)</f>
        <v/>
      </c>
      <c r="D1434" s="33" t="str">
        <f>IF(MOV_CC_NACIONAL!C1434="","",MOV_CC_NACIONAL!C1434)</f>
        <v/>
      </c>
      <c r="E1434" s="32" t="str">
        <f t="shared" si="1"/>
        <v/>
      </c>
      <c r="F1434" s="32" t="str">
        <f>IFERROR(__xludf.DUMMYFUNCTION("IF(C1434="""","""", OR(REGEXMATCH(LOWER(C1434),""cuota""), REGEXMATCH(C1434,""\d+\s*/\s*\d+"")))"),"")</f>
        <v/>
      </c>
      <c r="G1434" s="32" t="str">
        <f>IFERROR(__xludf.DUMMYFUNCTION("IFERROR(VALUE(REGEXEXTRACT(C1434,""(\d+)\s*/\s*\d+"")),"""")"),"")</f>
        <v/>
      </c>
      <c r="H1434" s="32" t="str">
        <f>IFERROR(__xludf.DUMMYFUNCTION("IFERROR(VALUE(REGEXEXTRACT(C1434,""\d+\s*/\s*(\d+)"")),"""")"),"")</f>
        <v/>
      </c>
      <c r="I1434" s="32" t="str">
        <f t="shared" si="2"/>
        <v/>
      </c>
      <c r="J1434" s="33" t="str">
        <f t="shared" si="3"/>
        <v/>
      </c>
    </row>
    <row r="1435" ht="15.75" customHeight="1">
      <c r="A1435" s="22" t="s">
        <v>113</v>
      </c>
      <c r="B1435" s="22" t="str">
        <f>IF(MOV_CC_NACIONAL!A1435="","",MOV_CC_NACIONAL!A1435)</f>
        <v/>
      </c>
      <c r="C1435" s="22" t="str">
        <f>IF(MOV_CC_NACIONAL!B1435="","",MOV_CC_NACIONAL!B1435)</f>
        <v/>
      </c>
      <c r="D1435" s="34" t="str">
        <f>IF(MOV_CC_NACIONAL!C1435="","",MOV_CC_NACIONAL!C1435)</f>
        <v/>
      </c>
      <c r="E1435" s="22" t="str">
        <f t="shared" si="1"/>
        <v/>
      </c>
      <c r="F1435" s="22" t="str">
        <f>IFERROR(__xludf.DUMMYFUNCTION("IF(C1435="""","""", OR(REGEXMATCH(LOWER(C1435),""cuota""), REGEXMATCH(C1435,""\d+\s*/\s*\d+"")))"),"")</f>
        <v/>
      </c>
      <c r="G1435" s="22" t="str">
        <f>IFERROR(__xludf.DUMMYFUNCTION("IFERROR(VALUE(REGEXEXTRACT(C1435,""(\d+)\s*/\s*\d+"")),"""")"),"")</f>
        <v/>
      </c>
      <c r="H1435" s="22" t="str">
        <f>IFERROR(__xludf.DUMMYFUNCTION("IFERROR(VALUE(REGEXEXTRACT(C1435,""\d+\s*/\s*(\d+)"")),"""")"),"")</f>
        <v/>
      </c>
      <c r="I1435" s="22" t="str">
        <f t="shared" si="2"/>
        <v/>
      </c>
      <c r="J1435" s="34" t="str">
        <f t="shared" si="3"/>
        <v/>
      </c>
    </row>
    <row r="1436" ht="15.75" customHeight="1">
      <c r="A1436" s="32" t="s">
        <v>113</v>
      </c>
      <c r="B1436" s="32" t="str">
        <f>IF(MOV_CC_NACIONAL!A1436="","",MOV_CC_NACIONAL!A1436)</f>
        <v/>
      </c>
      <c r="C1436" s="32" t="str">
        <f>IF(MOV_CC_NACIONAL!B1436="","",MOV_CC_NACIONAL!B1436)</f>
        <v/>
      </c>
      <c r="D1436" s="33" t="str">
        <f>IF(MOV_CC_NACIONAL!C1436="","",MOV_CC_NACIONAL!C1436)</f>
        <v/>
      </c>
      <c r="E1436" s="32" t="str">
        <f t="shared" si="1"/>
        <v/>
      </c>
      <c r="F1436" s="32" t="str">
        <f>IFERROR(__xludf.DUMMYFUNCTION("IF(C1436="""","""", OR(REGEXMATCH(LOWER(C1436),""cuota""), REGEXMATCH(C1436,""\d+\s*/\s*\d+"")))"),"")</f>
        <v/>
      </c>
      <c r="G1436" s="32" t="str">
        <f>IFERROR(__xludf.DUMMYFUNCTION("IFERROR(VALUE(REGEXEXTRACT(C1436,""(\d+)\s*/\s*\d+"")),"""")"),"")</f>
        <v/>
      </c>
      <c r="H1436" s="32" t="str">
        <f>IFERROR(__xludf.DUMMYFUNCTION("IFERROR(VALUE(REGEXEXTRACT(C1436,""\d+\s*/\s*(\d+)"")),"""")"),"")</f>
        <v/>
      </c>
      <c r="I1436" s="32" t="str">
        <f t="shared" si="2"/>
        <v/>
      </c>
      <c r="J1436" s="33" t="str">
        <f t="shared" si="3"/>
        <v/>
      </c>
    </row>
    <row r="1437" ht="15.75" customHeight="1">
      <c r="A1437" s="22" t="s">
        <v>113</v>
      </c>
      <c r="B1437" s="22" t="str">
        <f>IF(MOV_CC_NACIONAL!A1437="","",MOV_CC_NACIONAL!A1437)</f>
        <v/>
      </c>
      <c r="C1437" s="22" t="str">
        <f>IF(MOV_CC_NACIONAL!B1437="","",MOV_CC_NACIONAL!B1437)</f>
        <v/>
      </c>
      <c r="D1437" s="34" t="str">
        <f>IF(MOV_CC_NACIONAL!C1437="","",MOV_CC_NACIONAL!C1437)</f>
        <v/>
      </c>
      <c r="E1437" s="22" t="str">
        <f t="shared" si="1"/>
        <v/>
      </c>
      <c r="F1437" s="22" t="str">
        <f>IFERROR(__xludf.DUMMYFUNCTION("IF(C1437="""","""", OR(REGEXMATCH(LOWER(C1437),""cuota""), REGEXMATCH(C1437,""\d+\s*/\s*\d+"")))"),"")</f>
        <v/>
      </c>
      <c r="G1437" s="22" t="str">
        <f>IFERROR(__xludf.DUMMYFUNCTION("IFERROR(VALUE(REGEXEXTRACT(C1437,""(\d+)\s*/\s*\d+"")),"""")"),"")</f>
        <v/>
      </c>
      <c r="H1437" s="22" t="str">
        <f>IFERROR(__xludf.DUMMYFUNCTION("IFERROR(VALUE(REGEXEXTRACT(C1437,""\d+\s*/\s*(\d+)"")),"""")"),"")</f>
        <v/>
      </c>
      <c r="I1437" s="22" t="str">
        <f t="shared" si="2"/>
        <v/>
      </c>
      <c r="J1437" s="34" t="str">
        <f t="shared" si="3"/>
        <v/>
      </c>
    </row>
    <row r="1438" ht="15.75" customHeight="1">
      <c r="A1438" s="32" t="s">
        <v>113</v>
      </c>
      <c r="B1438" s="32" t="str">
        <f>IF(MOV_CC_NACIONAL!A1438="","",MOV_CC_NACIONAL!A1438)</f>
        <v/>
      </c>
      <c r="C1438" s="32" t="str">
        <f>IF(MOV_CC_NACIONAL!B1438="","",MOV_CC_NACIONAL!B1438)</f>
        <v/>
      </c>
      <c r="D1438" s="33" t="str">
        <f>IF(MOV_CC_NACIONAL!C1438="","",MOV_CC_NACIONAL!C1438)</f>
        <v/>
      </c>
      <c r="E1438" s="32" t="str">
        <f t="shared" si="1"/>
        <v/>
      </c>
      <c r="F1438" s="32" t="str">
        <f>IFERROR(__xludf.DUMMYFUNCTION("IF(C1438="""","""", OR(REGEXMATCH(LOWER(C1438),""cuota""), REGEXMATCH(C1438,""\d+\s*/\s*\d+"")))"),"")</f>
        <v/>
      </c>
      <c r="G1438" s="32" t="str">
        <f>IFERROR(__xludf.DUMMYFUNCTION("IFERROR(VALUE(REGEXEXTRACT(C1438,""(\d+)\s*/\s*\d+"")),"""")"),"")</f>
        <v/>
      </c>
      <c r="H1438" s="32" t="str">
        <f>IFERROR(__xludf.DUMMYFUNCTION("IFERROR(VALUE(REGEXEXTRACT(C1438,""\d+\s*/\s*(\d+)"")),"""")"),"")</f>
        <v/>
      </c>
      <c r="I1438" s="32" t="str">
        <f t="shared" si="2"/>
        <v/>
      </c>
      <c r="J1438" s="33" t="str">
        <f t="shared" si="3"/>
        <v/>
      </c>
    </row>
    <row r="1439" ht="15.75" customHeight="1">
      <c r="A1439" s="22" t="s">
        <v>113</v>
      </c>
      <c r="B1439" s="22" t="str">
        <f>IF(MOV_CC_NACIONAL!A1439="","",MOV_CC_NACIONAL!A1439)</f>
        <v/>
      </c>
      <c r="C1439" s="22" t="str">
        <f>IF(MOV_CC_NACIONAL!B1439="","",MOV_CC_NACIONAL!B1439)</f>
        <v/>
      </c>
      <c r="D1439" s="34" t="str">
        <f>IF(MOV_CC_NACIONAL!C1439="","",MOV_CC_NACIONAL!C1439)</f>
        <v/>
      </c>
      <c r="E1439" s="22" t="str">
        <f t="shared" si="1"/>
        <v/>
      </c>
      <c r="F1439" s="22" t="str">
        <f>IFERROR(__xludf.DUMMYFUNCTION("IF(C1439="""","""", OR(REGEXMATCH(LOWER(C1439),""cuota""), REGEXMATCH(C1439,""\d+\s*/\s*\d+"")))"),"")</f>
        <v/>
      </c>
      <c r="G1439" s="22" t="str">
        <f>IFERROR(__xludf.DUMMYFUNCTION("IFERROR(VALUE(REGEXEXTRACT(C1439,""(\d+)\s*/\s*\d+"")),"""")"),"")</f>
        <v/>
      </c>
      <c r="H1439" s="22" t="str">
        <f>IFERROR(__xludf.DUMMYFUNCTION("IFERROR(VALUE(REGEXEXTRACT(C1439,""\d+\s*/\s*(\d+)"")),"""")"),"")</f>
        <v/>
      </c>
      <c r="I1439" s="22" t="str">
        <f t="shared" si="2"/>
        <v/>
      </c>
      <c r="J1439" s="34" t="str">
        <f t="shared" si="3"/>
        <v/>
      </c>
    </row>
    <row r="1440" ht="15.75" customHeight="1">
      <c r="A1440" s="32" t="s">
        <v>113</v>
      </c>
      <c r="B1440" s="32" t="str">
        <f>IF(MOV_CC_NACIONAL!A1440="","",MOV_CC_NACIONAL!A1440)</f>
        <v/>
      </c>
      <c r="C1440" s="32" t="str">
        <f>IF(MOV_CC_NACIONAL!B1440="","",MOV_CC_NACIONAL!B1440)</f>
        <v/>
      </c>
      <c r="D1440" s="33" t="str">
        <f>IF(MOV_CC_NACIONAL!C1440="","",MOV_CC_NACIONAL!C1440)</f>
        <v/>
      </c>
      <c r="E1440" s="32" t="str">
        <f t="shared" si="1"/>
        <v/>
      </c>
      <c r="F1440" s="32" t="str">
        <f>IFERROR(__xludf.DUMMYFUNCTION("IF(C1440="""","""", OR(REGEXMATCH(LOWER(C1440),""cuota""), REGEXMATCH(C1440,""\d+\s*/\s*\d+"")))"),"")</f>
        <v/>
      </c>
      <c r="G1440" s="32" t="str">
        <f>IFERROR(__xludf.DUMMYFUNCTION("IFERROR(VALUE(REGEXEXTRACT(C1440,""(\d+)\s*/\s*\d+"")),"""")"),"")</f>
        <v/>
      </c>
      <c r="H1440" s="32" t="str">
        <f>IFERROR(__xludf.DUMMYFUNCTION("IFERROR(VALUE(REGEXEXTRACT(C1440,""\d+\s*/\s*(\d+)"")),"""")"),"")</f>
        <v/>
      </c>
      <c r="I1440" s="32" t="str">
        <f t="shared" si="2"/>
        <v/>
      </c>
      <c r="J1440" s="33" t="str">
        <f t="shared" si="3"/>
        <v/>
      </c>
    </row>
    <row r="1441" ht="15.75" customHeight="1">
      <c r="A1441" s="22" t="s">
        <v>113</v>
      </c>
      <c r="B1441" s="22" t="str">
        <f>IF(MOV_CC_NACIONAL!A1441="","",MOV_CC_NACIONAL!A1441)</f>
        <v/>
      </c>
      <c r="C1441" s="22" t="str">
        <f>IF(MOV_CC_NACIONAL!B1441="","",MOV_CC_NACIONAL!B1441)</f>
        <v/>
      </c>
      <c r="D1441" s="34" t="str">
        <f>IF(MOV_CC_NACIONAL!C1441="","",MOV_CC_NACIONAL!C1441)</f>
        <v/>
      </c>
      <c r="E1441" s="22" t="str">
        <f t="shared" si="1"/>
        <v/>
      </c>
      <c r="F1441" s="22" t="str">
        <f>IFERROR(__xludf.DUMMYFUNCTION("IF(C1441="""","""", OR(REGEXMATCH(LOWER(C1441),""cuota""), REGEXMATCH(C1441,""\d+\s*/\s*\d+"")))"),"")</f>
        <v/>
      </c>
      <c r="G1441" s="22" t="str">
        <f>IFERROR(__xludf.DUMMYFUNCTION("IFERROR(VALUE(REGEXEXTRACT(C1441,""(\d+)\s*/\s*\d+"")),"""")"),"")</f>
        <v/>
      </c>
      <c r="H1441" s="22" t="str">
        <f>IFERROR(__xludf.DUMMYFUNCTION("IFERROR(VALUE(REGEXEXTRACT(C1441,""\d+\s*/\s*(\d+)"")),"""")"),"")</f>
        <v/>
      </c>
      <c r="I1441" s="22" t="str">
        <f t="shared" si="2"/>
        <v/>
      </c>
      <c r="J1441" s="34" t="str">
        <f t="shared" si="3"/>
        <v/>
      </c>
    </row>
    <row r="1442" ht="15.75" customHeight="1">
      <c r="A1442" s="32" t="s">
        <v>113</v>
      </c>
      <c r="B1442" s="32" t="str">
        <f>IF(MOV_CC_NACIONAL!A1442="","",MOV_CC_NACIONAL!A1442)</f>
        <v/>
      </c>
      <c r="C1442" s="32" t="str">
        <f>IF(MOV_CC_NACIONAL!B1442="","",MOV_CC_NACIONAL!B1442)</f>
        <v/>
      </c>
      <c r="D1442" s="33" t="str">
        <f>IF(MOV_CC_NACIONAL!C1442="","",MOV_CC_NACIONAL!C1442)</f>
        <v/>
      </c>
      <c r="E1442" s="32" t="str">
        <f t="shared" si="1"/>
        <v/>
      </c>
      <c r="F1442" s="32" t="str">
        <f>IFERROR(__xludf.DUMMYFUNCTION("IF(C1442="""","""", OR(REGEXMATCH(LOWER(C1442),""cuota""), REGEXMATCH(C1442,""\d+\s*/\s*\d+"")))"),"")</f>
        <v/>
      </c>
      <c r="G1442" s="32" t="str">
        <f>IFERROR(__xludf.DUMMYFUNCTION("IFERROR(VALUE(REGEXEXTRACT(C1442,""(\d+)\s*/\s*\d+"")),"""")"),"")</f>
        <v/>
      </c>
      <c r="H1442" s="32" t="str">
        <f>IFERROR(__xludf.DUMMYFUNCTION("IFERROR(VALUE(REGEXEXTRACT(C1442,""\d+\s*/\s*(\d+)"")),"""")"),"")</f>
        <v/>
      </c>
      <c r="I1442" s="32" t="str">
        <f t="shared" si="2"/>
        <v/>
      </c>
      <c r="J1442" s="33" t="str">
        <f t="shared" si="3"/>
        <v/>
      </c>
    </row>
    <row r="1443" ht="15.75" customHeight="1">
      <c r="A1443" s="22" t="s">
        <v>113</v>
      </c>
      <c r="B1443" s="22" t="str">
        <f>IF(MOV_CC_NACIONAL!A1443="","",MOV_CC_NACIONAL!A1443)</f>
        <v/>
      </c>
      <c r="C1443" s="22" t="str">
        <f>IF(MOV_CC_NACIONAL!B1443="","",MOV_CC_NACIONAL!B1443)</f>
        <v/>
      </c>
      <c r="D1443" s="34" t="str">
        <f>IF(MOV_CC_NACIONAL!C1443="","",MOV_CC_NACIONAL!C1443)</f>
        <v/>
      </c>
      <c r="E1443" s="22" t="str">
        <f t="shared" si="1"/>
        <v/>
      </c>
      <c r="F1443" s="22" t="str">
        <f>IFERROR(__xludf.DUMMYFUNCTION("IF(C1443="""","""", OR(REGEXMATCH(LOWER(C1443),""cuota""), REGEXMATCH(C1443,""\d+\s*/\s*\d+"")))"),"")</f>
        <v/>
      </c>
      <c r="G1443" s="22" t="str">
        <f>IFERROR(__xludf.DUMMYFUNCTION("IFERROR(VALUE(REGEXEXTRACT(C1443,""(\d+)\s*/\s*\d+"")),"""")"),"")</f>
        <v/>
      </c>
      <c r="H1443" s="22" t="str">
        <f>IFERROR(__xludf.DUMMYFUNCTION("IFERROR(VALUE(REGEXEXTRACT(C1443,""\d+\s*/\s*(\d+)"")),"""")"),"")</f>
        <v/>
      </c>
      <c r="I1443" s="22" t="str">
        <f t="shared" si="2"/>
        <v/>
      </c>
      <c r="J1443" s="34" t="str">
        <f t="shared" si="3"/>
        <v/>
      </c>
    </row>
    <row r="1444" ht="15.75" customHeight="1">
      <c r="A1444" s="32" t="s">
        <v>113</v>
      </c>
      <c r="B1444" s="32" t="str">
        <f>IF(MOV_CC_NACIONAL!A1444="","",MOV_CC_NACIONAL!A1444)</f>
        <v/>
      </c>
      <c r="C1444" s="32" t="str">
        <f>IF(MOV_CC_NACIONAL!B1444="","",MOV_CC_NACIONAL!B1444)</f>
        <v/>
      </c>
      <c r="D1444" s="33" t="str">
        <f>IF(MOV_CC_NACIONAL!C1444="","",MOV_CC_NACIONAL!C1444)</f>
        <v/>
      </c>
      <c r="E1444" s="32" t="str">
        <f t="shared" si="1"/>
        <v/>
      </c>
      <c r="F1444" s="32" t="str">
        <f>IFERROR(__xludf.DUMMYFUNCTION("IF(C1444="""","""", OR(REGEXMATCH(LOWER(C1444),""cuota""), REGEXMATCH(C1444,""\d+\s*/\s*\d+"")))"),"")</f>
        <v/>
      </c>
      <c r="G1444" s="32" t="str">
        <f>IFERROR(__xludf.DUMMYFUNCTION("IFERROR(VALUE(REGEXEXTRACT(C1444,""(\d+)\s*/\s*\d+"")),"""")"),"")</f>
        <v/>
      </c>
      <c r="H1444" s="32" t="str">
        <f>IFERROR(__xludf.DUMMYFUNCTION("IFERROR(VALUE(REGEXEXTRACT(C1444,""\d+\s*/\s*(\d+)"")),"""")"),"")</f>
        <v/>
      </c>
      <c r="I1444" s="32" t="str">
        <f t="shared" si="2"/>
        <v/>
      </c>
      <c r="J1444" s="33" t="str">
        <f t="shared" si="3"/>
        <v/>
      </c>
    </row>
    <row r="1445" ht="15.75" customHeight="1">
      <c r="A1445" s="22" t="s">
        <v>113</v>
      </c>
      <c r="B1445" s="22" t="str">
        <f>IF(MOV_CC_NACIONAL!A1445="","",MOV_CC_NACIONAL!A1445)</f>
        <v/>
      </c>
      <c r="C1445" s="22" t="str">
        <f>IF(MOV_CC_NACIONAL!B1445="","",MOV_CC_NACIONAL!B1445)</f>
        <v/>
      </c>
      <c r="D1445" s="34" t="str">
        <f>IF(MOV_CC_NACIONAL!C1445="","",MOV_CC_NACIONAL!C1445)</f>
        <v/>
      </c>
      <c r="E1445" s="22" t="str">
        <f t="shared" si="1"/>
        <v/>
      </c>
      <c r="F1445" s="22" t="str">
        <f>IFERROR(__xludf.DUMMYFUNCTION("IF(C1445="""","""", OR(REGEXMATCH(LOWER(C1445),""cuota""), REGEXMATCH(C1445,""\d+\s*/\s*\d+"")))"),"")</f>
        <v/>
      </c>
      <c r="G1445" s="22" t="str">
        <f>IFERROR(__xludf.DUMMYFUNCTION("IFERROR(VALUE(REGEXEXTRACT(C1445,""(\d+)\s*/\s*\d+"")),"""")"),"")</f>
        <v/>
      </c>
      <c r="H1445" s="22" t="str">
        <f>IFERROR(__xludf.DUMMYFUNCTION("IFERROR(VALUE(REGEXEXTRACT(C1445,""\d+\s*/\s*(\d+)"")),"""")"),"")</f>
        <v/>
      </c>
      <c r="I1445" s="22" t="str">
        <f t="shared" si="2"/>
        <v/>
      </c>
      <c r="J1445" s="34" t="str">
        <f t="shared" si="3"/>
        <v/>
      </c>
    </row>
    <row r="1446" ht="15.75" customHeight="1">
      <c r="A1446" s="32" t="s">
        <v>113</v>
      </c>
      <c r="B1446" s="32" t="str">
        <f>IF(MOV_CC_NACIONAL!A1446="","",MOV_CC_NACIONAL!A1446)</f>
        <v/>
      </c>
      <c r="C1446" s="32" t="str">
        <f>IF(MOV_CC_NACIONAL!B1446="","",MOV_CC_NACIONAL!B1446)</f>
        <v/>
      </c>
      <c r="D1446" s="33" t="str">
        <f>IF(MOV_CC_NACIONAL!C1446="","",MOV_CC_NACIONAL!C1446)</f>
        <v/>
      </c>
      <c r="E1446" s="32" t="str">
        <f t="shared" si="1"/>
        <v/>
      </c>
      <c r="F1446" s="32" t="str">
        <f>IFERROR(__xludf.DUMMYFUNCTION("IF(C1446="""","""", OR(REGEXMATCH(LOWER(C1446),""cuota""), REGEXMATCH(C1446,""\d+\s*/\s*\d+"")))"),"")</f>
        <v/>
      </c>
      <c r="G1446" s="32" t="str">
        <f>IFERROR(__xludf.DUMMYFUNCTION("IFERROR(VALUE(REGEXEXTRACT(C1446,""(\d+)\s*/\s*\d+"")),"""")"),"")</f>
        <v/>
      </c>
      <c r="H1446" s="32" t="str">
        <f>IFERROR(__xludf.DUMMYFUNCTION("IFERROR(VALUE(REGEXEXTRACT(C1446,""\d+\s*/\s*(\d+)"")),"""")"),"")</f>
        <v/>
      </c>
      <c r="I1446" s="32" t="str">
        <f t="shared" si="2"/>
        <v/>
      </c>
      <c r="J1446" s="33" t="str">
        <f t="shared" si="3"/>
        <v/>
      </c>
    </row>
    <row r="1447" ht="15.75" customHeight="1">
      <c r="A1447" s="22" t="s">
        <v>113</v>
      </c>
      <c r="B1447" s="22" t="str">
        <f>IF(MOV_CC_NACIONAL!A1447="","",MOV_CC_NACIONAL!A1447)</f>
        <v/>
      </c>
      <c r="C1447" s="22" t="str">
        <f>IF(MOV_CC_NACIONAL!B1447="","",MOV_CC_NACIONAL!B1447)</f>
        <v/>
      </c>
      <c r="D1447" s="34" t="str">
        <f>IF(MOV_CC_NACIONAL!C1447="","",MOV_CC_NACIONAL!C1447)</f>
        <v/>
      </c>
      <c r="E1447" s="22" t="str">
        <f t="shared" si="1"/>
        <v/>
      </c>
      <c r="F1447" s="22" t="str">
        <f>IFERROR(__xludf.DUMMYFUNCTION("IF(C1447="""","""", OR(REGEXMATCH(LOWER(C1447),""cuota""), REGEXMATCH(C1447,""\d+\s*/\s*\d+"")))"),"")</f>
        <v/>
      </c>
      <c r="G1447" s="22" t="str">
        <f>IFERROR(__xludf.DUMMYFUNCTION("IFERROR(VALUE(REGEXEXTRACT(C1447,""(\d+)\s*/\s*\d+"")),"""")"),"")</f>
        <v/>
      </c>
      <c r="H1447" s="22" t="str">
        <f>IFERROR(__xludf.DUMMYFUNCTION("IFERROR(VALUE(REGEXEXTRACT(C1447,""\d+\s*/\s*(\d+)"")),"""")"),"")</f>
        <v/>
      </c>
      <c r="I1447" s="22" t="str">
        <f t="shared" si="2"/>
        <v/>
      </c>
      <c r="J1447" s="34" t="str">
        <f t="shared" si="3"/>
        <v/>
      </c>
    </row>
    <row r="1448" ht="15.75" customHeight="1">
      <c r="A1448" s="32" t="s">
        <v>113</v>
      </c>
      <c r="B1448" s="32" t="str">
        <f>IF(MOV_CC_NACIONAL!A1448="","",MOV_CC_NACIONAL!A1448)</f>
        <v/>
      </c>
      <c r="C1448" s="32" t="str">
        <f>IF(MOV_CC_NACIONAL!B1448="","",MOV_CC_NACIONAL!B1448)</f>
        <v/>
      </c>
      <c r="D1448" s="33" t="str">
        <f>IF(MOV_CC_NACIONAL!C1448="","",MOV_CC_NACIONAL!C1448)</f>
        <v/>
      </c>
      <c r="E1448" s="32" t="str">
        <f t="shared" si="1"/>
        <v/>
      </c>
      <c r="F1448" s="32" t="str">
        <f>IFERROR(__xludf.DUMMYFUNCTION("IF(C1448="""","""", OR(REGEXMATCH(LOWER(C1448),""cuota""), REGEXMATCH(C1448,""\d+\s*/\s*\d+"")))"),"")</f>
        <v/>
      </c>
      <c r="G1448" s="32" t="str">
        <f>IFERROR(__xludf.DUMMYFUNCTION("IFERROR(VALUE(REGEXEXTRACT(C1448,""(\d+)\s*/\s*\d+"")),"""")"),"")</f>
        <v/>
      </c>
      <c r="H1448" s="32" t="str">
        <f>IFERROR(__xludf.DUMMYFUNCTION("IFERROR(VALUE(REGEXEXTRACT(C1448,""\d+\s*/\s*(\d+)"")),"""")"),"")</f>
        <v/>
      </c>
      <c r="I1448" s="32" t="str">
        <f t="shared" si="2"/>
        <v/>
      </c>
      <c r="J1448" s="33" t="str">
        <f t="shared" si="3"/>
        <v/>
      </c>
    </row>
    <row r="1449" ht="15.75" customHeight="1">
      <c r="A1449" s="22" t="s">
        <v>113</v>
      </c>
      <c r="B1449" s="22" t="str">
        <f>IF(MOV_CC_NACIONAL!A1449="","",MOV_CC_NACIONAL!A1449)</f>
        <v/>
      </c>
      <c r="C1449" s="22" t="str">
        <f>IF(MOV_CC_NACIONAL!B1449="","",MOV_CC_NACIONAL!B1449)</f>
        <v/>
      </c>
      <c r="D1449" s="34" t="str">
        <f>IF(MOV_CC_NACIONAL!C1449="","",MOV_CC_NACIONAL!C1449)</f>
        <v/>
      </c>
      <c r="E1449" s="22" t="str">
        <f t="shared" si="1"/>
        <v/>
      </c>
      <c r="F1449" s="22" t="str">
        <f>IFERROR(__xludf.DUMMYFUNCTION("IF(C1449="""","""", OR(REGEXMATCH(LOWER(C1449),""cuota""), REGEXMATCH(C1449,""\d+\s*/\s*\d+"")))"),"")</f>
        <v/>
      </c>
      <c r="G1449" s="22" t="str">
        <f>IFERROR(__xludf.DUMMYFUNCTION("IFERROR(VALUE(REGEXEXTRACT(C1449,""(\d+)\s*/\s*\d+"")),"""")"),"")</f>
        <v/>
      </c>
      <c r="H1449" s="22" t="str">
        <f>IFERROR(__xludf.DUMMYFUNCTION("IFERROR(VALUE(REGEXEXTRACT(C1449,""\d+\s*/\s*(\d+)"")),"""")"),"")</f>
        <v/>
      </c>
      <c r="I1449" s="22" t="str">
        <f t="shared" si="2"/>
        <v/>
      </c>
      <c r="J1449" s="34" t="str">
        <f t="shared" si="3"/>
        <v/>
      </c>
    </row>
    <row r="1450" ht="15.75" customHeight="1">
      <c r="A1450" s="32" t="s">
        <v>113</v>
      </c>
      <c r="B1450" s="32" t="str">
        <f>IF(MOV_CC_NACIONAL!A1450="","",MOV_CC_NACIONAL!A1450)</f>
        <v/>
      </c>
      <c r="C1450" s="32" t="str">
        <f>IF(MOV_CC_NACIONAL!B1450="","",MOV_CC_NACIONAL!B1450)</f>
        <v/>
      </c>
      <c r="D1450" s="33" t="str">
        <f>IF(MOV_CC_NACIONAL!C1450="","",MOV_CC_NACIONAL!C1450)</f>
        <v/>
      </c>
      <c r="E1450" s="32" t="str">
        <f t="shared" si="1"/>
        <v/>
      </c>
      <c r="F1450" s="32" t="str">
        <f>IFERROR(__xludf.DUMMYFUNCTION("IF(C1450="""","""", OR(REGEXMATCH(LOWER(C1450),""cuota""), REGEXMATCH(C1450,""\d+\s*/\s*\d+"")))"),"")</f>
        <v/>
      </c>
      <c r="G1450" s="32" t="str">
        <f>IFERROR(__xludf.DUMMYFUNCTION("IFERROR(VALUE(REGEXEXTRACT(C1450,""(\d+)\s*/\s*\d+"")),"""")"),"")</f>
        <v/>
      </c>
      <c r="H1450" s="32" t="str">
        <f>IFERROR(__xludf.DUMMYFUNCTION("IFERROR(VALUE(REGEXEXTRACT(C1450,""\d+\s*/\s*(\d+)"")),"""")"),"")</f>
        <v/>
      </c>
      <c r="I1450" s="32" t="str">
        <f t="shared" si="2"/>
        <v/>
      </c>
      <c r="J1450" s="33" t="str">
        <f t="shared" si="3"/>
        <v/>
      </c>
    </row>
    <row r="1451" ht="15.75" customHeight="1">
      <c r="A1451" s="22" t="s">
        <v>113</v>
      </c>
      <c r="B1451" s="22" t="str">
        <f>IF(MOV_CC_NACIONAL!A1451="","",MOV_CC_NACIONAL!A1451)</f>
        <v/>
      </c>
      <c r="C1451" s="22" t="str">
        <f>IF(MOV_CC_NACIONAL!B1451="","",MOV_CC_NACIONAL!B1451)</f>
        <v/>
      </c>
      <c r="D1451" s="34" t="str">
        <f>IF(MOV_CC_NACIONAL!C1451="","",MOV_CC_NACIONAL!C1451)</f>
        <v/>
      </c>
      <c r="E1451" s="22" t="str">
        <f t="shared" si="1"/>
        <v/>
      </c>
      <c r="F1451" s="22" t="str">
        <f>IFERROR(__xludf.DUMMYFUNCTION("IF(C1451="""","""", OR(REGEXMATCH(LOWER(C1451),""cuota""), REGEXMATCH(C1451,""\d+\s*/\s*\d+"")))"),"")</f>
        <v/>
      </c>
      <c r="G1451" s="22" t="str">
        <f>IFERROR(__xludf.DUMMYFUNCTION("IFERROR(VALUE(REGEXEXTRACT(C1451,""(\d+)\s*/\s*\d+"")),"""")"),"")</f>
        <v/>
      </c>
      <c r="H1451" s="22" t="str">
        <f>IFERROR(__xludf.DUMMYFUNCTION("IFERROR(VALUE(REGEXEXTRACT(C1451,""\d+\s*/\s*(\d+)"")),"""")"),"")</f>
        <v/>
      </c>
      <c r="I1451" s="22" t="str">
        <f t="shared" si="2"/>
        <v/>
      </c>
      <c r="J1451" s="34" t="str">
        <f t="shared" si="3"/>
        <v/>
      </c>
    </row>
    <row r="1452" ht="15.75" customHeight="1">
      <c r="A1452" s="32" t="s">
        <v>113</v>
      </c>
      <c r="B1452" s="32" t="str">
        <f>IF(MOV_CC_NACIONAL!A1452="","",MOV_CC_NACIONAL!A1452)</f>
        <v/>
      </c>
      <c r="C1452" s="32" t="str">
        <f>IF(MOV_CC_NACIONAL!B1452="","",MOV_CC_NACIONAL!B1452)</f>
        <v/>
      </c>
      <c r="D1452" s="33" t="str">
        <f>IF(MOV_CC_NACIONAL!C1452="","",MOV_CC_NACIONAL!C1452)</f>
        <v/>
      </c>
      <c r="E1452" s="32" t="str">
        <f t="shared" si="1"/>
        <v/>
      </c>
      <c r="F1452" s="32" t="str">
        <f>IFERROR(__xludf.DUMMYFUNCTION("IF(C1452="""","""", OR(REGEXMATCH(LOWER(C1452),""cuota""), REGEXMATCH(C1452,""\d+\s*/\s*\d+"")))"),"")</f>
        <v/>
      </c>
      <c r="G1452" s="32" t="str">
        <f>IFERROR(__xludf.DUMMYFUNCTION("IFERROR(VALUE(REGEXEXTRACT(C1452,""(\d+)\s*/\s*\d+"")),"""")"),"")</f>
        <v/>
      </c>
      <c r="H1452" s="32" t="str">
        <f>IFERROR(__xludf.DUMMYFUNCTION("IFERROR(VALUE(REGEXEXTRACT(C1452,""\d+\s*/\s*(\d+)"")),"""")"),"")</f>
        <v/>
      </c>
      <c r="I1452" s="32" t="str">
        <f t="shared" si="2"/>
        <v/>
      </c>
      <c r="J1452" s="33" t="str">
        <f t="shared" si="3"/>
        <v/>
      </c>
    </row>
    <row r="1453" ht="15.75" customHeight="1">
      <c r="A1453" s="22" t="s">
        <v>113</v>
      </c>
      <c r="B1453" s="22" t="str">
        <f>IF(MOV_CC_NACIONAL!A1453="","",MOV_CC_NACIONAL!A1453)</f>
        <v/>
      </c>
      <c r="C1453" s="22" t="str">
        <f>IF(MOV_CC_NACIONAL!B1453="","",MOV_CC_NACIONAL!B1453)</f>
        <v/>
      </c>
      <c r="D1453" s="34" t="str">
        <f>IF(MOV_CC_NACIONAL!C1453="","",MOV_CC_NACIONAL!C1453)</f>
        <v/>
      </c>
      <c r="E1453" s="22" t="str">
        <f t="shared" si="1"/>
        <v/>
      </c>
      <c r="F1453" s="22" t="str">
        <f>IFERROR(__xludf.DUMMYFUNCTION("IF(C1453="""","""", OR(REGEXMATCH(LOWER(C1453),""cuota""), REGEXMATCH(C1453,""\d+\s*/\s*\d+"")))"),"")</f>
        <v/>
      </c>
      <c r="G1453" s="22" t="str">
        <f>IFERROR(__xludf.DUMMYFUNCTION("IFERROR(VALUE(REGEXEXTRACT(C1453,""(\d+)\s*/\s*\d+"")),"""")"),"")</f>
        <v/>
      </c>
      <c r="H1453" s="22" t="str">
        <f>IFERROR(__xludf.DUMMYFUNCTION("IFERROR(VALUE(REGEXEXTRACT(C1453,""\d+\s*/\s*(\d+)"")),"""")"),"")</f>
        <v/>
      </c>
      <c r="I1453" s="22" t="str">
        <f t="shared" si="2"/>
        <v/>
      </c>
      <c r="J1453" s="34" t="str">
        <f t="shared" si="3"/>
        <v/>
      </c>
    </row>
    <row r="1454" ht="15.75" customHeight="1">
      <c r="A1454" s="32" t="s">
        <v>113</v>
      </c>
      <c r="B1454" s="32" t="str">
        <f>IF(MOV_CC_NACIONAL!A1454="","",MOV_CC_NACIONAL!A1454)</f>
        <v/>
      </c>
      <c r="C1454" s="32" t="str">
        <f>IF(MOV_CC_NACIONAL!B1454="","",MOV_CC_NACIONAL!B1454)</f>
        <v/>
      </c>
      <c r="D1454" s="33" t="str">
        <f>IF(MOV_CC_NACIONAL!C1454="","",MOV_CC_NACIONAL!C1454)</f>
        <v/>
      </c>
      <c r="E1454" s="32" t="str">
        <f t="shared" si="1"/>
        <v/>
      </c>
      <c r="F1454" s="32" t="str">
        <f>IFERROR(__xludf.DUMMYFUNCTION("IF(C1454="""","""", OR(REGEXMATCH(LOWER(C1454),""cuota""), REGEXMATCH(C1454,""\d+\s*/\s*\d+"")))"),"")</f>
        <v/>
      </c>
      <c r="G1454" s="32" t="str">
        <f>IFERROR(__xludf.DUMMYFUNCTION("IFERROR(VALUE(REGEXEXTRACT(C1454,""(\d+)\s*/\s*\d+"")),"""")"),"")</f>
        <v/>
      </c>
      <c r="H1454" s="32" t="str">
        <f>IFERROR(__xludf.DUMMYFUNCTION("IFERROR(VALUE(REGEXEXTRACT(C1454,""\d+\s*/\s*(\d+)"")),"""")"),"")</f>
        <v/>
      </c>
      <c r="I1454" s="32" t="str">
        <f t="shared" si="2"/>
        <v/>
      </c>
      <c r="J1454" s="33" t="str">
        <f t="shared" si="3"/>
        <v/>
      </c>
    </row>
    <row r="1455" ht="15.75" customHeight="1">
      <c r="A1455" s="22" t="s">
        <v>113</v>
      </c>
      <c r="B1455" s="22" t="str">
        <f>IF(MOV_CC_NACIONAL!A1455="","",MOV_CC_NACIONAL!A1455)</f>
        <v/>
      </c>
      <c r="C1455" s="22" t="str">
        <f>IF(MOV_CC_NACIONAL!B1455="","",MOV_CC_NACIONAL!B1455)</f>
        <v/>
      </c>
      <c r="D1455" s="34" t="str">
        <f>IF(MOV_CC_NACIONAL!C1455="","",MOV_CC_NACIONAL!C1455)</f>
        <v/>
      </c>
      <c r="E1455" s="22" t="str">
        <f t="shared" si="1"/>
        <v/>
      </c>
      <c r="F1455" s="22" t="str">
        <f>IFERROR(__xludf.DUMMYFUNCTION("IF(C1455="""","""", OR(REGEXMATCH(LOWER(C1455),""cuota""), REGEXMATCH(C1455,""\d+\s*/\s*\d+"")))"),"")</f>
        <v/>
      </c>
      <c r="G1455" s="22" t="str">
        <f>IFERROR(__xludf.DUMMYFUNCTION("IFERROR(VALUE(REGEXEXTRACT(C1455,""(\d+)\s*/\s*\d+"")),"""")"),"")</f>
        <v/>
      </c>
      <c r="H1455" s="22" t="str">
        <f>IFERROR(__xludf.DUMMYFUNCTION("IFERROR(VALUE(REGEXEXTRACT(C1455,""\d+\s*/\s*(\d+)"")),"""")"),"")</f>
        <v/>
      </c>
      <c r="I1455" s="22" t="str">
        <f t="shared" si="2"/>
        <v/>
      </c>
      <c r="J1455" s="34" t="str">
        <f t="shared" si="3"/>
        <v/>
      </c>
    </row>
    <row r="1456" ht="15.75" customHeight="1">
      <c r="A1456" s="32" t="s">
        <v>113</v>
      </c>
      <c r="B1456" s="32" t="str">
        <f>IF(MOV_CC_NACIONAL!A1456="","",MOV_CC_NACIONAL!A1456)</f>
        <v/>
      </c>
      <c r="C1456" s="32" t="str">
        <f>IF(MOV_CC_NACIONAL!B1456="","",MOV_CC_NACIONAL!B1456)</f>
        <v/>
      </c>
      <c r="D1456" s="33" t="str">
        <f>IF(MOV_CC_NACIONAL!C1456="","",MOV_CC_NACIONAL!C1456)</f>
        <v/>
      </c>
      <c r="E1456" s="32" t="str">
        <f t="shared" si="1"/>
        <v/>
      </c>
      <c r="F1456" s="32" t="str">
        <f>IFERROR(__xludf.DUMMYFUNCTION("IF(C1456="""","""", OR(REGEXMATCH(LOWER(C1456),""cuota""), REGEXMATCH(C1456,""\d+\s*/\s*\d+"")))"),"")</f>
        <v/>
      </c>
      <c r="G1456" s="32" t="str">
        <f>IFERROR(__xludf.DUMMYFUNCTION("IFERROR(VALUE(REGEXEXTRACT(C1456,""(\d+)\s*/\s*\d+"")),"""")"),"")</f>
        <v/>
      </c>
      <c r="H1456" s="32" t="str">
        <f>IFERROR(__xludf.DUMMYFUNCTION("IFERROR(VALUE(REGEXEXTRACT(C1456,""\d+\s*/\s*(\d+)"")),"""")"),"")</f>
        <v/>
      </c>
      <c r="I1456" s="32" t="str">
        <f t="shared" si="2"/>
        <v/>
      </c>
      <c r="J1456" s="33" t="str">
        <f t="shared" si="3"/>
        <v/>
      </c>
    </row>
    <row r="1457" ht="15.75" customHeight="1">
      <c r="A1457" s="22" t="s">
        <v>113</v>
      </c>
      <c r="B1457" s="22" t="str">
        <f>IF(MOV_CC_NACIONAL!A1457="","",MOV_CC_NACIONAL!A1457)</f>
        <v/>
      </c>
      <c r="C1457" s="22" t="str">
        <f>IF(MOV_CC_NACIONAL!B1457="","",MOV_CC_NACIONAL!B1457)</f>
        <v/>
      </c>
      <c r="D1457" s="34" t="str">
        <f>IF(MOV_CC_NACIONAL!C1457="","",MOV_CC_NACIONAL!C1457)</f>
        <v/>
      </c>
      <c r="E1457" s="22" t="str">
        <f t="shared" si="1"/>
        <v/>
      </c>
      <c r="F1457" s="22" t="str">
        <f>IFERROR(__xludf.DUMMYFUNCTION("IF(C1457="""","""", OR(REGEXMATCH(LOWER(C1457),""cuota""), REGEXMATCH(C1457,""\d+\s*/\s*\d+"")))"),"")</f>
        <v/>
      </c>
      <c r="G1457" s="22" t="str">
        <f>IFERROR(__xludf.DUMMYFUNCTION("IFERROR(VALUE(REGEXEXTRACT(C1457,""(\d+)\s*/\s*\d+"")),"""")"),"")</f>
        <v/>
      </c>
      <c r="H1457" s="22" t="str">
        <f>IFERROR(__xludf.DUMMYFUNCTION("IFERROR(VALUE(REGEXEXTRACT(C1457,""\d+\s*/\s*(\d+)"")),"""")"),"")</f>
        <v/>
      </c>
      <c r="I1457" s="22" t="str">
        <f t="shared" si="2"/>
        <v/>
      </c>
      <c r="J1457" s="34" t="str">
        <f t="shared" si="3"/>
        <v/>
      </c>
    </row>
    <row r="1458" ht="15.75" customHeight="1">
      <c r="A1458" s="32" t="s">
        <v>113</v>
      </c>
      <c r="B1458" s="32" t="str">
        <f>IF(MOV_CC_NACIONAL!A1458="","",MOV_CC_NACIONAL!A1458)</f>
        <v/>
      </c>
      <c r="C1458" s="32" t="str">
        <f>IF(MOV_CC_NACIONAL!B1458="","",MOV_CC_NACIONAL!B1458)</f>
        <v/>
      </c>
      <c r="D1458" s="33" t="str">
        <f>IF(MOV_CC_NACIONAL!C1458="","",MOV_CC_NACIONAL!C1458)</f>
        <v/>
      </c>
      <c r="E1458" s="32" t="str">
        <f t="shared" si="1"/>
        <v/>
      </c>
      <c r="F1458" s="32" t="str">
        <f>IFERROR(__xludf.DUMMYFUNCTION("IF(C1458="""","""", OR(REGEXMATCH(LOWER(C1458),""cuota""), REGEXMATCH(C1458,""\d+\s*/\s*\d+"")))"),"")</f>
        <v/>
      </c>
      <c r="G1458" s="32" t="str">
        <f>IFERROR(__xludf.DUMMYFUNCTION("IFERROR(VALUE(REGEXEXTRACT(C1458,""(\d+)\s*/\s*\d+"")),"""")"),"")</f>
        <v/>
      </c>
      <c r="H1458" s="32" t="str">
        <f>IFERROR(__xludf.DUMMYFUNCTION("IFERROR(VALUE(REGEXEXTRACT(C1458,""\d+\s*/\s*(\d+)"")),"""")"),"")</f>
        <v/>
      </c>
      <c r="I1458" s="32" t="str">
        <f t="shared" si="2"/>
        <v/>
      </c>
      <c r="J1458" s="33" t="str">
        <f t="shared" si="3"/>
        <v/>
      </c>
    </row>
    <row r="1459" ht="15.75" customHeight="1">
      <c r="A1459" s="22" t="s">
        <v>113</v>
      </c>
      <c r="B1459" s="22" t="str">
        <f>IF(MOV_CC_NACIONAL!A1459="","",MOV_CC_NACIONAL!A1459)</f>
        <v/>
      </c>
      <c r="C1459" s="22" t="str">
        <f>IF(MOV_CC_NACIONAL!B1459="","",MOV_CC_NACIONAL!B1459)</f>
        <v/>
      </c>
      <c r="D1459" s="34" t="str">
        <f>IF(MOV_CC_NACIONAL!C1459="","",MOV_CC_NACIONAL!C1459)</f>
        <v/>
      </c>
      <c r="E1459" s="22" t="str">
        <f t="shared" si="1"/>
        <v/>
      </c>
      <c r="F1459" s="22" t="str">
        <f>IFERROR(__xludf.DUMMYFUNCTION("IF(C1459="""","""", OR(REGEXMATCH(LOWER(C1459),""cuota""), REGEXMATCH(C1459,""\d+\s*/\s*\d+"")))"),"")</f>
        <v/>
      </c>
      <c r="G1459" s="22" t="str">
        <f>IFERROR(__xludf.DUMMYFUNCTION("IFERROR(VALUE(REGEXEXTRACT(C1459,""(\d+)\s*/\s*\d+"")),"""")"),"")</f>
        <v/>
      </c>
      <c r="H1459" s="22" t="str">
        <f>IFERROR(__xludf.DUMMYFUNCTION("IFERROR(VALUE(REGEXEXTRACT(C1459,""\d+\s*/\s*(\d+)"")),"""")"),"")</f>
        <v/>
      </c>
      <c r="I1459" s="22" t="str">
        <f t="shared" si="2"/>
        <v/>
      </c>
      <c r="J1459" s="34" t="str">
        <f t="shared" si="3"/>
        <v/>
      </c>
    </row>
    <row r="1460" ht="15.75" customHeight="1">
      <c r="A1460" s="32" t="s">
        <v>113</v>
      </c>
      <c r="B1460" s="32" t="str">
        <f>IF(MOV_CC_NACIONAL!A1460="","",MOV_CC_NACIONAL!A1460)</f>
        <v/>
      </c>
      <c r="C1460" s="32" t="str">
        <f>IF(MOV_CC_NACIONAL!B1460="","",MOV_CC_NACIONAL!B1460)</f>
        <v/>
      </c>
      <c r="D1460" s="33" t="str">
        <f>IF(MOV_CC_NACIONAL!C1460="","",MOV_CC_NACIONAL!C1460)</f>
        <v/>
      </c>
      <c r="E1460" s="32" t="str">
        <f t="shared" si="1"/>
        <v/>
      </c>
      <c r="F1460" s="32" t="str">
        <f>IFERROR(__xludf.DUMMYFUNCTION("IF(C1460="""","""", OR(REGEXMATCH(LOWER(C1460),""cuota""), REGEXMATCH(C1460,""\d+\s*/\s*\d+"")))"),"")</f>
        <v/>
      </c>
      <c r="G1460" s="32" t="str">
        <f>IFERROR(__xludf.DUMMYFUNCTION("IFERROR(VALUE(REGEXEXTRACT(C1460,""(\d+)\s*/\s*\d+"")),"""")"),"")</f>
        <v/>
      </c>
      <c r="H1460" s="32" t="str">
        <f>IFERROR(__xludf.DUMMYFUNCTION("IFERROR(VALUE(REGEXEXTRACT(C1460,""\d+\s*/\s*(\d+)"")),"""")"),"")</f>
        <v/>
      </c>
      <c r="I1460" s="32" t="str">
        <f t="shared" si="2"/>
        <v/>
      </c>
      <c r="J1460" s="33" t="str">
        <f t="shared" si="3"/>
        <v/>
      </c>
    </row>
    <row r="1461" ht="15.75" customHeight="1">
      <c r="A1461" s="22" t="s">
        <v>113</v>
      </c>
      <c r="B1461" s="22" t="str">
        <f>IF(MOV_CC_NACIONAL!A1461="","",MOV_CC_NACIONAL!A1461)</f>
        <v/>
      </c>
      <c r="C1461" s="22" t="str">
        <f>IF(MOV_CC_NACIONAL!B1461="","",MOV_CC_NACIONAL!B1461)</f>
        <v/>
      </c>
      <c r="D1461" s="34" t="str">
        <f>IF(MOV_CC_NACIONAL!C1461="","",MOV_CC_NACIONAL!C1461)</f>
        <v/>
      </c>
      <c r="E1461" s="22" t="str">
        <f t="shared" si="1"/>
        <v/>
      </c>
      <c r="F1461" s="22" t="str">
        <f>IFERROR(__xludf.DUMMYFUNCTION("IF(C1461="""","""", OR(REGEXMATCH(LOWER(C1461),""cuota""), REGEXMATCH(C1461,""\d+\s*/\s*\d+"")))"),"")</f>
        <v/>
      </c>
      <c r="G1461" s="22" t="str">
        <f>IFERROR(__xludf.DUMMYFUNCTION("IFERROR(VALUE(REGEXEXTRACT(C1461,""(\d+)\s*/\s*\d+"")),"""")"),"")</f>
        <v/>
      </c>
      <c r="H1461" s="22" t="str">
        <f>IFERROR(__xludf.DUMMYFUNCTION("IFERROR(VALUE(REGEXEXTRACT(C1461,""\d+\s*/\s*(\d+)"")),"""")"),"")</f>
        <v/>
      </c>
      <c r="I1461" s="22" t="str">
        <f t="shared" si="2"/>
        <v/>
      </c>
      <c r="J1461" s="34" t="str">
        <f t="shared" si="3"/>
        <v/>
      </c>
    </row>
    <row r="1462" ht="15.75" customHeight="1">
      <c r="A1462" s="32" t="s">
        <v>113</v>
      </c>
      <c r="B1462" s="32" t="str">
        <f>IF(MOV_CC_NACIONAL!A1462="","",MOV_CC_NACIONAL!A1462)</f>
        <v/>
      </c>
      <c r="C1462" s="32" t="str">
        <f>IF(MOV_CC_NACIONAL!B1462="","",MOV_CC_NACIONAL!B1462)</f>
        <v/>
      </c>
      <c r="D1462" s="33" t="str">
        <f>IF(MOV_CC_NACIONAL!C1462="","",MOV_CC_NACIONAL!C1462)</f>
        <v/>
      </c>
      <c r="E1462" s="32" t="str">
        <f t="shared" si="1"/>
        <v/>
      </c>
      <c r="F1462" s="32" t="str">
        <f>IFERROR(__xludf.DUMMYFUNCTION("IF(C1462="""","""", OR(REGEXMATCH(LOWER(C1462),""cuota""), REGEXMATCH(C1462,""\d+\s*/\s*\d+"")))"),"")</f>
        <v/>
      </c>
      <c r="G1462" s="32" t="str">
        <f>IFERROR(__xludf.DUMMYFUNCTION("IFERROR(VALUE(REGEXEXTRACT(C1462,""(\d+)\s*/\s*\d+"")),"""")"),"")</f>
        <v/>
      </c>
      <c r="H1462" s="32" t="str">
        <f>IFERROR(__xludf.DUMMYFUNCTION("IFERROR(VALUE(REGEXEXTRACT(C1462,""\d+\s*/\s*(\d+)"")),"""")"),"")</f>
        <v/>
      </c>
      <c r="I1462" s="32" t="str">
        <f t="shared" si="2"/>
        <v/>
      </c>
      <c r="J1462" s="33" t="str">
        <f t="shared" si="3"/>
        <v/>
      </c>
    </row>
    <row r="1463" ht="15.75" customHeight="1">
      <c r="A1463" s="22" t="s">
        <v>113</v>
      </c>
      <c r="B1463" s="22" t="str">
        <f>IF(MOV_CC_NACIONAL!A1463="","",MOV_CC_NACIONAL!A1463)</f>
        <v/>
      </c>
      <c r="C1463" s="22" t="str">
        <f>IF(MOV_CC_NACIONAL!B1463="","",MOV_CC_NACIONAL!B1463)</f>
        <v/>
      </c>
      <c r="D1463" s="34" t="str">
        <f>IF(MOV_CC_NACIONAL!C1463="","",MOV_CC_NACIONAL!C1463)</f>
        <v/>
      </c>
      <c r="E1463" s="22" t="str">
        <f t="shared" si="1"/>
        <v/>
      </c>
      <c r="F1463" s="22" t="str">
        <f>IFERROR(__xludf.DUMMYFUNCTION("IF(C1463="""","""", OR(REGEXMATCH(LOWER(C1463),""cuota""), REGEXMATCH(C1463,""\d+\s*/\s*\d+"")))"),"")</f>
        <v/>
      </c>
      <c r="G1463" s="22" t="str">
        <f>IFERROR(__xludf.DUMMYFUNCTION("IFERROR(VALUE(REGEXEXTRACT(C1463,""(\d+)\s*/\s*\d+"")),"""")"),"")</f>
        <v/>
      </c>
      <c r="H1463" s="22" t="str">
        <f>IFERROR(__xludf.DUMMYFUNCTION("IFERROR(VALUE(REGEXEXTRACT(C1463,""\d+\s*/\s*(\d+)"")),"""")"),"")</f>
        <v/>
      </c>
      <c r="I1463" s="22" t="str">
        <f t="shared" si="2"/>
        <v/>
      </c>
      <c r="J1463" s="34" t="str">
        <f t="shared" si="3"/>
        <v/>
      </c>
    </row>
    <row r="1464" ht="15.75" customHeight="1">
      <c r="A1464" s="32" t="s">
        <v>113</v>
      </c>
      <c r="B1464" s="32" t="str">
        <f>IF(MOV_CC_NACIONAL!A1464="","",MOV_CC_NACIONAL!A1464)</f>
        <v/>
      </c>
      <c r="C1464" s="32" t="str">
        <f>IF(MOV_CC_NACIONAL!B1464="","",MOV_CC_NACIONAL!B1464)</f>
        <v/>
      </c>
      <c r="D1464" s="33" t="str">
        <f>IF(MOV_CC_NACIONAL!C1464="","",MOV_CC_NACIONAL!C1464)</f>
        <v/>
      </c>
      <c r="E1464" s="32" t="str">
        <f t="shared" si="1"/>
        <v/>
      </c>
      <c r="F1464" s="32" t="str">
        <f>IFERROR(__xludf.DUMMYFUNCTION("IF(C1464="""","""", OR(REGEXMATCH(LOWER(C1464),""cuota""), REGEXMATCH(C1464,""\d+\s*/\s*\d+"")))"),"")</f>
        <v/>
      </c>
      <c r="G1464" s="32" t="str">
        <f>IFERROR(__xludf.DUMMYFUNCTION("IFERROR(VALUE(REGEXEXTRACT(C1464,""(\d+)\s*/\s*\d+"")),"""")"),"")</f>
        <v/>
      </c>
      <c r="H1464" s="32" t="str">
        <f>IFERROR(__xludf.DUMMYFUNCTION("IFERROR(VALUE(REGEXEXTRACT(C1464,""\d+\s*/\s*(\d+)"")),"""")"),"")</f>
        <v/>
      </c>
      <c r="I1464" s="32" t="str">
        <f t="shared" si="2"/>
        <v/>
      </c>
      <c r="J1464" s="33" t="str">
        <f t="shared" si="3"/>
        <v/>
      </c>
    </row>
    <row r="1465" ht="15.75" customHeight="1">
      <c r="A1465" s="22" t="s">
        <v>113</v>
      </c>
      <c r="B1465" s="22" t="str">
        <f>IF(MOV_CC_NACIONAL!A1465="","",MOV_CC_NACIONAL!A1465)</f>
        <v/>
      </c>
      <c r="C1465" s="22" t="str">
        <f>IF(MOV_CC_NACIONAL!B1465="","",MOV_CC_NACIONAL!B1465)</f>
        <v/>
      </c>
      <c r="D1465" s="34" t="str">
        <f>IF(MOV_CC_NACIONAL!C1465="","",MOV_CC_NACIONAL!C1465)</f>
        <v/>
      </c>
      <c r="E1465" s="22" t="str">
        <f t="shared" si="1"/>
        <v/>
      </c>
      <c r="F1465" s="22" t="str">
        <f>IFERROR(__xludf.DUMMYFUNCTION("IF(C1465="""","""", OR(REGEXMATCH(LOWER(C1465),""cuota""), REGEXMATCH(C1465,""\d+\s*/\s*\d+"")))"),"")</f>
        <v/>
      </c>
      <c r="G1465" s="22" t="str">
        <f>IFERROR(__xludf.DUMMYFUNCTION("IFERROR(VALUE(REGEXEXTRACT(C1465,""(\d+)\s*/\s*\d+"")),"""")"),"")</f>
        <v/>
      </c>
      <c r="H1465" s="22" t="str">
        <f>IFERROR(__xludf.DUMMYFUNCTION("IFERROR(VALUE(REGEXEXTRACT(C1465,""\d+\s*/\s*(\d+)"")),"""")"),"")</f>
        <v/>
      </c>
      <c r="I1465" s="22" t="str">
        <f t="shared" si="2"/>
        <v/>
      </c>
      <c r="J1465" s="34" t="str">
        <f t="shared" si="3"/>
        <v/>
      </c>
    </row>
    <row r="1466" ht="15.75" customHeight="1">
      <c r="A1466" s="32" t="s">
        <v>113</v>
      </c>
      <c r="B1466" s="32" t="str">
        <f>IF(MOV_CC_NACIONAL!A1466="","",MOV_CC_NACIONAL!A1466)</f>
        <v/>
      </c>
      <c r="C1466" s="32" t="str">
        <f>IF(MOV_CC_NACIONAL!B1466="","",MOV_CC_NACIONAL!B1466)</f>
        <v/>
      </c>
      <c r="D1466" s="33" t="str">
        <f>IF(MOV_CC_NACIONAL!C1466="","",MOV_CC_NACIONAL!C1466)</f>
        <v/>
      </c>
      <c r="E1466" s="32" t="str">
        <f t="shared" si="1"/>
        <v/>
      </c>
      <c r="F1466" s="32" t="str">
        <f>IFERROR(__xludf.DUMMYFUNCTION("IF(C1466="""","""", OR(REGEXMATCH(LOWER(C1466),""cuota""), REGEXMATCH(C1466,""\d+\s*/\s*\d+"")))"),"")</f>
        <v/>
      </c>
      <c r="G1466" s="32" t="str">
        <f>IFERROR(__xludf.DUMMYFUNCTION("IFERROR(VALUE(REGEXEXTRACT(C1466,""(\d+)\s*/\s*\d+"")),"""")"),"")</f>
        <v/>
      </c>
      <c r="H1466" s="32" t="str">
        <f>IFERROR(__xludf.DUMMYFUNCTION("IFERROR(VALUE(REGEXEXTRACT(C1466,""\d+\s*/\s*(\d+)"")),"""")"),"")</f>
        <v/>
      </c>
      <c r="I1466" s="32" t="str">
        <f t="shared" si="2"/>
        <v/>
      </c>
      <c r="J1466" s="33" t="str">
        <f t="shared" si="3"/>
        <v/>
      </c>
    </row>
    <row r="1467" ht="15.75" customHeight="1">
      <c r="A1467" s="22" t="s">
        <v>113</v>
      </c>
      <c r="B1467" s="22" t="str">
        <f>IF(MOV_CC_NACIONAL!A1467="","",MOV_CC_NACIONAL!A1467)</f>
        <v/>
      </c>
      <c r="C1467" s="22" t="str">
        <f>IF(MOV_CC_NACIONAL!B1467="","",MOV_CC_NACIONAL!B1467)</f>
        <v/>
      </c>
      <c r="D1467" s="34" t="str">
        <f>IF(MOV_CC_NACIONAL!C1467="","",MOV_CC_NACIONAL!C1467)</f>
        <v/>
      </c>
      <c r="E1467" s="22" t="str">
        <f t="shared" si="1"/>
        <v/>
      </c>
      <c r="F1467" s="22" t="str">
        <f>IFERROR(__xludf.DUMMYFUNCTION("IF(C1467="""","""", OR(REGEXMATCH(LOWER(C1467),""cuota""), REGEXMATCH(C1467,""\d+\s*/\s*\d+"")))"),"")</f>
        <v/>
      </c>
      <c r="G1467" s="22" t="str">
        <f>IFERROR(__xludf.DUMMYFUNCTION("IFERROR(VALUE(REGEXEXTRACT(C1467,""(\d+)\s*/\s*\d+"")),"""")"),"")</f>
        <v/>
      </c>
      <c r="H1467" s="22" t="str">
        <f>IFERROR(__xludf.DUMMYFUNCTION("IFERROR(VALUE(REGEXEXTRACT(C1467,""\d+\s*/\s*(\d+)"")),"""")"),"")</f>
        <v/>
      </c>
      <c r="I1467" s="22" t="str">
        <f t="shared" si="2"/>
        <v/>
      </c>
      <c r="J1467" s="34" t="str">
        <f t="shared" si="3"/>
        <v/>
      </c>
    </row>
    <row r="1468" ht="15.75" customHeight="1">
      <c r="A1468" s="32" t="s">
        <v>113</v>
      </c>
      <c r="B1468" s="32" t="str">
        <f>IF(MOV_CC_NACIONAL!A1468="","",MOV_CC_NACIONAL!A1468)</f>
        <v/>
      </c>
      <c r="C1468" s="32" t="str">
        <f>IF(MOV_CC_NACIONAL!B1468="","",MOV_CC_NACIONAL!B1468)</f>
        <v/>
      </c>
      <c r="D1468" s="33" t="str">
        <f>IF(MOV_CC_NACIONAL!C1468="","",MOV_CC_NACIONAL!C1468)</f>
        <v/>
      </c>
      <c r="E1468" s="32" t="str">
        <f t="shared" si="1"/>
        <v/>
      </c>
      <c r="F1468" s="32" t="str">
        <f>IFERROR(__xludf.DUMMYFUNCTION("IF(C1468="""","""", OR(REGEXMATCH(LOWER(C1468),""cuota""), REGEXMATCH(C1468,""\d+\s*/\s*\d+"")))"),"")</f>
        <v/>
      </c>
      <c r="G1468" s="32" t="str">
        <f>IFERROR(__xludf.DUMMYFUNCTION("IFERROR(VALUE(REGEXEXTRACT(C1468,""(\d+)\s*/\s*\d+"")),"""")"),"")</f>
        <v/>
      </c>
      <c r="H1468" s="32" t="str">
        <f>IFERROR(__xludf.DUMMYFUNCTION("IFERROR(VALUE(REGEXEXTRACT(C1468,""\d+\s*/\s*(\d+)"")),"""")"),"")</f>
        <v/>
      </c>
      <c r="I1468" s="32" t="str">
        <f t="shared" si="2"/>
        <v/>
      </c>
      <c r="J1468" s="33" t="str">
        <f t="shared" si="3"/>
        <v/>
      </c>
    </row>
    <row r="1469" ht="15.75" customHeight="1">
      <c r="A1469" s="22" t="s">
        <v>113</v>
      </c>
      <c r="B1469" s="22" t="str">
        <f>IF(MOV_CC_NACIONAL!A1469="","",MOV_CC_NACIONAL!A1469)</f>
        <v/>
      </c>
      <c r="C1469" s="22" t="str">
        <f>IF(MOV_CC_NACIONAL!B1469="","",MOV_CC_NACIONAL!B1469)</f>
        <v/>
      </c>
      <c r="D1469" s="34" t="str">
        <f>IF(MOV_CC_NACIONAL!C1469="","",MOV_CC_NACIONAL!C1469)</f>
        <v/>
      </c>
      <c r="E1469" s="22" t="str">
        <f t="shared" si="1"/>
        <v/>
      </c>
      <c r="F1469" s="22" t="str">
        <f>IFERROR(__xludf.DUMMYFUNCTION("IF(C1469="""","""", OR(REGEXMATCH(LOWER(C1469),""cuota""), REGEXMATCH(C1469,""\d+\s*/\s*\d+"")))"),"")</f>
        <v/>
      </c>
      <c r="G1469" s="22" t="str">
        <f>IFERROR(__xludf.DUMMYFUNCTION("IFERROR(VALUE(REGEXEXTRACT(C1469,""(\d+)\s*/\s*\d+"")),"""")"),"")</f>
        <v/>
      </c>
      <c r="H1469" s="22" t="str">
        <f>IFERROR(__xludf.DUMMYFUNCTION("IFERROR(VALUE(REGEXEXTRACT(C1469,""\d+\s*/\s*(\d+)"")),"""")"),"")</f>
        <v/>
      </c>
      <c r="I1469" s="22" t="str">
        <f t="shared" si="2"/>
        <v/>
      </c>
      <c r="J1469" s="34" t="str">
        <f t="shared" si="3"/>
        <v/>
      </c>
    </row>
    <row r="1470" ht="15.75" customHeight="1">
      <c r="A1470" s="32" t="s">
        <v>113</v>
      </c>
      <c r="B1470" s="32" t="str">
        <f>IF(MOV_CC_NACIONAL!A1470="","",MOV_CC_NACIONAL!A1470)</f>
        <v/>
      </c>
      <c r="C1470" s="32" t="str">
        <f>IF(MOV_CC_NACIONAL!B1470="","",MOV_CC_NACIONAL!B1470)</f>
        <v/>
      </c>
      <c r="D1470" s="33" t="str">
        <f>IF(MOV_CC_NACIONAL!C1470="","",MOV_CC_NACIONAL!C1470)</f>
        <v/>
      </c>
      <c r="E1470" s="32" t="str">
        <f t="shared" si="1"/>
        <v/>
      </c>
      <c r="F1470" s="32" t="str">
        <f>IFERROR(__xludf.DUMMYFUNCTION("IF(C1470="""","""", OR(REGEXMATCH(LOWER(C1470),""cuota""), REGEXMATCH(C1470,""\d+\s*/\s*\d+"")))"),"")</f>
        <v/>
      </c>
      <c r="G1470" s="32" t="str">
        <f>IFERROR(__xludf.DUMMYFUNCTION("IFERROR(VALUE(REGEXEXTRACT(C1470,""(\d+)\s*/\s*\d+"")),"""")"),"")</f>
        <v/>
      </c>
      <c r="H1470" s="32" t="str">
        <f>IFERROR(__xludf.DUMMYFUNCTION("IFERROR(VALUE(REGEXEXTRACT(C1470,""\d+\s*/\s*(\d+)"")),"""")"),"")</f>
        <v/>
      </c>
      <c r="I1470" s="32" t="str">
        <f t="shared" si="2"/>
        <v/>
      </c>
      <c r="J1470" s="33" t="str">
        <f t="shared" si="3"/>
        <v/>
      </c>
    </row>
    <row r="1471" ht="15.75" customHeight="1">
      <c r="A1471" s="22" t="s">
        <v>113</v>
      </c>
      <c r="B1471" s="22" t="str">
        <f>IF(MOV_CC_NACIONAL!A1471="","",MOV_CC_NACIONAL!A1471)</f>
        <v/>
      </c>
      <c r="C1471" s="22" t="str">
        <f>IF(MOV_CC_NACIONAL!B1471="","",MOV_CC_NACIONAL!B1471)</f>
        <v/>
      </c>
      <c r="D1471" s="34" t="str">
        <f>IF(MOV_CC_NACIONAL!C1471="","",MOV_CC_NACIONAL!C1471)</f>
        <v/>
      </c>
      <c r="E1471" s="22" t="str">
        <f t="shared" si="1"/>
        <v/>
      </c>
      <c r="F1471" s="22" t="str">
        <f>IFERROR(__xludf.DUMMYFUNCTION("IF(C1471="""","""", OR(REGEXMATCH(LOWER(C1471),""cuota""), REGEXMATCH(C1471,""\d+\s*/\s*\d+"")))"),"")</f>
        <v/>
      </c>
      <c r="G1471" s="22" t="str">
        <f>IFERROR(__xludf.DUMMYFUNCTION("IFERROR(VALUE(REGEXEXTRACT(C1471,""(\d+)\s*/\s*\d+"")),"""")"),"")</f>
        <v/>
      </c>
      <c r="H1471" s="22" t="str">
        <f>IFERROR(__xludf.DUMMYFUNCTION("IFERROR(VALUE(REGEXEXTRACT(C1471,""\d+\s*/\s*(\d+)"")),"""")"),"")</f>
        <v/>
      </c>
      <c r="I1471" s="22" t="str">
        <f t="shared" si="2"/>
        <v/>
      </c>
      <c r="J1471" s="34" t="str">
        <f t="shared" si="3"/>
        <v/>
      </c>
    </row>
    <row r="1472" ht="15.75" customHeight="1">
      <c r="A1472" s="32" t="s">
        <v>113</v>
      </c>
      <c r="B1472" s="32" t="str">
        <f>IF(MOV_CC_NACIONAL!A1472="","",MOV_CC_NACIONAL!A1472)</f>
        <v/>
      </c>
      <c r="C1472" s="32" t="str">
        <f>IF(MOV_CC_NACIONAL!B1472="","",MOV_CC_NACIONAL!B1472)</f>
        <v/>
      </c>
      <c r="D1472" s="33" t="str">
        <f>IF(MOV_CC_NACIONAL!C1472="","",MOV_CC_NACIONAL!C1472)</f>
        <v/>
      </c>
      <c r="E1472" s="32" t="str">
        <f t="shared" si="1"/>
        <v/>
      </c>
      <c r="F1472" s="32" t="str">
        <f>IFERROR(__xludf.DUMMYFUNCTION("IF(C1472="""","""", OR(REGEXMATCH(LOWER(C1472),""cuota""), REGEXMATCH(C1472,""\d+\s*/\s*\d+"")))"),"")</f>
        <v/>
      </c>
      <c r="G1472" s="32" t="str">
        <f>IFERROR(__xludf.DUMMYFUNCTION("IFERROR(VALUE(REGEXEXTRACT(C1472,""(\d+)\s*/\s*\d+"")),"""")"),"")</f>
        <v/>
      </c>
      <c r="H1472" s="32" t="str">
        <f>IFERROR(__xludf.DUMMYFUNCTION("IFERROR(VALUE(REGEXEXTRACT(C1472,""\d+\s*/\s*(\d+)"")),"""")"),"")</f>
        <v/>
      </c>
      <c r="I1472" s="32" t="str">
        <f t="shared" si="2"/>
        <v/>
      </c>
      <c r="J1472" s="33" t="str">
        <f t="shared" si="3"/>
        <v/>
      </c>
    </row>
    <row r="1473" ht="15.75" customHeight="1">
      <c r="A1473" s="22" t="s">
        <v>113</v>
      </c>
      <c r="B1473" s="22" t="str">
        <f>IF(MOV_CC_NACIONAL!A1473="","",MOV_CC_NACIONAL!A1473)</f>
        <v/>
      </c>
      <c r="C1473" s="22" t="str">
        <f>IF(MOV_CC_NACIONAL!B1473="","",MOV_CC_NACIONAL!B1473)</f>
        <v/>
      </c>
      <c r="D1473" s="34" t="str">
        <f>IF(MOV_CC_NACIONAL!C1473="","",MOV_CC_NACIONAL!C1473)</f>
        <v/>
      </c>
      <c r="E1473" s="22" t="str">
        <f t="shared" si="1"/>
        <v/>
      </c>
      <c r="F1473" s="22" t="str">
        <f>IFERROR(__xludf.DUMMYFUNCTION("IF(C1473="""","""", OR(REGEXMATCH(LOWER(C1473),""cuota""), REGEXMATCH(C1473,""\d+\s*/\s*\d+"")))"),"")</f>
        <v/>
      </c>
      <c r="G1473" s="22" t="str">
        <f>IFERROR(__xludf.DUMMYFUNCTION("IFERROR(VALUE(REGEXEXTRACT(C1473,""(\d+)\s*/\s*\d+"")),"""")"),"")</f>
        <v/>
      </c>
      <c r="H1473" s="22" t="str">
        <f>IFERROR(__xludf.DUMMYFUNCTION("IFERROR(VALUE(REGEXEXTRACT(C1473,""\d+\s*/\s*(\d+)"")),"""")"),"")</f>
        <v/>
      </c>
      <c r="I1473" s="22" t="str">
        <f t="shared" si="2"/>
        <v/>
      </c>
      <c r="J1473" s="34" t="str">
        <f t="shared" si="3"/>
        <v/>
      </c>
    </row>
    <row r="1474" ht="15.75" customHeight="1">
      <c r="A1474" s="32" t="s">
        <v>113</v>
      </c>
      <c r="B1474" s="32" t="str">
        <f>IF(MOV_CC_NACIONAL!A1474="","",MOV_CC_NACIONAL!A1474)</f>
        <v/>
      </c>
      <c r="C1474" s="32" t="str">
        <f>IF(MOV_CC_NACIONAL!B1474="","",MOV_CC_NACIONAL!B1474)</f>
        <v/>
      </c>
      <c r="D1474" s="33" t="str">
        <f>IF(MOV_CC_NACIONAL!C1474="","",MOV_CC_NACIONAL!C1474)</f>
        <v/>
      </c>
      <c r="E1474" s="32" t="str">
        <f t="shared" si="1"/>
        <v/>
      </c>
      <c r="F1474" s="32" t="str">
        <f>IFERROR(__xludf.DUMMYFUNCTION("IF(C1474="""","""", OR(REGEXMATCH(LOWER(C1474),""cuota""), REGEXMATCH(C1474,""\d+\s*/\s*\d+"")))"),"")</f>
        <v/>
      </c>
      <c r="G1474" s="32" t="str">
        <f>IFERROR(__xludf.DUMMYFUNCTION("IFERROR(VALUE(REGEXEXTRACT(C1474,""(\d+)\s*/\s*\d+"")),"""")"),"")</f>
        <v/>
      </c>
      <c r="H1474" s="32" t="str">
        <f>IFERROR(__xludf.DUMMYFUNCTION("IFERROR(VALUE(REGEXEXTRACT(C1474,""\d+\s*/\s*(\d+)"")),"""")"),"")</f>
        <v/>
      </c>
      <c r="I1474" s="32" t="str">
        <f t="shared" si="2"/>
        <v/>
      </c>
      <c r="J1474" s="33" t="str">
        <f t="shared" si="3"/>
        <v/>
      </c>
    </row>
    <row r="1475" ht="15.75" customHeight="1">
      <c r="A1475" s="22" t="s">
        <v>113</v>
      </c>
      <c r="B1475" s="22" t="str">
        <f>IF(MOV_CC_NACIONAL!A1475="","",MOV_CC_NACIONAL!A1475)</f>
        <v/>
      </c>
      <c r="C1475" s="22" t="str">
        <f>IF(MOV_CC_NACIONAL!B1475="","",MOV_CC_NACIONAL!B1475)</f>
        <v/>
      </c>
      <c r="D1475" s="34" t="str">
        <f>IF(MOV_CC_NACIONAL!C1475="","",MOV_CC_NACIONAL!C1475)</f>
        <v/>
      </c>
      <c r="E1475" s="22" t="str">
        <f t="shared" si="1"/>
        <v/>
      </c>
      <c r="F1475" s="22" t="str">
        <f>IFERROR(__xludf.DUMMYFUNCTION("IF(C1475="""","""", OR(REGEXMATCH(LOWER(C1475),""cuota""), REGEXMATCH(C1475,""\d+\s*/\s*\d+"")))"),"")</f>
        <v/>
      </c>
      <c r="G1475" s="22" t="str">
        <f>IFERROR(__xludf.DUMMYFUNCTION("IFERROR(VALUE(REGEXEXTRACT(C1475,""(\d+)\s*/\s*\d+"")),"""")"),"")</f>
        <v/>
      </c>
      <c r="H1475" s="22" t="str">
        <f>IFERROR(__xludf.DUMMYFUNCTION("IFERROR(VALUE(REGEXEXTRACT(C1475,""\d+\s*/\s*(\d+)"")),"""")"),"")</f>
        <v/>
      </c>
      <c r="I1475" s="22" t="str">
        <f t="shared" si="2"/>
        <v/>
      </c>
      <c r="J1475" s="34" t="str">
        <f t="shared" si="3"/>
        <v/>
      </c>
    </row>
    <row r="1476" ht="15.75" customHeight="1">
      <c r="A1476" s="32" t="s">
        <v>113</v>
      </c>
      <c r="B1476" s="32" t="str">
        <f>IF(MOV_CC_NACIONAL!A1476="","",MOV_CC_NACIONAL!A1476)</f>
        <v/>
      </c>
      <c r="C1476" s="32" t="str">
        <f>IF(MOV_CC_NACIONAL!B1476="","",MOV_CC_NACIONAL!B1476)</f>
        <v/>
      </c>
      <c r="D1476" s="33" t="str">
        <f>IF(MOV_CC_NACIONAL!C1476="","",MOV_CC_NACIONAL!C1476)</f>
        <v/>
      </c>
      <c r="E1476" s="32" t="str">
        <f t="shared" si="1"/>
        <v/>
      </c>
      <c r="F1476" s="32" t="str">
        <f>IFERROR(__xludf.DUMMYFUNCTION("IF(C1476="""","""", OR(REGEXMATCH(LOWER(C1476),""cuota""), REGEXMATCH(C1476,""\d+\s*/\s*\d+"")))"),"")</f>
        <v/>
      </c>
      <c r="G1476" s="32" t="str">
        <f>IFERROR(__xludf.DUMMYFUNCTION("IFERROR(VALUE(REGEXEXTRACT(C1476,""(\d+)\s*/\s*\d+"")),"""")"),"")</f>
        <v/>
      </c>
      <c r="H1476" s="32" t="str">
        <f>IFERROR(__xludf.DUMMYFUNCTION("IFERROR(VALUE(REGEXEXTRACT(C1476,""\d+\s*/\s*(\d+)"")),"""")"),"")</f>
        <v/>
      </c>
      <c r="I1476" s="32" t="str">
        <f t="shared" si="2"/>
        <v/>
      </c>
      <c r="J1476" s="33" t="str">
        <f t="shared" si="3"/>
        <v/>
      </c>
    </row>
    <row r="1477" ht="15.75" customHeight="1">
      <c r="A1477" s="22" t="s">
        <v>113</v>
      </c>
      <c r="B1477" s="22" t="str">
        <f>IF(MOV_CC_NACIONAL!A1477="","",MOV_CC_NACIONAL!A1477)</f>
        <v/>
      </c>
      <c r="C1477" s="22" t="str">
        <f>IF(MOV_CC_NACIONAL!B1477="","",MOV_CC_NACIONAL!B1477)</f>
        <v/>
      </c>
      <c r="D1477" s="34" t="str">
        <f>IF(MOV_CC_NACIONAL!C1477="","",MOV_CC_NACIONAL!C1477)</f>
        <v/>
      </c>
      <c r="E1477" s="22" t="str">
        <f t="shared" si="1"/>
        <v/>
      </c>
      <c r="F1477" s="22" t="str">
        <f>IFERROR(__xludf.DUMMYFUNCTION("IF(C1477="""","""", OR(REGEXMATCH(LOWER(C1477),""cuota""), REGEXMATCH(C1477,""\d+\s*/\s*\d+"")))"),"")</f>
        <v/>
      </c>
      <c r="G1477" s="22" t="str">
        <f>IFERROR(__xludf.DUMMYFUNCTION("IFERROR(VALUE(REGEXEXTRACT(C1477,""(\d+)\s*/\s*\d+"")),"""")"),"")</f>
        <v/>
      </c>
      <c r="H1477" s="22" t="str">
        <f>IFERROR(__xludf.DUMMYFUNCTION("IFERROR(VALUE(REGEXEXTRACT(C1477,""\d+\s*/\s*(\d+)"")),"""")"),"")</f>
        <v/>
      </c>
      <c r="I1477" s="22" t="str">
        <f t="shared" si="2"/>
        <v/>
      </c>
      <c r="J1477" s="34" t="str">
        <f t="shared" si="3"/>
        <v/>
      </c>
    </row>
    <row r="1478" ht="15.75" customHeight="1">
      <c r="A1478" s="32" t="s">
        <v>113</v>
      </c>
      <c r="B1478" s="32" t="str">
        <f>IF(MOV_CC_NACIONAL!A1478="","",MOV_CC_NACIONAL!A1478)</f>
        <v/>
      </c>
      <c r="C1478" s="32" t="str">
        <f>IF(MOV_CC_NACIONAL!B1478="","",MOV_CC_NACIONAL!B1478)</f>
        <v/>
      </c>
      <c r="D1478" s="33" t="str">
        <f>IF(MOV_CC_NACIONAL!C1478="","",MOV_CC_NACIONAL!C1478)</f>
        <v/>
      </c>
      <c r="E1478" s="32" t="str">
        <f t="shared" si="1"/>
        <v/>
      </c>
      <c r="F1478" s="32" t="str">
        <f>IFERROR(__xludf.DUMMYFUNCTION("IF(C1478="""","""", OR(REGEXMATCH(LOWER(C1478),""cuota""), REGEXMATCH(C1478,""\d+\s*/\s*\d+"")))"),"")</f>
        <v/>
      </c>
      <c r="G1478" s="32" t="str">
        <f>IFERROR(__xludf.DUMMYFUNCTION("IFERROR(VALUE(REGEXEXTRACT(C1478,""(\d+)\s*/\s*\d+"")),"""")"),"")</f>
        <v/>
      </c>
      <c r="H1478" s="32" t="str">
        <f>IFERROR(__xludf.DUMMYFUNCTION("IFERROR(VALUE(REGEXEXTRACT(C1478,""\d+\s*/\s*(\d+)"")),"""")"),"")</f>
        <v/>
      </c>
      <c r="I1478" s="32" t="str">
        <f t="shared" si="2"/>
        <v/>
      </c>
      <c r="J1478" s="33" t="str">
        <f t="shared" si="3"/>
        <v/>
      </c>
    </row>
    <row r="1479" ht="15.75" customHeight="1">
      <c r="A1479" s="22" t="s">
        <v>113</v>
      </c>
      <c r="B1479" s="22" t="str">
        <f>IF(MOV_CC_NACIONAL!A1479="","",MOV_CC_NACIONAL!A1479)</f>
        <v/>
      </c>
      <c r="C1479" s="22" t="str">
        <f>IF(MOV_CC_NACIONAL!B1479="","",MOV_CC_NACIONAL!B1479)</f>
        <v/>
      </c>
      <c r="D1479" s="34" t="str">
        <f>IF(MOV_CC_NACIONAL!C1479="","",MOV_CC_NACIONAL!C1479)</f>
        <v/>
      </c>
      <c r="E1479" s="22" t="str">
        <f t="shared" si="1"/>
        <v/>
      </c>
      <c r="F1479" s="22" t="str">
        <f>IFERROR(__xludf.DUMMYFUNCTION("IF(C1479="""","""", OR(REGEXMATCH(LOWER(C1479),""cuota""), REGEXMATCH(C1479,""\d+\s*/\s*\d+"")))"),"")</f>
        <v/>
      </c>
      <c r="G1479" s="22" t="str">
        <f>IFERROR(__xludf.DUMMYFUNCTION("IFERROR(VALUE(REGEXEXTRACT(C1479,""(\d+)\s*/\s*\d+"")),"""")"),"")</f>
        <v/>
      </c>
      <c r="H1479" s="22" t="str">
        <f>IFERROR(__xludf.DUMMYFUNCTION("IFERROR(VALUE(REGEXEXTRACT(C1479,""\d+\s*/\s*(\d+)"")),"""")"),"")</f>
        <v/>
      </c>
      <c r="I1479" s="22" t="str">
        <f t="shared" si="2"/>
        <v/>
      </c>
      <c r="J1479" s="34" t="str">
        <f t="shared" si="3"/>
        <v/>
      </c>
    </row>
    <row r="1480" ht="15.75" customHeight="1">
      <c r="A1480" s="32" t="s">
        <v>113</v>
      </c>
      <c r="B1480" s="32" t="str">
        <f>IF(MOV_CC_NACIONAL!A1480="","",MOV_CC_NACIONAL!A1480)</f>
        <v/>
      </c>
      <c r="C1480" s="32" t="str">
        <f>IF(MOV_CC_NACIONAL!B1480="","",MOV_CC_NACIONAL!B1480)</f>
        <v/>
      </c>
      <c r="D1480" s="33" t="str">
        <f>IF(MOV_CC_NACIONAL!C1480="","",MOV_CC_NACIONAL!C1480)</f>
        <v/>
      </c>
      <c r="E1480" s="32" t="str">
        <f t="shared" si="1"/>
        <v/>
      </c>
      <c r="F1480" s="32" t="str">
        <f>IFERROR(__xludf.DUMMYFUNCTION("IF(C1480="""","""", OR(REGEXMATCH(LOWER(C1480),""cuota""), REGEXMATCH(C1480,""\d+\s*/\s*\d+"")))"),"")</f>
        <v/>
      </c>
      <c r="G1480" s="32" t="str">
        <f>IFERROR(__xludf.DUMMYFUNCTION("IFERROR(VALUE(REGEXEXTRACT(C1480,""(\d+)\s*/\s*\d+"")),"""")"),"")</f>
        <v/>
      </c>
      <c r="H1480" s="32" t="str">
        <f>IFERROR(__xludf.DUMMYFUNCTION("IFERROR(VALUE(REGEXEXTRACT(C1480,""\d+\s*/\s*(\d+)"")),"""")"),"")</f>
        <v/>
      </c>
      <c r="I1480" s="32" t="str">
        <f t="shared" si="2"/>
        <v/>
      </c>
      <c r="J1480" s="33" t="str">
        <f t="shared" si="3"/>
        <v/>
      </c>
    </row>
    <row r="1481" ht="15.75" customHeight="1">
      <c r="A1481" s="22" t="s">
        <v>113</v>
      </c>
      <c r="B1481" s="22" t="str">
        <f>IF(MOV_CC_NACIONAL!A1481="","",MOV_CC_NACIONAL!A1481)</f>
        <v/>
      </c>
      <c r="C1481" s="22" t="str">
        <f>IF(MOV_CC_NACIONAL!B1481="","",MOV_CC_NACIONAL!B1481)</f>
        <v/>
      </c>
      <c r="D1481" s="34" t="str">
        <f>IF(MOV_CC_NACIONAL!C1481="","",MOV_CC_NACIONAL!C1481)</f>
        <v/>
      </c>
      <c r="E1481" s="22" t="str">
        <f t="shared" si="1"/>
        <v/>
      </c>
      <c r="F1481" s="22" t="str">
        <f>IFERROR(__xludf.DUMMYFUNCTION("IF(C1481="""","""", OR(REGEXMATCH(LOWER(C1481),""cuota""), REGEXMATCH(C1481,""\d+\s*/\s*\d+"")))"),"")</f>
        <v/>
      </c>
      <c r="G1481" s="22" t="str">
        <f>IFERROR(__xludf.DUMMYFUNCTION("IFERROR(VALUE(REGEXEXTRACT(C1481,""(\d+)\s*/\s*\d+"")),"""")"),"")</f>
        <v/>
      </c>
      <c r="H1481" s="22" t="str">
        <f>IFERROR(__xludf.DUMMYFUNCTION("IFERROR(VALUE(REGEXEXTRACT(C1481,""\d+\s*/\s*(\d+)"")),"""")"),"")</f>
        <v/>
      </c>
      <c r="I1481" s="22" t="str">
        <f t="shared" si="2"/>
        <v/>
      </c>
      <c r="J1481" s="34" t="str">
        <f t="shared" si="3"/>
        <v/>
      </c>
    </row>
    <row r="1482" ht="15.75" customHeight="1">
      <c r="A1482" s="32" t="s">
        <v>113</v>
      </c>
      <c r="B1482" s="32" t="str">
        <f>IF(MOV_CC_NACIONAL!A1482="","",MOV_CC_NACIONAL!A1482)</f>
        <v/>
      </c>
      <c r="C1482" s="32" t="str">
        <f>IF(MOV_CC_NACIONAL!B1482="","",MOV_CC_NACIONAL!B1482)</f>
        <v/>
      </c>
      <c r="D1482" s="33" t="str">
        <f>IF(MOV_CC_NACIONAL!C1482="","",MOV_CC_NACIONAL!C1482)</f>
        <v/>
      </c>
      <c r="E1482" s="32" t="str">
        <f t="shared" si="1"/>
        <v/>
      </c>
      <c r="F1482" s="32" t="str">
        <f>IFERROR(__xludf.DUMMYFUNCTION("IF(C1482="""","""", OR(REGEXMATCH(LOWER(C1482),""cuota""), REGEXMATCH(C1482,""\d+\s*/\s*\d+"")))"),"")</f>
        <v/>
      </c>
      <c r="G1482" s="32" t="str">
        <f>IFERROR(__xludf.DUMMYFUNCTION("IFERROR(VALUE(REGEXEXTRACT(C1482,""(\d+)\s*/\s*\d+"")),"""")"),"")</f>
        <v/>
      </c>
      <c r="H1482" s="32" t="str">
        <f>IFERROR(__xludf.DUMMYFUNCTION("IFERROR(VALUE(REGEXEXTRACT(C1482,""\d+\s*/\s*(\d+)"")),"""")"),"")</f>
        <v/>
      </c>
      <c r="I1482" s="32" t="str">
        <f t="shared" si="2"/>
        <v/>
      </c>
      <c r="J1482" s="33" t="str">
        <f t="shared" si="3"/>
        <v/>
      </c>
    </row>
    <row r="1483" ht="15.75" customHeight="1">
      <c r="A1483" s="22" t="s">
        <v>113</v>
      </c>
      <c r="B1483" s="22" t="str">
        <f>IF(MOV_CC_NACIONAL!A1483="","",MOV_CC_NACIONAL!A1483)</f>
        <v/>
      </c>
      <c r="C1483" s="22" t="str">
        <f>IF(MOV_CC_NACIONAL!B1483="","",MOV_CC_NACIONAL!B1483)</f>
        <v/>
      </c>
      <c r="D1483" s="34" t="str">
        <f>IF(MOV_CC_NACIONAL!C1483="","",MOV_CC_NACIONAL!C1483)</f>
        <v/>
      </c>
      <c r="E1483" s="22" t="str">
        <f t="shared" si="1"/>
        <v/>
      </c>
      <c r="F1483" s="22" t="str">
        <f>IFERROR(__xludf.DUMMYFUNCTION("IF(C1483="""","""", OR(REGEXMATCH(LOWER(C1483),""cuota""), REGEXMATCH(C1483,""\d+\s*/\s*\d+"")))"),"")</f>
        <v/>
      </c>
      <c r="G1483" s="22" t="str">
        <f>IFERROR(__xludf.DUMMYFUNCTION("IFERROR(VALUE(REGEXEXTRACT(C1483,""(\d+)\s*/\s*\d+"")),"""")"),"")</f>
        <v/>
      </c>
      <c r="H1483" s="22" t="str">
        <f>IFERROR(__xludf.DUMMYFUNCTION("IFERROR(VALUE(REGEXEXTRACT(C1483,""\d+\s*/\s*(\d+)"")),"""")"),"")</f>
        <v/>
      </c>
      <c r="I1483" s="22" t="str">
        <f t="shared" si="2"/>
        <v/>
      </c>
      <c r="J1483" s="34" t="str">
        <f t="shared" si="3"/>
        <v/>
      </c>
    </row>
    <row r="1484" ht="15.75" customHeight="1">
      <c r="A1484" s="32" t="s">
        <v>113</v>
      </c>
      <c r="B1484" s="32" t="str">
        <f>IF(MOV_CC_NACIONAL!A1484="","",MOV_CC_NACIONAL!A1484)</f>
        <v/>
      </c>
      <c r="C1484" s="32" t="str">
        <f>IF(MOV_CC_NACIONAL!B1484="","",MOV_CC_NACIONAL!B1484)</f>
        <v/>
      </c>
      <c r="D1484" s="33" t="str">
        <f>IF(MOV_CC_NACIONAL!C1484="","",MOV_CC_NACIONAL!C1484)</f>
        <v/>
      </c>
      <c r="E1484" s="32" t="str">
        <f t="shared" si="1"/>
        <v/>
      </c>
      <c r="F1484" s="32" t="str">
        <f>IFERROR(__xludf.DUMMYFUNCTION("IF(C1484="""","""", OR(REGEXMATCH(LOWER(C1484),""cuota""), REGEXMATCH(C1484,""\d+\s*/\s*\d+"")))"),"")</f>
        <v/>
      </c>
      <c r="G1484" s="32" t="str">
        <f>IFERROR(__xludf.DUMMYFUNCTION("IFERROR(VALUE(REGEXEXTRACT(C1484,""(\d+)\s*/\s*\d+"")),"""")"),"")</f>
        <v/>
      </c>
      <c r="H1484" s="32" t="str">
        <f>IFERROR(__xludf.DUMMYFUNCTION("IFERROR(VALUE(REGEXEXTRACT(C1484,""\d+\s*/\s*(\d+)"")),"""")"),"")</f>
        <v/>
      </c>
      <c r="I1484" s="32" t="str">
        <f t="shared" si="2"/>
        <v/>
      </c>
      <c r="J1484" s="33" t="str">
        <f t="shared" si="3"/>
        <v/>
      </c>
    </row>
    <row r="1485" ht="15.75" customHeight="1">
      <c r="A1485" s="22" t="s">
        <v>113</v>
      </c>
      <c r="B1485" s="22" t="str">
        <f>IF(MOV_CC_NACIONAL!A1485="","",MOV_CC_NACIONAL!A1485)</f>
        <v/>
      </c>
      <c r="C1485" s="22" t="str">
        <f>IF(MOV_CC_NACIONAL!B1485="","",MOV_CC_NACIONAL!B1485)</f>
        <v/>
      </c>
      <c r="D1485" s="34" t="str">
        <f>IF(MOV_CC_NACIONAL!C1485="","",MOV_CC_NACIONAL!C1485)</f>
        <v/>
      </c>
      <c r="E1485" s="22" t="str">
        <f t="shared" si="1"/>
        <v/>
      </c>
      <c r="F1485" s="22" t="str">
        <f>IFERROR(__xludf.DUMMYFUNCTION("IF(C1485="""","""", OR(REGEXMATCH(LOWER(C1485),""cuota""), REGEXMATCH(C1485,""\d+\s*/\s*\d+"")))"),"")</f>
        <v/>
      </c>
      <c r="G1485" s="22" t="str">
        <f>IFERROR(__xludf.DUMMYFUNCTION("IFERROR(VALUE(REGEXEXTRACT(C1485,""(\d+)\s*/\s*\d+"")),"""")"),"")</f>
        <v/>
      </c>
      <c r="H1485" s="22" t="str">
        <f>IFERROR(__xludf.DUMMYFUNCTION("IFERROR(VALUE(REGEXEXTRACT(C1485,""\d+\s*/\s*(\d+)"")),"""")"),"")</f>
        <v/>
      </c>
      <c r="I1485" s="22" t="str">
        <f t="shared" si="2"/>
        <v/>
      </c>
      <c r="J1485" s="34" t="str">
        <f t="shared" si="3"/>
        <v/>
      </c>
    </row>
    <row r="1486" ht="15.75" customHeight="1">
      <c r="A1486" s="32" t="s">
        <v>113</v>
      </c>
      <c r="B1486" s="32" t="str">
        <f>IF(MOV_CC_NACIONAL!A1486="","",MOV_CC_NACIONAL!A1486)</f>
        <v/>
      </c>
      <c r="C1486" s="32" t="str">
        <f>IF(MOV_CC_NACIONAL!B1486="","",MOV_CC_NACIONAL!B1486)</f>
        <v/>
      </c>
      <c r="D1486" s="33" t="str">
        <f>IF(MOV_CC_NACIONAL!C1486="","",MOV_CC_NACIONAL!C1486)</f>
        <v/>
      </c>
      <c r="E1486" s="32" t="str">
        <f t="shared" si="1"/>
        <v/>
      </c>
      <c r="F1486" s="32" t="str">
        <f>IFERROR(__xludf.DUMMYFUNCTION("IF(C1486="""","""", OR(REGEXMATCH(LOWER(C1486),""cuota""), REGEXMATCH(C1486,""\d+\s*/\s*\d+"")))"),"")</f>
        <v/>
      </c>
      <c r="G1486" s="32" t="str">
        <f>IFERROR(__xludf.DUMMYFUNCTION("IFERROR(VALUE(REGEXEXTRACT(C1486,""(\d+)\s*/\s*\d+"")),"""")"),"")</f>
        <v/>
      </c>
      <c r="H1486" s="32" t="str">
        <f>IFERROR(__xludf.DUMMYFUNCTION("IFERROR(VALUE(REGEXEXTRACT(C1486,""\d+\s*/\s*(\d+)"")),"""")"),"")</f>
        <v/>
      </c>
      <c r="I1486" s="32" t="str">
        <f t="shared" si="2"/>
        <v/>
      </c>
      <c r="J1486" s="33" t="str">
        <f t="shared" si="3"/>
        <v/>
      </c>
    </row>
    <row r="1487" ht="15.75" customHeight="1">
      <c r="A1487" s="22" t="s">
        <v>113</v>
      </c>
      <c r="B1487" s="22" t="str">
        <f>IF(MOV_CC_NACIONAL!A1487="","",MOV_CC_NACIONAL!A1487)</f>
        <v/>
      </c>
      <c r="C1487" s="22" t="str">
        <f>IF(MOV_CC_NACIONAL!B1487="","",MOV_CC_NACIONAL!B1487)</f>
        <v/>
      </c>
      <c r="D1487" s="34" t="str">
        <f>IF(MOV_CC_NACIONAL!C1487="","",MOV_CC_NACIONAL!C1487)</f>
        <v/>
      </c>
      <c r="E1487" s="22" t="str">
        <f t="shared" si="1"/>
        <v/>
      </c>
      <c r="F1487" s="22" t="str">
        <f>IFERROR(__xludf.DUMMYFUNCTION("IF(C1487="""","""", OR(REGEXMATCH(LOWER(C1487),""cuota""), REGEXMATCH(C1487,""\d+\s*/\s*\d+"")))"),"")</f>
        <v/>
      </c>
      <c r="G1487" s="22" t="str">
        <f>IFERROR(__xludf.DUMMYFUNCTION("IFERROR(VALUE(REGEXEXTRACT(C1487,""(\d+)\s*/\s*\d+"")),"""")"),"")</f>
        <v/>
      </c>
      <c r="H1487" s="22" t="str">
        <f>IFERROR(__xludf.DUMMYFUNCTION("IFERROR(VALUE(REGEXEXTRACT(C1487,""\d+\s*/\s*(\d+)"")),"""")"),"")</f>
        <v/>
      </c>
      <c r="I1487" s="22" t="str">
        <f t="shared" si="2"/>
        <v/>
      </c>
      <c r="J1487" s="34" t="str">
        <f t="shared" si="3"/>
        <v/>
      </c>
    </row>
    <row r="1488" ht="15.75" customHeight="1">
      <c r="A1488" s="32" t="s">
        <v>113</v>
      </c>
      <c r="B1488" s="32" t="str">
        <f>IF(MOV_CC_NACIONAL!A1488="","",MOV_CC_NACIONAL!A1488)</f>
        <v/>
      </c>
      <c r="C1488" s="32" t="str">
        <f>IF(MOV_CC_NACIONAL!B1488="","",MOV_CC_NACIONAL!B1488)</f>
        <v/>
      </c>
      <c r="D1488" s="33" t="str">
        <f>IF(MOV_CC_NACIONAL!C1488="","",MOV_CC_NACIONAL!C1488)</f>
        <v/>
      </c>
      <c r="E1488" s="32" t="str">
        <f t="shared" si="1"/>
        <v/>
      </c>
      <c r="F1488" s="32" t="str">
        <f>IFERROR(__xludf.DUMMYFUNCTION("IF(C1488="""","""", OR(REGEXMATCH(LOWER(C1488),""cuota""), REGEXMATCH(C1488,""\d+\s*/\s*\d+"")))"),"")</f>
        <v/>
      </c>
      <c r="G1488" s="32" t="str">
        <f>IFERROR(__xludf.DUMMYFUNCTION("IFERROR(VALUE(REGEXEXTRACT(C1488,""(\d+)\s*/\s*\d+"")),"""")"),"")</f>
        <v/>
      </c>
      <c r="H1488" s="32" t="str">
        <f>IFERROR(__xludf.DUMMYFUNCTION("IFERROR(VALUE(REGEXEXTRACT(C1488,""\d+\s*/\s*(\d+)"")),"""")"),"")</f>
        <v/>
      </c>
      <c r="I1488" s="32" t="str">
        <f t="shared" si="2"/>
        <v/>
      </c>
      <c r="J1488" s="33" t="str">
        <f t="shared" si="3"/>
        <v/>
      </c>
    </row>
    <row r="1489" ht="15.75" customHeight="1">
      <c r="A1489" s="22" t="s">
        <v>113</v>
      </c>
      <c r="B1489" s="22" t="str">
        <f>IF(MOV_CC_NACIONAL!A1489="","",MOV_CC_NACIONAL!A1489)</f>
        <v/>
      </c>
      <c r="C1489" s="22" t="str">
        <f>IF(MOV_CC_NACIONAL!B1489="","",MOV_CC_NACIONAL!B1489)</f>
        <v/>
      </c>
      <c r="D1489" s="34" t="str">
        <f>IF(MOV_CC_NACIONAL!C1489="","",MOV_CC_NACIONAL!C1489)</f>
        <v/>
      </c>
      <c r="E1489" s="22" t="str">
        <f t="shared" si="1"/>
        <v/>
      </c>
      <c r="F1489" s="22" t="str">
        <f>IFERROR(__xludf.DUMMYFUNCTION("IF(C1489="""","""", OR(REGEXMATCH(LOWER(C1489),""cuota""), REGEXMATCH(C1489,""\d+\s*/\s*\d+"")))"),"")</f>
        <v/>
      </c>
      <c r="G1489" s="22" t="str">
        <f>IFERROR(__xludf.DUMMYFUNCTION("IFERROR(VALUE(REGEXEXTRACT(C1489,""(\d+)\s*/\s*\d+"")),"""")"),"")</f>
        <v/>
      </c>
      <c r="H1489" s="22" t="str">
        <f>IFERROR(__xludf.DUMMYFUNCTION("IFERROR(VALUE(REGEXEXTRACT(C1489,""\d+\s*/\s*(\d+)"")),"""")"),"")</f>
        <v/>
      </c>
      <c r="I1489" s="22" t="str">
        <f t="shared" si="2"/>
        <v/>
      </c>
      <c r="J1489" s="34" t="str">
        <f t="shared" si="3"/>
        <v/>
      </c>
    </row>
    <row r="1490" ht="15.75" customHeight="1">
      <c r="A1490" s="32" t="s">
        <v>113</v>
      </c>
      <c r="B1490" s="32" t="str">
        <f>IF(MOV_CC_NACIONAL!A1490="","",MOV_CC_NACIONAL!A1490)</f>
        <v/>
      </c>
      <c r="C1490" s="32" t="str">
        <f>IF(MOV_CC_NACIONAL!B1490="","",MOV_CC_NACIONAL!B1490)</f>
        <v/>
      </c>
      <c r="D1490" s="33" t="str">
        <f>IF(MOV_CC_NACIONAL!C1490="","",MOV_CC_NACIONAL!C1490)</f>
        <v/>
      </c>
      <c r="E1490" s="32" t="str">
        <f t="shared" si="1"/>
        <v/>
      </c>
      <c r="F1490" s="32" t="str">
        <f>IFERROR(__xludf.DUMMYFUNCTION("IF(C1490="""","""", OR(REGEXMATCH(LOWER(C1490),""cuota""), REGEXMATCH(C1490,""\d+\s*/\s*\d+"")))"),"")</f>
        <v/>
      </c>
      <c r="G1490" s="32" t="str">
        <f>IFERROR(__xludf.DUMMYFUNCTION("IFERROR(VALUE(REGEXEXTRACT(C1490,""(\d+)\s*/\s*\d+"")),"""")"),"")</f>
        <v/>
      </c>
      <c r="H1490" s="32" t="str">
        <f>IFERROR(__xludf.DUMMYFUNCTION("IFERROR(VALUE(REGEXEXTRACT(C1490,""\d+\s*/\s*(\d+)"")),"""")"),"")</f>
        <v/>
      </c>
      <c r="I1490" s="32" t="str">
        <f t="shared" si="2"/>
        <v/>
      </c>
      <c r="J1490" s="33" t="str">
        <f t="shared" si="3"/>
        <v/>
      </c>
    </row>
    <row r="1491" ht="15.75" customHeight="1">
      <c r="A1491" s="22" t="s">
        <v>113</v>
      </c>
      <c r="B1491" s="22" t="str">
        <f>IF(MOV_CC_NACIONAL!A1491="","",MOV_CC_NACIONAL!A1491)</f>
        <v/>
      </c>
      <c r="C1491" s="22" t="str">
        <f>IF(MOV_CC_NACIONAL!B1491="","",MOV_CC_NACIONAL!B1491)</f>
        <v/>
      </c>
      <c r="D1491" s="34" t="str">
        <f>IF(MOV_CC_NACIONAL!C1491="","",MOV_CC_NACIONAL!C1491)</f>
        <v/>
      </c>
      <c r="E1491" s="22" t="str">
        <f t="shared" si="1"/>
        <v/>
      </c>
      <c r="F1491" s="22" t="str">
        <f>IFERROR(__xludf.DUMMYFUNCTION("IF(C1491="""","""", OR(REGEXMATCH(LOWER(C1491),""cuota""), REGEXMATCH(C1491,""\d+\s*/\s*\d+"")))"),"")</f>
        <v/>
      </c>
      <c r="G1491" s="22" t="str">
        <f>IFERROR(__xludf.DUMMYFUNCTION("IFERROR(VALUE(REGEXEXTRACT(C1491,""(\d+)\s*/\s*\d+"")),"""")"),"")</f>
        <v/>
      </c>
      <c r="H1491" s="22" t="str">
        <f>IFERROR(__xludf.DUMMYFUNCTION("IFERROR(VALUE(REGEXEXTRACT(C1491,""\d+\s*/\s*(\d+)"")),"""")"),"")</f>
        <v/>
      </c>
      <c r="I1491" s="22" t="str">
        <f t="shared" si="2"/>
        <v/>
      </c>
      <c r="J1491" s="34" t="str">
        <f t="shared" si="3"/>
        <v/>
      </c>
    </row>
    <row r="1492" ht="15.75" customHeight="1">
      <c r="A1492" s="32" t="s">
        <v>113</v>
      </c>
      <c r="B1492" s="32" t="str">
        <f>IF(MOV_CC_NACIONAL!A1492="","",MOV_CC_NACIONAL!A1492)</f>
        <v/>
      </c>
      <c r="C1492" s="32" t="str">
        <f>IF(MOV_CC_NACIONAL!B1492="","",MOV_CC_NACIONAL!B1492)</f>
        <v/>
      </c>
      <c r="D1492" s="33" t="str">
        <f>IF(MOV_CC_NACIONAL!C1492="","",MOV_CC_NACIONAL!C1492)</f>
        <v/>
      </c>
      <c r="E1492" s="32" t="str">
        <f t="shared" si="1"/>
        <v/>
      </c>
      <c r="F1492" s="32" t="str">
        <f>IFERROR(__xludf.DUMMYFUNCTION("IF(C1492="""","""", OR(REGEXMATCH(LOWER(C1492),""cuota""), REGEXMATCH(C1492,""\d+\s*/\s*\d+"")))"),"")</f>
        <v/>
      </c>
      <c r="G1492" s="32" t="str">
        <f>IFERROR(__xludf.DUMMYFUNCTION("IFERROR(VALUE(REGEXEXTRACT(C1492,""(\d+)\s*/\s*\d+"")),"""")"),"")</f>
        <v/>
      </c>
      <c r="H1492" s="32" t="str">
        <f>IFERROR(__xludf.DUMMYFUNCTION("IFERROR(VALUE(REGEXEXTRACT(C1492,""\d+\s*/\s*(\d+)"")),"""")"),"")</f>
        <v/>
      </c>
      <c r="I1492" s="32" t="str">
        <f t="shared" si="2"/>
        <v/>
      </c>
      <c r="J1492" s="33" t="str">
        <f t="shared" si="3"/>
        <v/>
      </c>
    </row>
    <row r="1493" ht="15.75" customHeight="1">
      <c r="A1493" s="22" t="s">
        <v>113</v>
      </c>
      <c r="B1493" s="22" t="str">
        <f>IF(MOV_CC_NACIONAL!A1493="","",MOV_CC_NACIONAL!A1493)</f>
        <v/>
      </c>
      <c r="C1493" s="22" t="str">
        <f>IF(MOV_CC_NACIONAL!B1493="","",MOV_CC_NACIONAL!B1493)</f>
        <v/>
      </c>
      <c r="D1493" s="34" t="str">
        <f>IF(MOV_CC_NACIONAL!C1493="","",MOV_CC_NACIONAL!C1493)</f>
        <v/>
      </c>
      <c r="E1493" s="22" t="str">
        <f t="shared" si="1"/>
        <v/>
      </c>
      <c r="F1493" s="22" t="str">
        <f>IFERROR(__xludf.DUMMYFUNCTION("IF(C1493="""","""", OR(REGEXMATCH(LOWER(C1493),""cuota""), REGEXMATCH(C1493,""\d+\s*/\s*\d+"")))"),"")</f>
        <v/>
      </c>
      <c r="G1493" s="22" t="str">
        <f>IFERROR(__xludf.DUMMYFUNCTION("IFERROR(VALUE(REGEXEXTRACT(C1493,""(\d+)\s*/\s*\d+"")),"""")"),"")</f>
        <v/>
      </c>
      <c r="H1493" s="22" t="str">
        <f>IFERROR(__xludf.DUMMYFUNCTION("IFERROR(VALUE(REGEXEXTRACT(C1493,""\d+\s*/\s*(\d+)"")),"""")"),"")</f>
        <v/>
      </c>
      <c r="I1493" s="22" t="str">
        <f t="shared" si="2"/>
        <v/>
      </c>
      <c r="J1493" s="34" t="str">
        <f t="shared" si="3"/>
        <v/>
      </c>
    </row>
    <row r="1494" ht="15.75" customHeight="1">
      <c r="A1494" s="32" t="s">
        <v>113</v>
      </c>
      <c r="B1494" s="32" t="str">
        <f>IF(MOV_CC_NACIONAL!A1494="","",MOV_CC_NACIONAL!A1494)</f>
        <v/>
      </c>
      <c r="C1494" s="32" t="str">
        <f>IF(MOV_CC_NACIONAL!B1494="","",MOV_CC_NACIONAL!B1494)</f>
        <v/>
      </c>
      <c r="D1494" s="33" t="str">
        <f>IF(MOV_CC_NACIONAL!C1494="","",MOV_CC_NACIONAL!C1494)</f>
        <v/>
      </c>
      <c r="E1494" s="32" t="str">
        <f t="shared" si="1"/>
        <v/>
      </c>
      <c r="F1494" s="32" t="str">
        <f>IFERROR(__xludf.DUMMYFUNCTION("IF(C1494="""","""", OR(REGEXMATCH(LOWER(C1494),""cuota""), REGEXMATCH(C1494,""\d+\s*/\s*\d+"")))"),"")</f>
        <v/>
      </c>
      <c r="G1494" s="32" t="str">
        <f>IFERROR(__xludf.DUMMYFUNCTION("IFERROR(VALUE(REGEXEXTRACT(C1494,""(\d+)\s*/\s*\d+"")),"""")"),"")</f>
        <v/>
      </c>
      <c r="H1494" s="32" t="str">
        <f>IFERROR(__xludf.DUMMYFUNCTION("IFERROR(VALUE(REGEXEXTRACT(C1494,""\d+\s*/\s*(\d+)"")),"""")"),"")</f>
        <v/>
      </c>
      <c r="I1494" s="32" t="str">
        <f t="shared" si="2"/>
        <v/>
      </c>
      <c r="J1494" s="33" t="str">
        <f t="shared" si="3"/>
        <v/>
      </c>
    </row>
    <row r="1495" ht="15.75" customHeight="1">
      <c r="A1495" s="22" t="s">
        <v>113</v>
      </c>
      <c r="B1495" s="22" t="str">
        <f>IF(MOV_CC_NACIONAL!A1495="","",MOV_CC_NACIONAL!A1495)</f>
        <v/>
      </c>
      <c r="C1495" s="22" t="str">
        <f>IF(MOV_CC_NACIONAL!B1495="","",MOV_CC_NACIONAL!B1495)</f>
        <v/>
      </c>
      <c r="D1495" s="34" t="str">
        <f>IF(MOV_CC_NACIONAL!C1495="","",MOV_CC_NACIONAL!C1495)</f>
        <v/>
      </c>
      <c r="E1495" s="22" t="str">
        <f t="shared" si="1"/>
        <v/>
      </c>
      <c r="F1495" s="22" t="str">
        <f>IFERROR(__xludf.DUMMYFUNCTION("IF(C1495="""","""", OR(REGEXMATCH(LOWER(C1495),""cuota""), REGEXMATCH(C1495,""\d+\s*/\s*\d+"")))"),"")</f>
        <v/>
      </c>
      <c r="G1495" s="22" t="str">
        <f>IFERROR(__xludf.DUMMYFUNCTION("IFERROR(VALUE(REGEXEXTRACT(C1495,""(\d+)\s*/\s*\d+"")),"""")"),"")</f>
        <v/>
      </c>
      <c r="H1495" s="22" t="str">
        <f>IFERROR(__xludf.DUMMYFUNCTION("IFERROR(VALUE(REGEXEXTRACT(C1495,""\d+\s*/\s*(\d+)"")),"""")"),"")</f>
        <v/>
      </c>
      <c r="I1495" s="22" t="str">
        <f t="shared" si="2"/>
        <v/>
      </c>
      <c r="J1495" s="34" t="str">
        <f t="shared" si="3"/>
        <v/>
      </c>
    </row>
    <row r="1496" ht="15.75" customHeight="1">
      <c r="A1496" s="32" t="s">
        <v>113</v>
      </c>
      <c r="B1496" s="32" t="str">
        <f>IF(MOV_CC_NACIONAL!A1496="","",MOV_CC_NACIONAL!A1496)</f>
        <v/>
      </c>
      <c r="C1496" s="32" t="str">
        <f>IF(MOV_CC_NACIONAL!B1496="","",MOV_CC_NACIONAL!B1496)</f>
        <v/>
      </c>
      <c r="D1496" s="33" t="str">
        <f>IF(MOV_CC_NACIONAL!C1496="","",MOV_CC_NACIONAL!C1496)</f>
        <v/>
      </c>
      <c r="E1496" s="32" t="str">
        <f t="shared" si="1"/>
        <v/>
      </c>
      <c r="F1496" s="32" t="str">
        <f>IFERROR(__xludf.DUMMYFUNCTION("IF(C1496="""","""", OR(REGEXMATCH(LOWER(C1496),""cuota""), REGEXMATCH(C1496,""\d+\s*/\s*\d+"")))"),"")</f>
        <v/>
      </c>
      <c r="G1496" s="32" t="str">
        <f>IFERROR(__xludf.DUMMYFUNCTION("IFERROR(VALUE(REGEXEXTRACT(C1496,""(\d+)\s*/\s*\d+"")),"""")"),"")</f>
        <v/>
      </c>
      <c r="H1496" s="32" t="str">
        <f>IFERROR(__xludf.DUMMYFUNCTION("IFERROR(VALUE(REGEXEXTRACT(C1496,""\d+\s*/\s*(\d+)"")),"""")"),"")</f>
        <v/>
      </c>
      <c r="I1496" s="32" t="str">
        <f t="shared" si="2"/>
        <v/>
      </c>
      <c r="J1496" s="33" t="str">
        <f t="shared" si="3"/>
        <v/>
      </c>
    </row>
    <row r="1497" ht="15.75" customHeight="1">
      <c r="A1497" s="22" t="s">
        <v>113</v>
      </c>
      <c r="B1497" s="22" t="str">
        <f>IF(MOV_CC_NACIONAL!A1497="","",MOV_CC_NACIONAL!A1497)</f>
        <v/>
      </c>
      <c r="C1497" s="22" t="str">
        <f>IF(MOV_CC_NACIONAL!B1497="","",MOV_CC_NACIONAL!B1497)</f>
        <v/>
      </c>
      <c r="D1497" s="34" t="str">
        <f>IF(MOV_CC_NACIONAL!C1497="","",MOV_CC_NACIONAL!C1497)</f>
        <v/>
      </c>
      <c r="E1497" s="22" t="str">
        <f t="shared" si="1"/>
        <v/>
      </c>
      <c r="F1497" s="22" t="str">
        <f>IFERROR(__xludf.DUMMYFUNCTION("IF(C1497="""","""", OR(REGEXMATCH(LOWER(C1497),""cuota""), REGEXMATCH(C1497,""\d+\s*/\s*\d+"")))"),"")</f>
        <v/>
      </c>
      <c r="G1497" s="22" t="str">
        <f>IFERROR(__xludf.DUMMYFUNCTION("IFERROR(VALUE(REGEXEXTRACT(C1497,""(\d+)\s*/\s*\d+"")),"""")"),"")</f>
        <v/>
      </c>
      <c r="H1497" s="22" t="str">
        <f>IFERROR(__xludf.DUMMYFUNCTION("IFERROR(VALUE(REGEXEXTRACT(C1497,""\d+\s*/\s*(\d+)"")),"""")"),"")</f>
        <v/>
      </c>
      <c r="I1497" s="22" t="str">
        <f t="shared" si="2"/>
        <v/>
      </c>
      <c r="J1497" s="34" t="str">
        <f t="shared" si="3"/>
        <v/>
      </c>
    </row>
    <row r="1498" ht="15.75" customHeight="1">
      <c r="A1498" s="32" t="s">
        <v>113</v>
      </c>
      <c r="B1498" s="32" t="str">
        <f>IF(MOV_CC_NACIONAL!A1498="","",MOV_CC_NACIONAL!A1498)</f>
        <v/>
      </c>
      <c r="C1498" s="32" t="str">
        <f>IF(MOV_CC_NACIONAL!B1498="","",MOV_CC_NACIONAL!B1498)</f>
        <v/>
      </c>
      <c r="D1498" s="33" t="str">
        <f>IF(MOV_CC_NACIONAL!C1498="","",MOV_CC_NACIONAL!C1498)</f>
        <v/>
      </c>
      <c r="E1498" s="32" t="str">
        <f t="shared" si="1"/>
        <v/>
      </c>
      <c r="F1498" s="32" t="str">
        <f>IFERROR(__xludf.DUMMYFUNCTION("IF(C1498="""","""", OR(REGEXMATCH(LOWER(C1498),""cuota""), REGEXMATCH(C1498,""\d+\s*/\s*\d+"")))"),"")</f>
        <v/>
      </c>
      <c r="G1498" s="32" t="str">
        <f>IFERROR(__xludf.DUMMYFUNCTION("IFERROR(VALUE(REGEXEXTRACT(C1498,""(\d+)\s*/\s*\d+"")),"""")"),"")</f>
        <v/>
      </c>
      <c r="H1498" s="32" t="str">
        <f>IFERROR(__xludf.DUMMYFUNCTION("IFERROR(VALUE(REGEXEXTRACT(C1498,""\d+\s*/\s*(\d+)"")),"""")"),"")</f>
        <v/>
      </c>
      <c r="I1498" s="32" t="str">
        <f t="shared" si="2"/>
        <v/>
      </c>
      <c r="J1498" s="33" t="str">
        <f t="shared" si="3"/>
        <v/>
      </c>
    </row>
    <row r="1499" ht="15.75" customHeight="1">
      <c r="A1499" s="22" t="s">
        <v>113</v>
      </c>
      <c r="B1499" s="22" t="str">
        <f>IF(MOV_CC_NACIONAL!A1499="","",MOV_CC_NACIONAL!A1499)</f>
        <v/>
      </c>
      <c r="C1499" s="22" t="str">
        <f>IF(MOV_CC_NACIONAL!B1499="","",MOV_CC_NACIONAL!B1499)</f>
        <v/>
      </c>
      <c r="D1499" s="34" t="str">
        <f>IF(MOV_CC_NACIONAL!C1499="","",MOV_CC_NACIONAL!C1499)</f>
        <v/>
      </c>
      <c r="E1499" s="22" t="str">
        <f t="shared" si="1"/>
        <v/>
      </c>
      <c r="F1499" s="22" t="str">
        <f>IFERROR(__xludf.DUMMYFUNCTION("IF(C1499="""","""", OR(REGEXMATCH(LOWER(C1499),""cuota""), REGEXMATCH(C1499,""\d+\s*/\s*\d+"")))"),"")</f>
        <v/>
      </c>
      <c r="G1499" s="22" t="str">
        <f>IFERROR(__xludf.DUMMYFUNCTION("IFERROR(VALUE(REGEXEXTRACT(C1499,""(\d+)\s*/\s*\d+"")),"""")"),"")</f>
        <v/>
      </c>
      <c r="H1499" s="22" t="str">
        <f>IFERROR(__xludf.DUMMYFUNCTION("IFERROR(VALUE(REGEXEXTRACT(C1499,""\d+\s*/\s*(\d+)"")),"""")"),"")</f>
        <v/>
      </c>
      <c r="I1499" s="22" t="str">
        <f t="shared" si="2"/>
        <v/>
      </c>
      <c r="J1499" s="34" t="str">
        <f t="shared" si="3"/>
        <v/>
      </c>
    </row>
    <row r="1500" ht="15.75" customHeight="1">
      <c r="A1500" s="32" t="s">
        <v>113</v>
      </c>
      <c r="B1500" s="32" t="str">
        <f>IF(MOV_CC_NACIONAL!A1500="","",MOV_CC_NACIONAL!A1500)</f>
        <v/>
      </c>
      <c r="C1500" s="32" t="str">
        <f>IF(MOV_CC_NACIONAL!B1500="","",MOV_CC_NACIONAL!B1500)</f>
        <v/>
      </c>
      <c r="D1500" s="33" t="str">
        <f>IF(MOV_CC_NACIONAL!C1500="","",MOV_CC_NACIONAL!C1500)</f>
        <v/>
      </c>
      <c r="E1500" s="32" t="str">
        <f t="shared" si="1"/>
        <v/>
      </c>
      <c r="F1500" s="32" t="str">
        <f>IFERROR(__xludf.DUMMYFUNCTION("IF(C1500="""","""", OR(REGEXMATCH(LOWER(C1500),""cuota""), REGEXMATCH(C1500,""\d+\s*/\s*\d+"")))"),"")</f>
        <v/>
      </c>
      <c r="G1500" s="32" t="str">
        <f>IFERROR(__xludf.DUMMYFUNCTION("IFERROR(VALUE(REGEXEXTRACT(C1500,""(\d+)\s*/\s*\d+"")),"""")"),"")</f>
        <v/>
      </c>
      <c r="H1500" s="32" t="str">
        <f>IFERROR(__xludf.DUMMYFUNCTION("IFERROR(VALUE(REGEXEXTRACT(C1500,""\d+\s*/\s*(\d+)"")),"""")"),"")</f>
        <v/>
      </c>
      <c r="I1500" s="32" t="str">
        <f t="shared" si="2"/>
        <v/>
      </c>
      <c r="J1500" s="33" t="str">
        <f t="shared" si="3"/>
        <v/>
      </c>
    </row>
    <row r="1501" ht="15.75" customHeight="1">
      <c r="A1501" s="22" t="s">
        <v>113</v>
      </c>
      <c r="B1501" s="22" t="str">
        <f>IF(MOV_CC_NACIONAL!A1501="","",MOV_CC_NACIONAL!A1501)</f>
        <v/>
      </c>
      <c r="C1501" s="22" t="str">
        <f>IF(MOV_CC_NACIONAL!B1501="","",MOV_CC_NACIONAL!B1501)</f>
        <v/>
      </c>
      <c r="D1501" s="34" t="str">
        <f>IF(MOV_CC_NACIONAL!C1501="","",MOV_CC_NACIONAL!C1501)</f>
        <v/>
      </c>
      <c r="E1501" s="22" t="str">
        <f t="shared" si="1"/>
        <v/>
      </c>
      <c r="F1501" s="22" t="str">
        <f>IFERROR(__xludf.DUMMYFUNCTION("IF(C1501="""","""", OR(REGEXMATCH(LOWER(C1501),""cuota""), REGEXMATCH(C1501,""\d+\s*/\s*\d+"")))"),"")</f>
        <v/>
      </c>
      <c r="G1501" s="22" t="str">
        <f>IFERROR(__xludf.DUMMYFUNCTION("IFERROR(VALUE(REGEXEXTRACT(C1501,""(\d+)\s*/\s*\d+"")),"""")"),"")</f>
        <v/>
      </c>
      <c r="H1501" s="22" t="str">
        <f>IFERROR(__xludf.DUMMYFUNCTION("IFERROR(VALUE(REGEXEXTRACT(C1501,""\d+\s*/\s*(\d+)"")),"""")"),"")</f>
        <v/>
      </c>
      <c r="I1501" s="22" t="str">
        <f t="shared" si="2"/>
        <v/>
      </c>
      <c r="J1501" s="34" t="str">
        <f t="shared" si="3"/>
        <v/>
      </c>
    </row>
    <row r="1502" ht="15.75" customHeight="1">
      <c r="A1502" s="32" t="s">
        <v>113</v>
      </c>
      <c r="B1502" s="32" t="str">
        <f>IF(MOV_CC_NACIONAL!A1502="","",MOV_CC_NACIONAL!A1502)</f>
        <v/>
      </c>
      <c r="C1502" s="32" t="str">
        <f>IF(MOV_CC_NACIONAL!B1502="","",MOV_CC_NACIONAL!B1502)</f>
        <v/>
      </c>
      <c r="D1502" s="33" t="str">
        <f>IF(MOV_CC_NACIONAL!C1502="","",MOV_CC_NACIONAL!C1502)</f>
        <v/>
      </c>
      <c r="E1502" s="32" t="str">
        <f t="shared" si="1"/>
        <v/>
      </c>
      <c r="F1502" s="32" t="str">
        <f>IFERROR(__xludf.DUMMYFUNCTION("IF(C1502="""","""", OR(REGEXMATCH(LOWER(C1502),""cuota""), REGEXMATCH(C1502,""\d+\s*/\s*\d+"")))"),"")</f>
        <v/>
      </c>
      <c r="G1502" s="32" t="str">
        <f>IFERROR(__xludf.DUMMYFUNCTION("IFERROR(VALUE(REGEXEXTRACT(C1502,""(\d+)\s*/\s*\d+"")),"""")"),"")</f>
        <v/>
      </c>
      <c r="H1502" s="32" t="str">
        <f>IFERROR(__xludf.DUMMYFUNCTION("IFERROR(VALUE(REGEXEXTRACT(C1502,""\d+\s*/\s*(\d+)"")),"""")"),"")</f>
        <v/>
      </c>
      <c r="I1502" s="32" t="str">
        <f t="shared" si="2"/>
        <v/>
      </c>
      <c r="J1502" s="33" t="str">
        <f t="shared" si="3"/>
        <v/>
      </c>
    </row>
    <row r="1503" ht="15.75" customHeight="1">
      <c r="A1503" s="22" t="s">
        <v>113</v>
      </c>
      <c r="B1503" s="22" t="str">
        <f>IF(MOV_CC_NACIONAL!A1503="","",MOV_CC_NACIONAL!A1503)</f>
        <v/>
      </c>
      <c r="C1503" s="22" t="str">
        <f>IF(MOV_CC_NACIONAL!B1503="","",MOV_CC_NACIONAL!B1503)</f>
        <v/>
      </c>
      <c r="D1503" s="34" t="str">
        <f>IF(MOV_CC_NACIONAL!C1503="","",MOV_CC_NACIONAL!C1503)</f>
        <v/>
      </c>
      <c r="E1503" s="22" t="str">
        <f t="shared" si="1"/>
        <v/>
      </c>
      <c r="F1503" s="22" t="str">
        <f>IFERROR(__xludf.DUMMYFUNCTION("IF(C1503="""","""", OR(REGEXMATCH(LOWER(C1503),""cuota""), REGEXMATCH(C1503,""\d+\s*/\s*\d+"")))"),"")</f>
        <v/>
      </c>
      <c r="G1503" s="22" t="str">
        <f>IFERROR(__xludf.DUMMYFUNCTION("IFERROR(VALUE(REGEXEXTRACT(C1503,""(\d+)\s*/\s*\d+"")),"""")"),"")</f>
        <v/>
      </c>
      <c r="H1503" s="22" t="str">
        <f>IFERROR(__xludf.DUMMYFUNCTION("IFERROR(VALUE(REGEXEXTRACT(C1503,""\d+\s*/\s*(\d+)"")),"""")"),"")</f>
        <v/>
      </c>
      <c r="I1503" s="22" t="str">
        <f t="shared" si="2"/>
        <v/>
      </c>
      <c r="J1503" s="34" t="str">
        <f t="shared" si="3"/>
        <v/>
      </c>
    </row>
    <row r="1504" ht="15.75" customHeight="1">
      <c r="A1504" s="32" t="s">
        <v>113</v>
      </c>
      <c r="B1504" s="32" t="str">
        <f>IF(MOV_CC_NACIONAL!A1504="","",MOV_CC_NACIONAL!A1504)</f>
        <v/>
      </c>
      <c r="C1504" s="32" t="str">
        <f>IF(MOV_CC_NACIONAL!B1504="","",MOV_CC_NACIONAL!B1504)</f>
        <v/>
      </c>
      <c r="D1504" s="33" t="str">
        <f>IF(MOV_CC_NACIONAL!C1504="","",MOV_CC_NACIONAL!C1504)</f>
        <v/>
      </c>
      <c r="E1504" s="32" t="str">
        <f t="shared" si="1"/>
        <v/>
      </c>
      <c r="F1504" s="32" t="str">
        <f>IFERROR(__xludf.DUMMYFUNCTION("IF(C1504="""","""", OR(REGEXMATCH(LOWER(C1504),""cuota""), REGEXMATCH(C1504,""\d+\s*/\s*\d+"")))"),"")</f>
        <v/>
      </c>
      <c r="G1504" s="32" t="str">
        <f>IFERROR(__xludf.DUMMYFUNCTION("IFERROR(VALUE(REGEXEXTRACT(C1504,""(\d+)\s*/\s*\d+"")),"""")"),"")</f>
        <v/>
      </c>
      <c r="H1504" s="32" t="str">
        <f>IFERROR(__xludf.DUMMYFUNCTION("IFERROR(VALUE(REGEXEXTRACT(C1504,""\d+\s*/\s*(\d+)"")),"""")"),"")</f>
        <v/>
      </c>
      <c r="I1504" s="32" t="str">
        <f t="shared" si="2"/>
        <v/>
      </c>
      <c r="J1504" s="33" t="str">
        <f t="shared" si="3"/>
        <v/>
      </c>
    </row>
    <row r="1505" ht="15.75" customHeight="1">
      <c r="A1505" s="22" t="s">
        <v>113</v>
      </c>
      <c r="B1505" s="22" t="str">
        <f>IF(MOV_CC_NACIONAL!A1505="","",MOV_CC_NACIONAL!A1505)</f>
        <v/>
      </c>
      <c r="C1505" s="22" t="str">
        <f>IF(MOV_CC_NACIONAL!B1505="","",MOV_CC_NACIONAL!B1505)</f>
        <v/>
      </c>
      <c r="D1505" s="34" t="str">
        <f>IF(MOV_CC_NACIONAL!C1505="","",MOV_CC_NACIONAL!C1505)</f>
        <v/>
      </c>
      <c r="E1505" s="22" t="str">
        <f t="shared" si="1"/>
        <v/>
      </c>
      <c r="F1505" s="22" t="str">
        <f>IFERROR(__xludf.DUMMYFUNCTION("IF(C1505="""","""", OR(REGEXMATCH(LOWER(C1505),""cuota""), REGEXMATCH(C1505,""\d+\s*/\s*\d+"")))"),"")</f>
        <v/>
      </c>
      <c r="G1505" s="22" t="str">
        <f>IFERROR(__xludf.DUMMYFUNCTION("IFERROR(VALUE(REGEXEXTRACT(C1505,""(\d+)\s*/\s*\d+"")),"""")"),"")</f>
        <v/>
      </c>
      <c r="H1505" s="22" t="str">
        <f>IFERROR(__xludf.DUMMYFUNCTION("IFERROR(VALUE(REGEXEXTRACT(C1505,""\d+\s*/\s*(\d+)"")),"""")"),"")</f>
        <v/>
      </c>
      <c r="I1505" s="22" t="str">
        <f t="shared" si="2"/>
        <v/>
      </c>
      <c r="J1505" s="34" t="str">
        <f t="shared" si="3"/>
        <v/>
      </c>
    </row>
    <row r="1506" ht="15.75" customHeight="1">
      <c r="A1506" s="32" t="s">
        <v>113</v>
      </c>
      <c r="B1506" s="32" t="str">
        <f>IF(MOV_CC_NACIONAL!A1506="","",MOV_CC_NACIONAL!A1506)</f>
        <v/>
      </c>
      <c r="C1506" s="32" t="str">
        <f>IF(MOV_CC_NACIONAL!B1506="","",MOV_CC_NACIONAL!B1506)</f>
        <v/>
      </c>
      <c r="D1506" s="33" t="str">
        <f>IF(MOV_CC_NACIONAL!C1506="","",MOV_CC_NACIONAL!C1506)</f>
        <v/>
      </c>
      <c r="E1506" s="32" t="str">
        <f t="shared" si="1"/>
        <v/>
      </c>
      <c r="F1506" s="32" t="str">
        <f>IFERROR(__xludf.DUMMYFUNCTION("IF(C1506="""","""", OR(REGEXMATCH(LOWER(C1506),""cuota""), REGEXMATCH(C1506,""\d+\s*/\s*\d+"")))"),"")</f>
        <v/>
      </c>
      <c r="G1506" s="32" t="str">
        <f>IFERROR(__xludf.DUMMYFUNCTION("IFERROR(VALUE(REGEXEXTRACT(C1506,""(\d+)\s*/\s*\d+"")),"""")"),"")</f>
        <v/>
      </c>
      <c r="H1506" s="32" t="str">
        <f>IFERROR(__xludf.DUMMYFUNCTION("IFERROR(VALUE(REGEXEXTRACT(C1506,""\d+\s*/\s*(\d+)"")),"""")"),"")</f>
        <v/>
      </c>
      <c r="I1506" s="32" t="str">
        <f t="shared" si="2"/>
        <v/>
      </c>
      <c r="J1506" s="33" t="str">
        <f t="shared" si="3"/>
        <v/>
      </c>
    </row>
    <row r="1507" ht="15.75" customHeight="1">
      <c r="A1507" s="22" t="s">
        <v>113</v>
      </c>
      <c r="B1507" s="22" t="str">
        <f>IF(MOV_CC_NACIONAL!A1507="","",MOV_CC_NACIONAL!A1507)</f>
        <v/>
      </c>
      <c r="C1507" s="22" t="str">
        <f>IF(MOV_CC_NACIONAL!B1507="","",MOV_CC_NACIONAL!B1507)</f>
        <v/>
      </c>
      <c r="D1507" s="34" t="str">
        <f>IF(MOV_CC_NACIONAL!C1507="","",MOV_CC_NACIONAL!C1507)</f>
        <v/>
      </c>
      <c r="E1507" s="22" t="str">
        <f t="shared" si="1"/>
        <v/>
      </c>
      <c r="F1507" s="22" t="str">
        <f>IFERROR(__xludf.DUMMYFUNCTION("IF(C1507="""","""", OR(REGEXMATCH(LOWER(C1507),""cuota""), REGEXMATCH(C1507,""\d+\s*/\s*\d+"")))"),"")</f>
        <v/>
      </c>
      <c r="G1507" s="22" t="str">
        <f>IFERROR(__xludf.DUMMYFUNCTION("IFERROR(VALUE(REGEXEXTRACT(C1507,""(\d+)\s*/\s*\d+"")),"""")"),"")</f>
        <v/>
      </c>
      <c r="H1507" s="22" t="str">
        <f>IFERROR(__xludf.DUMMYFUNCTION("IFERROR(VALUE(REGEXEXTRACT(C1507,""\d+\s*/\s*(\d+)"")),"""")"),"")</f>
        <v/>
      </c>
      <c r="I1507" s="22" t="str">
        <f t="shared" si="2"/>
        <v/>
      </c>
      <c r="J1507" s="34" t="str">
        <f t="shared" si="3"/>
        <v/>
      </c>
    </row>
    <row r="1508" ht="15.75" customHeight="1">
      <c r="A1508" s="32" t="s">
        <v>113</v>
      </c>
      <c r="B1508" s="32" t="str">
        <f>IF(MOV_CC_NACIONAL!A1508="","",MOV_CC_NACIONAL!A1508)</f>
        <v/>
      </c>
      <c r="C1508" s="32" t="str">
        <f>IF(MOV_CC_NACIONAL!B1508="","",MOV_CC_NACIONAL!B1508)</f>
        <v/>
      </c>
      <c r="D1508" s="33" t="str">
        <f>IF(MOV_CC_NACIONAL!C1508="","",MOV_CC_NACIONAL!C1508)</f>
        <v/>
      </c>
      <c r="E1508" s="32" t="str">
        <f t="shared" si="1"/>
        <v/>
      </c>
      <c r="F1508" s="32" t="str">
        <f>IFERROR(__xludf.DUMMYFUNCTION("IF(C1508="""","""", OR(REGEXMATCH(LOWER(C1508),""cuota""), REGEXMATCH(C1508,""\d+\s*/\s*\d+"")))"),"")</f>
        <v/>
      </c>
      <c r="G1508" s="32" t="str">
        <f>IFERROR(__xludf.DUMMYFUNCTION("IFERROR(VALUE(REGEXEXTRACT(C1508,""(\d+)\s*/\s*\d+"")),"""")"),"")</f>
        <v/>
      </c>
      <c r="H1508" s="32" t="str">
        <f>IFERROR(__xludf.DUMMYFUNCTION("IFERROR(VALUE(REGEXEXTRACT(C1508,""\d+\s*/\s*(\d+)"")),"""")"),"")</f>
        <v/>
      </c>
      <c r="I1508" s="32" t="str">
        <f t="shared" si="2"/>
        <v/>
      </c>
      <c r="J1508" s="33" t="str">
        <f t="shared" si="3"/>
        <v/>
      </c>
    </row>
    <row r="1509" ht="15.75" customHeight="1">
      <c r="A1509" s="22" t="s">
        <v>113</v>
      </c>
      <c r="B1509" s="22" t="str">
        <f>IF(MOV_CC_NACIONAL!A1509="","",MOV_CC_NACIONAL!A1509)</f>
        <v/>
      </c>
      <c r="C1509" s="22" t="str">
        <f>IF(MOV_CC_NACIONAL!B1509="","",MOV_CC_NACIONAL!B1509)</f>
        <v/>
      </c>
      <c r="D1509" s="34" t="str">
        <f>IF(MOV_CC_NACIONAL!C1509="","",MOV_CC_NACIONAL!C1509)</f>
        <v/>
      </c>
      <c r="E1509" s="22" t="str">
        <f t="shared" si="1"/>
        <v/>
      </c>
      <c r="F1509" s="22" t="str">
        <f>IFERROR(__xludf.DUMMYFUNCTION("IF(C1509="""","""", OR(REGEXMATCH(LOWER(C1509),""cuota""), REGEXMATCH(C1509,""\d+\s*/\s*\d+"")))"),"")</f>
        <v/>
      </c>
      <c r="G1509" s="22" t="str">
        <f>IFERROR(__xludf.DUMMYFUNCTION("IFERROR(VALUE(REGEXEXTRACT(C1509,""(\d+)\s*/\s*\d+"")),"""")"),"")</f>
        <v/>
      </c>
      <c r="H1509" s="22" t="str">
        <f>IFERROR(__xludf.DUMMYFUNCTION("IFERROR(VALUE(REGEXEXTRACT(C1509,""\d+\s*/\s*(\d+)"")),"""")"),"")</f>
        <v/>
      </c>
      <c r="I1509" s="22" t="str">
        <f t="shared" si="2"/>
        <v/>
      </c>
      <c r="J1509" s="34" t="str">
        <f t="shared" si="3"/>
        <v/>
      </c>
    </row>
    <row r="1510" ht="15.75" customHeight="1">
      <c r="A1510" s="32" t="s">
        <v>113</v>
      </c>
      <c r="B1510" s="32" t="str">
        <f>IF(MOV_CC_NACIONAL!A1510="","",MOV_CC_NACIONAL!A1510)</f>
        <v/>
      </c>
      <c r="C1510" s="32" t="str">
        <f>IF(MOV_CC_NACIONAL!B1510="","",MOV_CC_NACIONAL!B1510)</f>
        <v/>
      </c>
      <c r="D1510" s="33" t="str">
        <f>IF(MOV_CC_NACIONAL!C1510="","",MOV_CC_NACIONAL!C1510)</f>
        <v/>
      </c>
      <c r="E1510" s="32" t="str">
        <f t="shared" si="1"/>
        <v/>
      </c>
      <c r="F1510" s="32" t="str">
        <f>IFERROR(__xludf.DUMMYFUNCTION("IF(C1510="""","""", OR(REGEXMATCH(LOWER(C1510),""cuota""), REGEXMATCH(C1510,""\d+\s*/\s*\d+"")))"),"")</f>
        <v/>
      </c>
      <c r="G1510" s="32" t="str">
        <f>IFERROR(__xludf.DUMMYFUNCTION("IFERROR(VALUE(REGEXEXTRACT(C1510,""(\d+)\s*/\s*\d+"")),"""")"),"")</f>
        <v/>
      </c>
      <c r="H1510" s="32" t="str">
        <f>IFERROR(__xludf.DUMMYFUNCTION("IFERROR(VALUE(REGEXEXTRACT(C1510,""\d+\s*/\s*(\d+)"")),"""")"),"")</f>
        <v/>
      </c>
      <c r="I1510" s="32" t="str">
        <f t="shared" si="2"/>
        <v/>
      </c>
      <c r="J1510" s="33" t="str">
        <f t="shared" si="3"/>
        <v/>
      </c>
    </row>
    <row r="1511" ht="15.75" customHeight="1">
      <c r="A1511" s="22" t="s">
        <v>113</v>
      </c>
      <c r="B1511" s="22" t="str">
        <f>IF(MOV_CC_NACIONAL!A1511="","",MOV_CC_NACIONAL!A1511)</f>
        <v/>
      </c>
      <c r="C1511" s="22" t="str">
        <f>IF(MOV_CC_NACIONAL!B1511="","",MOV_CC_NACIONAL!B1511)</f>
        <v/>
      </c>
      <c r="D1511" s="34" t="str">
        <f>IF(MOV_CC_NACIONAL!C1511="","",MOV_CC_NACIONAL!C1511)</f>
        <v/>
      </c>
      <c r="E1511" s="22" t="str">
        <f t="shared" si="1"/>
        <v/>
      </c>
      <c r="F1511" s="22" t="str">
        <f>IFERROR(__xludf.DUMMYFUNCTION("IF(C1511="""","""", OR(REGEXMATCH(LOWER(C1511),""cuota""), REGEXMATCH(C1511,""\d+\s*/\s*\d+"")))"),"")</f>
        <v/>
      </c>
      <c r="G1511" s="22" t="str">
        <f>IFERROR(__xludf.DUMMYFUNCTION("IFERROR(VALUE(REGEXEXTRACT(C1511,""(\d+)\s*/\s*\d+"")),"""")"),"")</f>
        <v/>
      </c>
      <c r="H1511" s="22" t="str">
        <f>IFERROR(__xludf.DUMMYFUNCTION("IFERROR(VALUE(REGEXEXTRACT(C1511,""\d+\s*/\s*(\d+)"")),"""")"),"")</f>
        <v/>
      </c>
      <c r="I1511" s="22" t="str">
        <f t="shared" si="2"/>
        <v/>
      </c>
      <c r="J1511" s="34" t="str">
        <f t="shared" si="3"/>
        <v/>
      </c>
    </row>
    <row r="1512" ht="15.75" customHeight="1">
      <c r="A1512" s="32" t="s">
        <v>113</v>
      </c>
      <c r="B1512" s="32" t="str">
        <f>IF(MOV_CC_NACIONAL!A1512="","",MOV_CC_NACIONAL!A1512)</f>
        <v/>
      </c>
      <c r="C1512" s="32" t="str">
        <f>IF(MOV_CC_NACIONAL!B1512="","",MOV_CC_NACIONAL!B1512)</f>
        <v/>
      </c>
      <c r="D1512" s="33" t="str">
        <f>IF(MOV_CC_NACIONAL!C1512="","",MOV_CC_NACIONAL!C1512)</f>
        <v/>
      </c>
      <c r="E1512" s="32" t="str">
        <f t="shared" si="1"/>
        <v/>
      </c>
      <c r="F1512" s="32" t="str">
        <f>IFERROR(__xludf.DUMMYFUNCTION("IF(C1512="""","""", OR(REGEXMATCH(LOWER(C1512),""cuota""), REGEXMATCH(C1512,""\d+\s*/\s*\d+"")))"),"")</f>
        <v/>
      </c>
      <c r="G1512" s="32" t="str">
        <f>IFERROR(__xludf.DUMMYFUNCTION("IFERROR(VALUE(REGEXEXTRACT(C1512,""(\d+)\s*/\s*\d+"")),"""")"),"")</f>
        <v/>
      </c>
      <c r="H1512" s="32" t="str">
        <f>IFERROR(__xludf.DUMMYFUNCTION("IFERROR(VALUE(REGEXEXTRACT(C1512,""\d+\s*/\s*(\d+)"")),"""")"),"")</f>
        <v/>
      </c>
      <c r="I1512" s="32" t="str">
        <f t="shared" si="2"/>
        <v/>
      </c>
      <c r="J1512" s="33" t="str">
        <f t="shared" si="3"/>
        <v/>
      </c>
    </row>
    <row r="1513" ht="15.75" customHeight="1">
      <c r="A1513" s="22" t="s">
        <v>113</v>
      </c>
      <c r="B1513" s="22" t="str">
        <f>IF(MOV_CC_NACIONAL!A1513="","",MOV_CC_NACIONAL!A1513)</f>
        <v/>
      </c>
      <c r="C1513" s="22" t="str">
        <f>IF(MOV_CC_NACIONAL!B1513="","",MOV_CC_NACIONAL!B1513)</f>
        <v/>
      </c>
      <c r="D1513" s="34" t="str">
        <f>IF(MOV_CC_NACIONAL!C1513="","",MOV_CC_NACIONAL!C1513)</f>
        <v/>
      </c>
      <c r="E1513" s="22" t="str">
        <f t="shared" si="1"/>
        <v/>
      </c>
      <c r="F1513" s="22" t="str">
        <f>IFERROR(__xludf.DUMMYFUNCTION("IF(C1513="""","""", OR(REGEXMATCH(LOWER(C1513),""cuota""), REGEXMATCH(C1513,""\d+\s*/\s*\d+"")))"),"")</f>
        <v/>
      </c>
      <c r="G1513" s="22" t="str">
        <f>IFERROR(__xludf.DUMMYFUNCTION("IFERROR(VALUE(REGEXEXTRACT(C1513,""(\d+)\s*/\s*\d+"")),"""")"),"")</f>
        <v/>
      </c>
      <c r="H1513" s="22" t="str">
        <f>IFERROR(__xludf.DUMMYFUNCTION("IFERROR(VALUE(REGEXEXTRACT(C1513,""\d+\s*/\s*(\d+)"")),"""")"),"")</f>
        <v/>
      </c>
      <c r="I1513" s="22" t="str">
        <f t="shared" si="2"/>
        <v/>
      </c>
      <c r="J1513" s="34" t="str">
        <f t="shared" si="3"/>
        <v/>
      </c>
    </row>
    <row r="1514" ht="15.75" customHeight="1">
      <c r="A1514" s="32" t="s">
        <v>113</v>
      </c>
      <c r="B1514" s="32" t="str">
        <f>IF(MOV_CC_NACIONAL!A1514="","",MOV_CC_NACIONAL!A1514)</f>
        <v/>
      </c>
      <c r="C1514" s="32" t="str">
        <f>IF(MOV_CC_NACIONAL!B1514="","",MOV_CC_NACIONAL!B1514)</f>
        <v/>
      </c>
      <c r="D1514" s="33" t="str">
        <f>IF(MOV_CC_NACIONAL!C1514="","",MOV_CC_NACIONAL!C1514)</f>
        <v/>
      </c>
      <c r="E1514" s="32" t="str">
        <f t="shared" si="1"/>
        <v/>
      </c>
      <c r="F1514" s="32" t="str">
        <f>IFERROR(__xludf.DUMMYFUNCTION("IF(C1514="""","""", OR(REGEXMATCH(LOWER(C1514),""cuota""), REGEXMATCH(C1514,""\d+\s*/\s*\d+"")))"),"")</f>
        <v/>
      </c>
      <c r="G1514" s="32" t="str">
        <f>IFERROR(__xludf.DUMMYFUNCTION("IFERROR(VALUE(REGEXEXTRACT(C1514,""(\d+)\s*/\s*\d+"")),"""")"),"")</f>
        <v/>
      </c>
      <c r="H1514" s="32" t="str">
        <f>IFERROR(__xludf.DUMMYFUNCTION("IFERROR(VALUE(REGEXEXTRACT(C1514,""\d+\s*/\s*(\d+)"")),"""")"),"")</f>
        <v/>
      </c>
      <c r="I1514" s="32" t="str">
        <f t="shared" si="2"/>
        <v/>
      </c>
      <c r="J1514" s="33" t="str">
        <f t="shared" si="3"/>
        <v/>
      </c>
    </row>
    <row r="1515" ht="15.75" customHeight="1">
      <c r="A1515" s="22" t="s">
        <v>113</v>
      </c>
      <c r="B1515" s="22" t="str">
        <f>IF(MOV_CC_NACIONAL!A1515="","",MOV_CC_NACIONAL!A1515)</f>
        <v/>
      </c>
      <c r="C1515" s="22" t="str">
        <f>IF(MOV_CC_NACIONAL!B1515="","",MOV_CC_NACIONAL!B1515)</f>
        <v/>
      </c>
      <c r="D1515" s="34" t="str">
        <f>IF(MOV_CC_NACIONAL!C1515="","",MOV_CC_NACIONAL!C1515)</f>
        <v/>
      </c>
      <c r="E1515" s="22" t="str">
        <f t="shared" si="1"/>
        <v/>
      </c>
      <c r="F1515" s="22" t="str">
        <f>IFERROR(__xludf.DUMMYFUNCTION("IF(C1515="""","""", OR(REGEXMATCH(LOWER(C1515),""cuota""), REGEXMATCH(C1515,""\d+\s*/\s*\d+"")))"),"")</f>
        <v/>
      </c>
      <c r="G1515" s="22" t="str">
        <f>IFERROR(__xludf.DUMMYFUNCTION("IFERROR(VALUE(REGEXEXTRACT(C1515,""(\d+)\s*/\s*\d+"")),"""")"),"")</f>
        <v/>
      </c>
      <c r="H1515" s="22" t="str">
        <f>IFERROR(__xludf.DUMMYFUNCTION("IFERROR(VALUE(REGEXEXTRACT(C1515,""\d+\s*/\s*(\d+)"")),"""")"),"")</f>
        <v/>
      </c>
      <c r="I1515" s="22" t="str">
        <f t="shared" si="2"/>
        <v/>
      </c>
      <c r="J1515" s="34" t="str">
        <f t="shared" si="3"/>
        <v/>
      </c>
    </row>
    <row r="1516" ht="15.75" customHeight="1">
      <c r="A1516" s="32" t="s">
        <v>113</v>
      </c>
      <c r="B1516" s="32" t="str">
        <f>IF(MOV_CC_NACIONAL!A1516="","",MOV_CC_NACIONAL!A1516)</f>
        <v/>
      </c>
      <c r="C1516" s="32" t="str">
        <f>IF(MOV_CC_NACIONAL!B1516="","",MOV_CC_NACIONAL!B1516)</f>
        <v/>
      </c>
      <c r="D1516" s="33" t="str">
        <f>IF(MOV_CC_NACIONAL!C1516="","",MOV_CC_NACIONAL!C1516)</f>
        <v/>
      </c>
      <c r="E1516" s="32" t="str">
        <f t="shared" si="1"/>
        <v/>
      </c>
      <c r="F1516" s="32" t="str">
        <f>IFERROR(__xludf.DUMMYFUNCTION("IF(C1516="""","""", OR(REGEXMATCH(LOWER(C1516),""cuota""), REGEXMATCH(C1516,""\d+\s*/\s*\d+"")))"),"")</f>
        <v/>
      </c>
      <c r="G1516" s="32" t="str">
        <f>IFERROR(__xludf.DUMMYFUNCTION("IFERROR(VALUE(REGEXEXTRACT(C1516,""(\d+)\s*/\s*\d+"")),"""")"),"")</f>
        <v/>
      </c>
      <c r="H1516" s="32" t="str">
        <f>IFERROR(__xludf.DUMMYFUNCTION("IFERROR(VALUE(REGEXEXTRACT(C1516,""\d+\s*/\s*(\d+)"")),"""")"),"")</f>
        <v/>
      </c>
      <c r="I1516" s="32" t="str">
        <f t="shared" si="2"/>
        <v/>
      </c>
      <c r="J1516" s="33" t="str">
        <f t="shared" si="3"/>
        <v/>
      </c>
    </row>
    <row r="1517" ht="15.75" customHeight="1">
      <c r="A1517" s="22" t="s">
        <v>113</v>
      </c>
      <c r="B1517" s="22" t="str">
        <f>IF(MOV_CC_NACIONAL!A1517="","",MOV_CC_NACIONAL!A1517)</f>
        <v/>
      </c>
      <c r="C1517" s="22" t="str">
        <f>IF(MOV_CC_NACIONAL!B1517="","",MOV_CC_NACIONAL!B1517)</f>
        <v/>
      </c>
      <c r="D1517" s="34" t="str">
        <f>IF(MOV_CC_NACIONAL!C1517="","",MOV_CC_NACIONAL!C1517)</f>
        <v/>
      </c>
      <c r="E1517" s="22" t="str">
        <f t="shared" si="1"/>
        <v/>
      </c>
      <c r="F1517" s="22" t="str">
        <f>IFERROR(__xludf.DUMMYFUNCTION("IF(C1517="""","""", OR(REGEXMATCH(LOWER(C1517),""cuota""), REGEXMATCH(C1517,""\d+\s*/\s*\d+"")))"),"")</f>
        <v/>
      </c>
      <c r="G1517" s="22" t="str">
        <f>IFERROR(__xludf.DUMMYFUNCTION("IFERROR(VALUE(REGEXEXTRACT(C1517,""(\d+)\s*/\s*\d+"")),"""")"),"")</f>
        <v/>
      </c>
      <c r="H1517" s="22" t="str">
        <f>IFERROR(__xludf.DUMMYFUNCTION("IFERROR(VALUE(REGEXEXTRACT(C1517,""\d+\s*/\s*(\d+)"")),"""")"),"")</f>
        <v/>
      </c>
      <c r="I1517" s="22" t="str">
        <f t="shared" si="2"/>
        <v/>
      </c>
      <c r="J1517" s="34" t="str">
        <f t="shared" si="3"/>
        <v/>
      </c>
    </row>
    <row r="1518" ht="15.75" customHeight="1">
      <c r="A1518" s="32" t="s">
        <v>113</v>
      </c>
      <c r="B1518" s="32" t="str">
        <f>IF(MOV_CC_NACIONAL!A1518="","",MOV_CC_NACIONAL!A1518)</f>
        <v/>
      </c>
      <c r="C1518" s="32" t="str">
        <f>IF(MOV_CC_NACIONAL!B1518="","",MOV_CC_NACIONAL!B1518)</f>
        <v/>
      </c>
      <c r="D1518" s="33" t="str">
        <f>IF(MOV_CC_NACIONAL!C1518="","",MOV_CC_NACIONAL!C1518)</f>
        <v/>
      </c>
      <c r="E1518" s="32" t="str">
        <f t="shared" si="1"/>
        <v/>
      </c>
      <c r="F1518" s="32" t="str">
        <f>IFERROR(__xludf.DUMMYFUNCTION("IF(C1518="""","""", OR(REGEXMATCH(LOWER(C1518),""cuota""), REGEXMATCH(C1518,""\d+\s*/\s*\d+"")))"),"")</f>
        <v/>
      </c>
      <c r="G1518" s="32" t="str">
        <f>IFERROR(__xludf.DUMMYFUNCTION("IFERROR(VALUE(REGEXEXTRACT(C1518,""(\d+)\s*/\s*\d+"")),"""")"),"")</f>
        <v/>
      </c>
      <c r="H1518" s="32" t="str">
        <f>IFERROR(__xludf.DUMMYFUNCTION("IFERROR(VALUE(REGEXEXTRACT(C1518,""\d+\s*/\s*(\d+)"")),"""")"),"")</f>
        <v/>
      </c>
      <c r="I1518" s="32" t="str">
        <f t="shared" si="2"/>
        <v/>
      </c>
      <c r="J1518" s="33" t="str">
        <f t="shared" si="3"/>
        <v/>
      </c>
    </row>
    <row r="1519" ht="15.75" customHeight="1">
      <c r="A1519" s="22" t="s">
        <v>113</v>
      </c>
      <c r="B1519" s="22" t="str">
        <f>IF(MOV_CC_NACIONAL!A1519="","",MOV_CC_NACIONAL!A1519)</f>
        <v/>
      </c>
      <c r="C1519" s="22" t="str">
        <f>IF(MOV_CC_NACIONAL!B1519="","",MOV_CC_NACIONAL!B1519)</f>
        <v/>
      </c>
      <c r="D1519" s="34" t="str">
        <f>IF(MOV_CC_NACIONAL!C1519="","",MOV_CC_NACIONAL!C1519)</f>
        <v/>
      </c>
      <c r="E1519" s="22" t="str">
        <f t="shared" si="1"/>
        <v/>
      </c>
      <c r="F1519" s="22" t="str">
        <f>IFERROR(__xludf.DUMMYFUNCTION("IF(C1519="""","""", OR(REGEXMATCH(LOWER(C1519),""cuota""), REGEXMATCH(C1519,""\d+\s*/\s*\d+"")))"),"")</f>
        <v/>
      </c>
      <c r="G1519" s="22" t="str">
        <f>IFERROR(__xludf.DUMMYFUNCTION("IFERROR(VALUE(REGEXEXTRACT(C1519,""(\d+)\s*/\s*\d+"")),"""")"),"")</f>
        <v/>
      </c>
      <c r="H1519" s="22" t="str">
        <f>IFERROR(__xludf.DUMMYFUNCTION("IFERROR(VALUE(REGEXEXTRACT(C1519,""\d+\s*/\s*(\d+)"")),"""")"),"")</f>
        <v/>
      </c>
      <c r="I1519" s="22" t="str">
        <f t="shared" si="2"/>
        <v/>
      </c>
      <c r="J1519" s="34" t="str">
        <f t="shared" si="3"/>
        <v/>
      </c>
    </row>
    <row r="1520" ht="15.75" customHeight="1">
      <c r="A1520" s="32" t="s">
        <v>113</v>
      </c>
      <c r="B1520" s="32" t="str">
        <f>IF(MOV_CC_NACIONAL!A1520="","",MOV_CC_NACIONAL!A1520)</f>
        <v/>
      </c>
      <c r="C1520" s="32" t="str">
        <f>IF(MOV_CC_NACIONAL!B1520="","",MOV_CC_NACIONAL!B1520)</f>
        <v/>
      </c>
      <c r="D1520" s="33" t="str">
        <f>IF(MOV_CC_NACIONAL!C1520="","",MOV_CC_NACIONAL!C1520)</f>
        <v/>
      </c>
      <c r="E1520" s="32" t="str">
        <f t="shared" si="1"/>
        <v/>
      </c>
      <c r="F1520" s="32" t="str">
        <f>IFERROR(__xludf.DUMMYFUNCTION("IF(C1520="""","""", OR(REGEXMATCH(LOWER(C1520),""cuota""), REGEXMATCH(C1520,""\d+\s*/\s*\d+"")))"),"")</f>
        <v/>
      </c>
      <c r="G1520" s="32" t="str">
        <f>IFERROR(__xludf.DUMMYFUNCTION("IFERROR(VALUE(REGEXEXTRACT(C1520,""(\d+)\s*/\s*\d+"")),"""")"),"")</f>
        <v/>
      </c>
      <c r="H1520" s="32" t="str">
        <f>IFERROR(__xludf.DUMMYFUNCTION("IFERROR(VALUE(REGEXEXTRACT(C1520,""\d+\s*/\s*(\d+)"")),"""")"),"")</f>
        <v/>
      </c>
      <c r="I1520" s="32" t="str">
        <f t="shared" si="2"/>
        <v/>
      </c>
      <c r="J1520" s="33" t="str">
        <f t="shared" si="3"/>
        <v/>
      </c>
    </row>
    <row r="1521" ht="15.75" customHeight="1">
      <c r="A1521" s="22" t="s">
        <v>113</v>
      </c>
      <c r="B1521" s="22" t="str">
        <f>IF(MOV_CC_NACIONAL!A1521="","",MOV_CC_NACIONAL!A1521)</f>
        <v/>
      </c>
      <c r="C1521" s="22" t="str">
        <f>IF(MOV_CC_NACIONAL!B1521="","",MOV_CC_NACIONAL!B1521)</f>
        <v/>
      </c>
      <c r="D1521" s="34" t="str">
        <f>IF(MOV_CC_NACIONAL!C1521="","",MOV_CC_NACIONAL!C1521)</f>
        <v/>
      </c>
      <c r="E1521" s="22" t="str">
        <f t="shared" si="1"/>
        <v/>
      </c>
      <c r="F1521" s="22" t="str">
        <f>IFERROR(__xludf.DUMMYFUNCTION("IF(C1521="""","""", OR(REGEXMATCH(LOWER(C1521),""cuota""), REGEXMATCH(C1521,""\d+\s*/\s*\d+"")))"),"")</f>
        <v/>
      </c>
      <c r="G1521" s="22" t="str">
        <f>IFERROR(__xludf.DUMMYFUNCTION("IFERROR(VALUE(REGEXEXTRACT(C1521,""(\d+)\s*/\s*\d+"")),"""")"),"")</f>
        <v/>
      </c>
      <c r="H1521" s="22" t="str">
        <f>IFERROR(__xludf.DUMMYFUNCTION("IFERROR(VALUE(REGEXEXTRACT(C1521,""\d+\s*/\s*(\d+)"")),"""")"),"")</f>
        <v/>
      </c>
      <c r="I1521" s="22" t="str">
        <f t="shared" si="2"/>
        <v/>
      </c>
      <c r="J1521" s="34" t="str">
        <f t="shared" si="3"/>
        <v/>
      </c>
    </row>
    <row r="1522" ht="15.75" customHeight="1">
      <c r="A1522" s="32" t="s">
        <v>113</v>
      </c>
      <c r="B1522" s="32" t="str">
        <f>IF(MOV_CC_NACIONAL!A1522="","",MOV_CC_NACIONAL!A1522)</f>
        <v/>
      </c>
      <c r="C1522" s="32" t="str">
        <f>IF(MOV_CC_NACIONAL!B1522="","",MOV_CC_NACIONAL!B1522)</f>
        <v/>
      </c>
      <c r="D1522" s="33" t="str">
        <f>IF(MOV_CC_NACIONAL!C1522="","",MOV_CC_NACIONAL!C1522)</f>
        <v/>
      </c>
      <c r="E1522" s="32" t="str">
        <f t="shared" si="1"/>
        <v/>
      </c>
      <c r="F1522" s="32" t="str">
        <f>IFERROR(__xludf.DUMMYFUNCTION("IF(C1522="""","""", OR(REGEXMATCH(LOWER(C1522),""cuota""), REGEXMATCH(C1522,""\d+\s*/\s*\d+"")))"),"")</f>
        <v/>
      </c>
      <c r="G1522" s="32" t="str">
        <f>IFERROR(__xludf.DUMMYFUNCTION("IFERROR(VALUE(REGEXEXTRACT(C1522,""(\d+)\s*/\s*\d+"")),"""")"),"")</f>
        <v/>
      </c>
      <c r="H1522" s="32" t="str">
        <f>IFERROR(__xludf.DUMMYFUNCTION("IFERROR(VALUE(REGEXEXTRACT(C1522,""\d+\s*/\s*(\d+)"")),"""")"),"")</f>
        <v/>
      </c>
      <c r="I1522" s="32" t="str">
        <f t="shared" si="2"/>
        <v/>
      </c>
      <c r="J1522" s="33" t="str">
        <f t="shared" si="3"/>
        <v/>
      </c>
    </row>
    <row r="1523" ht="15.75" customHeight="1">
      <c r="A1523" s="22" t="s">
        <v>113</v>
      </c>
      <c r="B1523" s="22" t="str">
        <f>IF(MOV_CC_NACIONAL!A1523="","",MOV_CC_NACIONAL!A1523)</f>
        <v/>
      </c>
      <c r="C1523" s="22" t="str">
        <f>IF(MOV_CC_NACIONAL!B1523="","",MOV_CC_NACIONAL!B1523)</f>
        <v/>
      </c>
      <c r="D1523" s="34" t="str">
        <f>IF(MOV_CC_NACIONAL!C1523="","",MOV_CC_NACIONAL!C1523)</f>
        <v/>
      </c>
      <c r="E1523" s="22" t="str">
        <f t="shared" si="1"/>
        <v/>
      </c>
      <c r="F1523" s="22" t="str">
        <f>IFERROR(__xludf.DUMMYFUNCTION("IF(C1523="""","""", OR(REGEXMATCH(LOWER(C1523),""cuota""), REGEXMATCH(C1523,""\d+\s*/\s*\d+"")))"),"")</f>
        <v/>
      </c>
      <c r="G1523" s="22" t="str">
        <f>IFERROR(__xludf.DUMMYFUNCTION("IFERROR(VALUE(REGEXEXTRACT(C1523,""(\d+)\s*/\s*\d+"")),"""")"),"")</f>
        <v/>
      </c>
      <c r="H1523" s="22" t="str">
        <f>IFERROR(__xludf.DUMMYFUNCTION("IFERROR(VALUE(REGEXEXTRACT(C1523,""\d+\s*/\s*(\d+)"")),"""")"),"")</f>
        <v/>
      </c>
      <c r="I1523" s="22" t="str">
        <f t="shared" si="2"/>
        <v/>
      </c>
      <c r="J1523" s="34" t="str">
        <f t="shared" si="3"/>
        <v/>
      </c>
    </row>
    <row r="1524" ht="15.75" customHeight="1">
      <c r="A1524" s="32" t="s">
        <v>113</v>
      </c>
      <c r="B1524" s="32" t="str">
        <f>IF(MOV_CC_NACIONAL!A1524="","",MOV_CC_NACIONAL!A1524)</f>
        <v/>
      </c>
      <c r="C1524" s="32" t="str">
        <f>IF(MOV_CC_NACIONAL!B1524="","",MOV_CC_NACIONAL!B1524)</f>
        <v/>
      </c>
      <c r="D1524" s="33" t="str">
        <f>IF(MOV_CC_NACIONAL!C1524="","",MOV_CC_NACIONAL!C1524)</f>
        <v/>
      </c>
      <c r="E1524" s="32" t="str">
        <f t="shared" si="1"/>
        <v/>
      </c>
      <c r="F1524" s="32" t="str">
        <f>IFERROR(__xludf.DUMMYFUNCTION("IF(C1524="""","""", OR(REGEXMATCH(LOWER(C1524),""cuota""), REGEXMATCH(C1524,""\d+\s*/\s*\d+"")))"),"")</f>
        <v/>
      </c>
      <c r="G1524" s="32" t="str">
        <f>IFERROR(__xludf.DUMMYFUNCTION("IFERROR(VALUE(REGEXEXTRACT(C1524,""(\d+)\s*/\s*\d+"")),"""")"),"")</f>
        <v/>
      </c>
      <c r="H1524" s="32" t="str">
        <f>IFERROR(__xludf.DUMMYFUNCTION("IFERROR(VALUE(REGEXEXTRACT(C1524,""\d+\s*/\s*(\d+)"")),"""")"),"")</f>
        <v/>
      </c>
      <c r="I1524" s="32" t="str">
        <f t="shared" si="2"/>
        <v/>
      </c>
      <c r="J1524" s="33" t="str">
        <f t="shared" si="3"/>
        <v/>
      </c>
    </row>
    <row r="1525" ht="15.75" customHeight="1">
      <c r="A1525" s="22" t="s">
        <v>113</v>
      </c>
      <c r="B1525" s="22" t="str">
        <f>IF(MOV_CC_NACIONAL!A1525="","",MOV_CC_NACIONAL!A1525)</f>
        <v/>
      </c>
      <c r="C1525" s="22" t="str">
        <f>IF(MOV_CC_NACIONAL!B1525="","",MOV_CC_NACIONAL!B1525)</f>
        <v/>
      </c>
      <c r="D1525" s="34" t="str">
        <f>IF(MOV_CC_NACIONAL!C1525="","",MOV_CC_NACIONAL!C1525)</f>
        <v/>
      </c>
      <c r="E1525" s="22" t="str">
        <f t="shared" si="1"/>
        <v/>
      </c>
      <c r="F1525" s="22" t="str">
        <f>IFERROR(__xludf.DUMMYFUNCTION("IF(C1525="""","""", OR(REGEXMATCH(LOWER(C1525),""cuota""), REGEXMATCH(C1525,""\d+\s*/\s*\d+"")))"),"")</f>
        <v/>
      </c>
      <c r="G1525" s="22" t="str">
        <f>IFERROR(__xludf.DUMMYFUNCTION("IFERROR(VALUE(REGEXEXTRACT(C1525,""(\d+)\s*/\s*\d+"")),"""")"),"")</f>
        <v/>
      </c>
      <c r="H1525" s="22" t="str">
        <f>IFERROR(__xludf.DUMMYFUNCTION("IFERROR(VALUE(REGEXEXTRACT(C1525,""\d+\s*/\s*(\d+)"")),"""")"),"")</f>
        <v/>
      </c>
      <c r="I1525" s="22" t="str">
        <f t="shared" si="2"/>
        <v/>
      </c>
      <c r="J1525" s="34" t="str">
        <f t="shared" si="3"/>
        <v/>
      </c>
    </row>
    <row r="1526" ht="15.75" customHeight="1">
      <c r="A1526" s="32" t="s">
        <v>113</v>
      </c>
      <c r="B1526" s="32" t="str">
        <f>IF(MOV_CC_NACIONAL!A1526="","",MOV_CC_NACIONAL!A1526)</f>
        <v/>
      </c>
      <c r="C1526" s="32" t="str">
        <f>IF(MOV_CC_NACIONAL!B1526="","",MOV_CC_NACIONAL!B1526)</f>
        <v/>
      </c>
      <c r="D1526" s="33" t="str">
        <f>IF(MOV_CC_NACIONAL!C1526="","",MOV_CC_NACIONAL!C1526)</f>
        <v/>
      </c>
      <c r="E1526" s="32" t="str">
        <f t="shared" si="1"/>
        <v/>
      </c>
      <c r="F1526" s="32" t="str">
        <f>IFERROR(__xludf.DUMMYFUNCTION("IF(C1526="""","""", OR(REGEXMATCH(LOWER(C1526),""cuota""), REGEXMATCH(C1526,""\d+\s*/\s*\d+"")))"),"")</f>
        <v/>
      </c>
      <c r="G1526" s="32" t="str">
        <f>IFERROR(__xludf.DUMMYFUNCTION("IFERROR(VALUE(REGEXEXTRACT(C1526,""(\d+)\s*/\s*\d+"")),"""")"),"")</f>
        <v/>
      </c>
      <c r="H1526" s="32" t="str">
        <f>IFERROR(__xludf.DUMMYFUNCTION("IFERROR(VALUE(REGEXEXTRACT(C1526,""\d+\s*/\s*(\d+)"")),"""")"),"")</f>
        <v/>
      </c>
      <c r="I1526" s="32" t="str">
        <f t="shared" si="2"/>
        <v/>
      </c>
      <c r="J1526" s="33" t="str">
        <f t="shared" si="3"/>
        <v/>
      </c>
    </row>
    <row r="1527" ht="15.75" customHeight="1">
      <c r="A1527" s="22" t="s">
        <v>113</v>
      </c>
      <c r="B1527" s="22" t="str">
        <f>IF(MOV_CC_NACIONAL!A1527="","",MOV_CC_NACIONAL!A1527)</f>
        <v/>
      </c>
      <c r="C1527" s="22" t="str">
        <f>IF(MOV_CC_NACIONAL!B1527="","",MOV_CC_NACIONAL!B1527)</f>
        <v/>
      </c>
      <c r="D1527" s="34" t="str">
        <f>IF(MOV_CC_NACIONAL!C1527="","",MOV_CC_NACIONAL!C1527)</f>
        <v/>
      </c>
      <c r="E1527" s="22" t="str">
        <f t="shared" si="1"/>
        <v/>
      </c>
      <c r="F1527" s="22" t="str">
        <f>IFERROR(__xludf.DUMMYFUNCTION("IF(C1527="""","""", OR(REGEXMATCH(LOWER(C1527),""cuota""), REGEXMATCH(C1527,""\d+\s*/\s*\d+"")))"),"")</f>
        <v/>
      </c>
      <c r="G1527" s="22" t="str">
        <f>IFERROR(__xludf.DUMMYFUNCTION("IFERROR(VALUE(REGEXEXTRACT(C1527,""(\d+)\s*/\s*\d+"")),"""")"),"")</f>
        <v/>
      </c>
      <c r="H1527" s="22" t="str">
        <f>IFERROR(__xludf.DUMMYFUNCTION("IFERROR(VALUE(REGEXEXTRACT(C1527,""\d+\s*/\s*(\d+)"")),"""")"),"")</f>
        <v/>
      </c>
      <c r="I1527" s="22" t="str">
        <f t="shared" si="2"/>
        <v/>
      </c>
      <c r="J1527" s="34" t="str">
        <f t="shared" si="3"/>
        <v/>
      </c>
    </row>
    <row r="1528" ht="15.75" customHeight="1">
      <c r="A1528" s="32" t="s">
        <v>113</v>
      </c>
      <c r="B1528" s="32" t="str">
        <f>IF(MOV_CC_NACIONAL!A1528="","",MOV_CC_NACIONAL!A1528)</f>
        <v/>
      </c>
      <c r="C1528" s="32" t="str">
        <f>IF(MOV_CC_NACIONAL!B1528="","",MOV_CC_NACIONAL!B1528)</f>
        <v/>
      </c>
      <c r="D1528" s="33" t="str">
        <f>IF(MOV_CC_NACIONAL!C1528="","",MOV_CC_NACIONAL!C1528)</f>
        <v/>
      </c>
      <c r="E1528" s="32" t="str">
        <f t="shared" si="1"/>
        <v/>
      </c>
      <c r="F1528" s="32" t="str">
        <f>IFERROR(__xludf.DUMMYFUNCTION("IF(C1528="""","""", OR(REGEXMATCH(LOWER(C1528),""cuota""), REGEXMATCH(C1528,""\d+\s*/\s*\d+"")))"),"")</f>
        <v/>
      </c>
      <c r="G1528" s="32" t="str">
        <f>IFERROR(__xludf.DUMMYFUNCTION("IFERROR(VALUE(REGEXEXTRACT(C1528,""(\d+)\s*/\s*\d+"")),"""")"),"")</f>
        <v/>
      </c>
      <c r="H1528" s="32" t="str">
        <f>IFERROR(__xludf.DUMMYFUNCTION("IFERROR(VALUE(REGEXEXTRACT(C1528,""\d+\s*/\s*(\d+)"")),"""")"),"")</f>
        <v/>
      </c>
      <c r="I1528" s="32" t="str">
        <f t="shared" si="2"/>
        <v/>
      </c>
      <c r="J1528" s="33" t="str">
        <f t="shared" si="3"/>
        <v/>
      </c>
    </row>
    <row r="1529" ht="15.75" customHeight="1">
      <c r="A1529" s="22" t="s">
        <v>113</v>
      </c>
      <c r="B1529" s="22" t="str">
        <f>IF(MOV_CC_NACIONAL!A1529="","",MOV_CC_NACIONAL!A1529)</f>
        <v/>
      </c>
      <c r="C1529" s="22" t="str">
        <f>IF(MOV_CC_NACIONAL!B1529="","",MOV_CC_NACIONAL!B1529)</f>
        <v/>
      </c>
      <c r="D1529" s="34" t="str">
        <f>IF(MOV_CC_NACIONAL!C1529="","",MOV_CC_NACIONAL!C1529)</f>
        <v/>
      </c>
      <c r="E1529" s="22" t="str">
        <f t="shared" si="1"/>
        <v/>
      </c>
      <c r="F1529" s="22" t="str">
        <f>IFERROR(__xludf.DUMMYFUNCTION("IF(C1529="""","""", OR(REGEXMATCH(LOWER(C1529),""cuota""), REGEXMATCH(C1529,""\d+\s*/\s*\d+"")))"),"")</f>
        <v/>
      </c>
      <c r="G1529" s="22" t="str">
        <f>IFERROR(__xludf.DUMMYFUNCTION("IFERROR(VALUE(REGEXEXTRACT(C1529,""(\d+)\s*/\s*\d+"")),"""")"),"")</f>
        <v/>
      </c>
      <c r="H1529" s="22" t="str">
        <f>IFERROR(__xludf.DUMMYFUNCTION("IFERROR(VALUE(REGEXEXTRACT(C1529,""\d+\s*/\s*(\d+)"")),"""")"),"")</f>
        <v/>
      </c>
      <c r="I1529" s="22" t="str">
        <f t="shared" si="2"/>
        <v/>
      </c>
      <c r="J1529" s="34" t="str">
        <f t="shared" si="3"/>
        <v/>
      </c>
    </row>
    <row r="1530" ht="15.75" customHeight="1">
      <c r="A1530" s="32" t="s">
        <v>113</v>
      </c>
      <c r="B1530" s="32" t="str">
        <f>IF(MOV_CC_NACIONAL!A1530="","",MOV_CC_NACIONAL!A1530)</f>
        <v/>
      </c>
      <c r="C1530" s="32" t="str">
        <f>IF(MOV_CC_NACIONAL!B1530="","",MOV_CC_NACIONAL!B1530)</f>
        <v/>
      </c>
      <c r="D1530" s="33" t="str">
        <f>IF(MOV_CC_NACIONAL!C1530="","",MOV_CC_NACIONAL!C1530)</f>
        <v/>
      </c>
      <c r="E1530" s="32" t="str">
        <f t="shared" si="1"/>
        <v/>
      </c>
      <c r="F1530" s="32" t="str">
        <f>IFERROR(__xludf.DUMMYFUNCTION("IF(C1530="""","""", OR(REGEXMATCH(LOWER(C1530),""cuota""), REGEXMATCH(C1530,""\d+\s*/\s*\d+"")))"),"")</f>
        <v/>
      </c>
      <c r="G1530" s="32" t="str">
        <f>IFERROR(__xludf.DUMMYFUNCTION("IFERROR(VALUE(REGEXEXTRACT(C1530,""(\d+)\s*/\s*\d+"")),"""")"),"")</f>
        <v/>
      </c>
      <c r="H1530" s="32" t="str">
        <f>IFERROR(__xludf.DUMMYFUNCTION("IFERROR(VALUE(REGEXEXTRACT(C1530,""\d+\s*/\s*(\d+)"")),"""")"),"")</f>
        <v/>
      </c>
      <c r="I1530" s="32" t="str">
        <f t="shared" si="2"/>
        <v/>
      </c>
      <c r="J1530" s="33" t="str">
        <f t="shared" si="3"/>
        <v/>
      </c>
    </row>
    <row r="1531" ht="15.75" customHeight="1">
      <c r="A1531" s="22" t="s">
        <v>113</v>
      </c>
      <c r="B1531" s="22" t="str">
        <f>IF(MOV_CC_NACIONAL!A1531="","",MOV_CC_NACIONAL!A1531)</f>
        <v/>
      </c>
      <c r="C1531" s="22" t="str">
        <f>IF(MOV_CC_NACIONAL!B1531="","",MOV_CC_NACIONAL!B1531)</f>
        <v/>
      </c>
      <c r="D1531" s="34" t="str">
        <f>IF(MOV_CC_NACIONAL!C1531="","",MOV_CC_NACIONAL!C1531)</f>
        <v/>
      </c>
      <c r="E1531" s="22" t="str">
        <f t="shared" si="1"/>
        <v/>
      </c>
      <c r="F1531" s="22" t="str">
        <f>IFERROR(__xludf.DUMMYFUNCTION("IF(C1531="""","""", OR(REGEXMATCH(LOWER(C1531),""cuota""), REGEXMATCH(C1531,""\d+\s*/\s*\d+"")))"),"")</f>
        <v/>
      </c>
      <c r="G1531" s="22" t="str">
        <f>IFERROR(__xludf.DUMMYFUNCTION("IFERROR(VALUE(REGEXEXTRACT(C1531,""(\d+)\s*/\s*\d+"")),"""")"),"")</f>
        <v/>
      </c>
      <c r="H1531" s="22" t="str">
        <f>IFERROR(__xludf.DUMMYFUNCTION("IFERROR(VALUE(REGEXEXTRACT(C1531,""\d+\s*/\s*(\d+)"")),"""")"),"")</f>
        <v/>
      </c>
      <c r="I1531" s="22" t="str">
        <f t="shared" si="2"/>
        <v/>
      </c>
      <c r="J1531" s="34" t="str">
        <f t="shared" si="3"/>
        <v/>
      </c>
    </row>
    <row r="1532" ht="15.75" customHeight="1">
      <c r="A1532" s="32" t="s">
        <v>113</v>
      </c>
      <c r="B1532" s="32" t="str">
        <f>IF(MOV_CC_NACIONAL!A1532="","",MOV_CC_NACIONAL!A1532)</f>
        <v/>
      </c>
      <c r="C1532" s="32" t="str">
        <f>IF(MOV_CC_NACIONAL!B1532="","",MOV_CC_NACIONAL!B1532)</f>
        <v/>
      </c>
      <c r="D1532" s="33" t="str">
        <f>IF(MOV_CC_NACIONAL!C1532="","",MOV_CC_NACIONAL!C1532)</f>
        <v/>
      </c>
      <c r="E1532" s="32" t="str">
        <f t="shared" si="1"/>
        <v/>
      </c>
      <c r="F1532" s="32" t="str">
        <f>IFERROR(__xludf.DUMMYFUNCTION("IF(C1532="""","""", OR(REGEXMATCH(LOWER(C1532),""cuota""), REGEXMATCH(C1532,""\d+\s*/\s*\d+"")))"),"")</f>
        <v/>
      </c>
      <c r="G1532" s="32" t="str">
        <f>IFERROR(__xludf.DUMMYFUNCTION("IFERROR(VALUE(REGEXEXTRACT(C1532,""(\d+)\s*/\s*\d+"")),"""")"),"")</f>
        <v/>
      </c>
      <c r="H1532" s="32" t="str">
        <f>IFERROR(__xludf.DUMMYFUNCTION("IFERROR(VALUE(REGEXEXTRACT(C1532,""\d+\s*/\s*(\d+)"")),"""")"),"")</f>
        <v/>
      </c>
      <c r="I1532" s="32" t="str">
        <f t="shared" si="2"/>
        <v/>
      </c>
      <c r="J1532" s="33" t="str">
        <f t="shared" si="3"/>
        <v/>
      </c>
    </row>
    <row r="1533" ht="15.75" customHeight="1">
      <c r="A1533" s="22" t="s">
        <v>113</v>
      </c>
      <c r="B1533" s="22" t="str">
        <f>IF(MOV_CC_NACIONAL!A1533="","",MOV_CC_NACIONAL!A1533)</f>
        <v/>
      </c>
      <c r="C1533" s="22" t="str">
        <f>IF(MOV_CC_NACIONAL!B1533="","",MOV_CC_NACIONAL!B1533)</f>
        <v/>
      </c>
      <c r="D1533" s="34" t="str">
        <f>IF(MOV_CC_NACIONAL!C1533="","",MOV_CC_NACIONAL!C1533)</f>
        <v/>
      </c>
      <c r="E1533" s="22" t="str">
        <f t="shared" si="1"/>
        <v/>
      </c>
      <c r="F1533" s="22" t="str">
        <f>IFERROR(__xludf.DUMMYFUNCTION("IF(C1533="""","""", OR(REGEXMATCH(LOWER(C1533),""cuota""), REGEXMATCH(C1533,""\d+\s*/\s*\d+"")))"),"")</f>
        <v/>
      </c>
      <c r="G1533" s="22" t="str">
        <f>IFERROR(__xludf.DUMMYFUNCTION("IFERROR(VALUE(REGEXEXTRACT(C1533,""(\d+)\s*/\s*\d+"")),"""")"),"")</f>
        <v/>
      </c>
      <c r="H1533" s="22" t="str">
        <f>IFERROR(__xludf.DUMMYFUNCTION("IFERROR(VALUE(REGEXEXTRACT(C1533,""\d+\s*/\s*(\d+)"")),"""")"),"")</f>
        <v/>
      </c>
      <c r="I1533" s="22" t="str">
        <f t="shared" si="2"/>
        <v/>
      </c>
      <c r="J1533" s="34" t="str">
        <f t="shared" si="3"/>
        <v/>
      </c>
    </row>
    <row r="1534" ht="15.75" customHeight="1">
      <c r="A1534" s="32" t="s">
        <v>113</v>
      </c>
      <c r="B1534" s="32" t="str">
        <f>IF(MOV_CC_NACIONAL!A1534="","",MOV_CC_NACIONAL!A1534)</f>
        <v/>
      </c>
      <c r="C1534" s="32" t="str">
        <f>IF(MOV_CC_NACIONAL!B1534="","",MOV_CC_NACIONAL!B1534)</f>
        <v/>
      </c>
      <c r="D1534" s="33" t="str">
        <f>IF(MOV_CC_NACIONAL!C1534="","",MOV_CC_NACIONAL!C1534)</f>
        <v/>
      </c>
      <c r="E1534" s="32" t="str">
        <f t="shared" si="1"/>
        <v/>
      </c>
      <c r="F1534" s="32" t="str">
        <f>IFERROR(__xludf.DUMMYFUNCTION("IF(C1534="""","""", OR(REGEXMATCH(LOWER(C1534),""cuota""), REGEXMATCH(C1534,""\d+\s*/\s*\d+"")))"),"")</f>
        <v/>
      </c>
      <c r="G1534" s="32" t="str">
        <f>IFERROR(__xludf.DUMMYFUNCTION("IFERROR(VALUE(REGEXEXTRACT(C1534,""(\d+)\s*/\s*\d+"")),"""")"),"")</f>
        <v/>
      </c>
      <c r="H1534" s="32" t="str">
        <f>IFERROR(__xludf.DUMMYFUNCTION("IFERROR(VALUE(REGEXEXTRACT(C1534,""\d+\s*/\s*(\d+)"")),"""")"),"")</f>
        <v/>
      </c>
      <c r="I1534" s="32" t="str">
        <f t="shared" si="2"/>
        <v/>
      </c>
      <c r="J1534" s="33" t="str">
        <f t="shared" si="3"/>
        <v/>
      </c>
    </row>
    <row r="1535" ht="15.75" customHeight="1">
      <c r="A1535" s="22" t="s">
        <v>113</v>
      </c>
      <c r="B1535" s="22" t="str">
        <f>IF(MOV_CC_NACIONAL!A1535="","",MOV_CC_NACIONAL!A1535)</f>
        <v/>
      </c>
      <c r="C1535" s="22" t="str">
        <f>IF(MOV_CC_NACIONAL!B1535="","",MOV_CC_NACIONAL!B1535)</f>
        <v/>
      </c>
      <c r="D1535" s="34" t="str">
        <f>IF(MOV_CC_NACIONAL!C1535="","",MOV_CC_NACIONAL!C1535)</f>
        <v/>
      </c>
      <c r="E1535" s="22" t="str">
        <f t="shared" si="1"/>
        <v/>
      </c>
      <c r="F1535" s="22" t="str">
        <f>IFERROR(__xludf.DUMMYFUNCTION("IF(C1535="""","""", OR(REGEXMATCH(LOWER(C1535),""cuota""), REGEXMATCH(C1535,""\d+\s*/\s*\d+"")))"),"")</f>
        <v/>
      </c>
      <c r="G1535" s="22" t="str">
        <f>IFERROR(__xludf.DUMMYFUNCTION("IFERROR(VALUE(REGEXEXTRACT(C1535,""(\d+)\s*/\s*\d+"")),"""")"),"")</f>
        <v/>
      </c>
      <c r="H1535" s="22" t="str">
        <f>IFERROR(__xludf.DUMMYFUNCTION("IFERROR(VALUE(REGEXEXTRACT(C1535,""\d+\s*/\s*(\d+)"")),"""")"),"")</f>
        <v/>
      </c>
      <c r="I1535" s="22" t="str">
        <f t="shared" si="2"/>
        <v/>
      </c>
      <c r="J1535" s="34" t="str">
        <f t="shared" si="3"/>
        <v/>
      </c>
    </row>
    <row r="1536" ht="15.75" customHeight="1">
      <c r="A1536" s="32" t="s">
        <v>113</v>
      </c>
      <c r="B1536" s="32" t="str">
        <f>IF(MOV_CC_NACIONAL!A1536="","",MOV_CC_NACIONAL!A1536)</f>
        <v/>
      </c>
      <c r="C1536" s="32" t="str">
        <f>IF(MOV_CC_NACIONAL!B1536="","",MOV_CC_NACIONAL!B1536)</f>
        <v/>
      </c>
      <c r="D1536" s="33" t="str">
        <f>IF(MOV_CC_NACIONAL!C1536="","",MOV_CC_NACIONAL!C1536)</f>
        <v/>
      </c>
      <c r="E1536" s="32" t="str">
        <f t="shared" si="1"/>
        <v/>
      </c>
      <c r="F1536" s="32" t="str">
        <f>IFERROR(__xludf.DUMMYFUNCTION("IF(C1536="""","""", OR(REGEXMATCH(LOWER(C1536),""cuota""), REGEXMATCH(C1536,""\d+\s*/\s*\d+"")))"),"")</f>
        <v/>
      </c>
      <c r="G1536" s="32" t="str">
        <f>IFERROR(__xludf.DUMMYFUNCTION("IFERROR(VALUE(REGEXEXTRACT(C1536,""(\d+)\s*/\s*\d+"")),"""")"),"")</f>
        <v/>
      </c>
      <c r="H1536" s="32" t="str">
        <f>IFERROR(__xludf.DUMMYFUNCTION("IFERROR(VALUE(REGEXEXTRACT(C1536,""\d+\s*/\s*(\d+)"")),"""")"),"")</f>
        <v/>
      </c>
      <c r="I1536" s="32" t="str">
        <f t="shared" si="2"/>
        <v/>
      </c>
      <c r="J1536" s="33" t="str">
        <f t="shared" si="3"/>
        <v/>
      </c>
    </row>
    <row r="1537" ht="15.75" customHeight="1">
      <c r="A1537" s="22" t="s">
        <v>113</v>
      </c>
      <c r="B1537" s="22" t="str">
        <f>IF(MOV_CC_NACIONAL!A1537="","",MOV_CC_NACIONAL!A1537)</f>
        <v/>
      </c>
      <c r="C1537" s="22" t="str">
        <f>IF(MOV_CC_NACIONAL!B1537="","",MOV_CC_NACIONAL!B1537)</f>
        <v/>
      </c>
      <c r="D1537" s="34" t="str">
        <f>IF(MOV_CC_NACIONAL!C1537="","",MOV_CC_NACIONAL!C1537)</f>
        <v/>
      </c>
      <c r="E1537" s="22" t="str">
        <f t="shared" si="1"/>
        <v/>
      </c>
      <c r="F1537" s="22" t="str">
        <f>IFERROR(__xludf.DUMMYFUNCTION("IF(C1537="""","""", OR(REGEXMATCH(LOWER(C1537),""cuota""), REGEXMATCH(C1537,""\d+\s*/\s*\d+"")))"),"")</f>
        <v/>
      </c>
      <c r="G1537" s="22" t="str">
        <f>IFERROR(__xludf.DUMMYFUNCTION("IFERROR(VALUE(REGEXEXTRACT(C1537,""(\d+)\s*/\s*\d+"")),"""")"),"")</f>
        <v/>
      </c>
      <c r="H1537" s="22" t="str">
        <f>IFERROR(__xludf.DUMMYFUNCTION("IFERROR(VALUE(REGEXEXTRACT(C1537,""\d+\s*/\s*(\d+)"")),"""")"),"")</f>
        <v/>
      </c>
      <c r="I1537" s="22" t="str">
        <f t="shared" si="2"/>
        <v/>
      </c>
      <c r="J1537" s="34" t="str">
        <f t="shared" si="3"/>
        <v/>
      </c>
    </row>
    <row r="1538" ht="15.75" customHeight="1">
      <c r="A1538" s="32" t="s">
        <v>113</v>
      </c>
      <c r="B1538" s="32" t="str">
        <f>IF(MOV_CC_NACIONAL!A1538="","",MOV_CC_NACIONAL!A1538)</f>
        <v/>
      </c>
      <c r="C1538" s="32" t="str">
        <f>IF(MOV_CC_NACIONAL!B1538="","",MOV_CC_NACIONAL!B1538)</f>
        <v/>
      </c>
      <c r="D1538" s="33" t="str">
        <f>IF(MOV_CC_NACIONAL!C1538="","",MOV_CC_NACIONAL!C1538)</f>
        <v/>
      </c>
      <c r="E1538" s="32" t="str">
        <f t="shared" si="1"/>
        <v/>
      </c>
      <c r="F1538" s="32" t="str">
        <f>IFERROR(__xludf.DUMMYFUNCTION("IF(C1538="""","""", OR(REGEXMATCH(LOWER(C1538),""cuota""), REGEXMATCH(C1538,""\d+\s*/\s*\d+"")))"),"")</f>
        <v/>
      </c>
      <c r="G1538" s="32" t="str">
        <f>IFERROR(__xludf.DUMMYFUNCTION("IFERROR(VALUE(REGEXEXTRACT(C1538,""(\d+)\s*/\s*\d+"")),"""")"),"")</f>
        <v/>
      </c>
      <c r="H1538" s="32" t="str">
        <f>IFERROR(__xludf.DUMMYFUNCTION("IFERROR(VALUE(REGEXEXTRACT(C1538,""\d+\s*/\s*(\d+)"")),"""")"),"")</f>
        <v/>
      </c>
      <c r="I1538" s="32" t="str">
        <f t="shared" si="2"/>
        <v/>
      </c>
      <c r="J1538" s="33" t="str">
        <f t="shared" si="3"/>
        <v/>
      </c>
    </row>
    <row r="1539" ht="15.75" customHeight="1">
      <c r="A1539" s="22" t="s">
        <v>113</v>
      </c>
      <c r="B1539" s="22" t="str">
        <f>IF(MOV_CC_NACIONAL!A1539="","",MOV_CC_NACIONAL!A1539)</f>
        <v/>
      </c>
      <c r="C1539" s="22" t="str">
        <f>IF(MOV_CC_NACIONAL!B1539="","",MOV_CC_NACIONAL!B1539)</f>
        <v/>
      </c>
      <c r="D1539" s="34" t="str">
        <f>IF(MOV_CC_NACIONAL!C1539="","",MOV_CC_NACIONAL!C1539)</f>
        <v/>
      </c>
      <c r="E1539" s="22" t="str">
        <f t="shared" si="1"/>
        <v/>
      </c>
      <c r="F1539" s="22" t="str">
        <f>IFERROR(__xludf.DUMMYFUNCTION("IF(C1539="""","""", OR(REGEXMATCH(LOWER(C1539),""cuota""), REGEXMATCH(C1539,""\d+\s*/\s*\d+"")))"),"")</f>
        <v/>
      </c>
      <c r="G1539" s="22" t="str">
        <f>IFERROR(__xludf.DUMMYFUNCTION("IFERROR(VALUE(REGEXEXTRACT(C1539,""(\d+)\s*/\s*\d+"")),"""")"),"")</f>
        <v/>
      </c>
      <c r="H1539" s="22" t="str">
        <f>IFERROR(__xludf.DUMMYFUNCTION("IFERROR(VALUE(REGEXEXTRACT(C1539,""\d+\s*/\s*(\d+)"")),"""")"),"")</f>
        <v/>
      </c>
      <c r="I1539" s="22" t="str">
        <f t="shared" si="2"/>
        <v/>
      </c>
      <c r="J1539" s="34" t="str">
        <f t="shared" si="3"/>
        <v/>
      </c>
    </row>
    <row r="1540" ht="15.75" customHeight="1">
      <c r="A1540" s="32" t="s">
        <v>113</v>
      </c>
      <c r="B1540" s="32" t="str">
        <f>IF(MOV_CC_NACIONAL!A1540="","",MOV_CC_NACIONAL!A1540)</f>
        <v/>
      </c>
      <c r="C1540" s="32" t="str">
        <f>IF(MOV_CC_NACIONAL!B1540="","",MOV_CC_NACIONAL!B1540)</f>
        <v/>
      </c>
      <c r="D1540" s="33" t="str">
        <f>IF(MOV_CC_NACIONAL!C1540="","",MOV_CC_NACIONAL!C1540)</f>
        <v/>
      </c>
      <c r="E1540" s="32" t="str">
        <f t="shared" si="1"/>
        <v/>
      </c>
      <c r="F1540" s="32" t="str">
        <f>IFERROR(__xludf.DUMMYFUNCTION("IF(C1540="""","""", OR(REGEXMATCH(LOWER(C1540),""cuota""), REGEXMATCH(C1540,""\d+\s*/\s*\d+"")))"),"")</f>
        <v/>
      </c>
      <c r="G1540" s="32" t="str">
        <f>IFERROR(__xludf.DUMMYFUNCTION("IFERROR(VALUE(REGEXEXTRACT(C1540,""(\d+)\s*/\s*\d+"")),"""")"),"")</f>
        <v/>
      </c>
      <c r="H1540" s="32" t="str">
        <f>IFERROR(__xludf.DUMMYFUNCTION("IFERROR(VALUE(REGEXEXTRACT(C1540,""\d+\s*/\s*(\d+)"")),"""")"),"")</f>
        <v/>
      </c>
      <c r="I1540" s="32" t="str">
        <f t="shared" si="2"/>
        <v/>
      </c>
      <c r="J1540" s="33" t="str">
        <f t="shared" si="3"/>
        <v/>
      </c>
    </row>
    <row r="1541" ht="15.75" customHeight="1">
      <c r="A1541" s="22" t="s">
        <v>113</v>
      </c>
      <c r="B1541" s="22" t="str">
        <f>IF(MOV_CC_NACIONAL!A1541="","",MOV_CC_NACIONAL!A1541)</f>
        <v/>
      </c>
      <c r="C1541" s="22" t="str">
        <f>IF(MOV_CC_NACIONAL!B1541="","",MOV_CC_NACIONAL!B1541)</f>
        <v/>
      </c>
      <c r="D1541" s="34" t="str">
        <f>IF(MOV_CC_NACIONAL!C1541="","",MOV_CC_NACIONAL!C1541)</f>
        <v/>
      </c>
      <c r="E1541" s="22" t="str">
        <f t="shared" si="1"/>
        <v/>
      </c>
      <c r="F1541" s="22" t="str">
        <f>IFERROR(__xludf.DUMMYFUNCTION("IF(C1541="""","""", OR(REGEXMATCH(LOWER(C1541),""cuota""), REGEXMATCH(C1541,""\d+\s*/\s*\d+"")))"),"")</f>
        <v/>
      </c>
      <c r="G1541" s="22" t="str">
        <f>IFERROR(__xludf.DUMMYFUNCTION("IFERROR(VALUE(REGEXEXTRACT(C1541,""(\d+)\s*/\s*\d+"")),"""")"),"")</f>
        <v/>
      </c>
      <c r="H1541" s="22" t="str">
        <f>IFERROR(__xludf.DUMMYFUNCTION("IFERROR(VALUE(REGEXEXTRACT(C1541,""\d+\s*/\s*(\d+)"")),"""")"),"")</f>
        <v/>
      </c>
      <c r="I1541" s="22" t="str">
        <f t="shared" si="2"/>
        <v/>
      </c>
      <c r="J1541" s="34" t="str">
        <f t="shared" si="3"/>
        <v/>
      </c>
    </row>
    <row r="1542" ht="15.75" customHeight="1">
      <c r="A1542" s="32" t="s">
        <v>113</v>
      </c>
      <c r="B1542" s="32" t="str">
        <f>IF(MOV_CC_NACIONAL!A1542="","",MOV_CC_NACIONAL!A1542)</f>
        <v/>
      </c>
      <c r="C1542" s="32" t="str">
        <f>IF(MOV_CC_NACIONAL!B1542="","",MOV_CC_NACIONAL!B1542)</f>
        <v/>
      </c>
      <c r="D1542" s="33" t="str">
        <f>IF(MOV_CC_NACIONAL!C1542="","",MOV_CC_NACIONAL!C1542)</f>
        <v/>
      </c>
      <c r="E1542" s="32" t="str">
        <f t="shared" si="1"/>
        <v/>
      </c>
      <c r="F1542" s="32" t="str">
        <f>IFERROR(__xludf.DUMMYFUNCTION("IF(C1542="""","""", OR(REGEXMATCH(LOWER(C1542),""cuota""), REGEXMATCH(C1542,""\d+\s*/\s*\d+"")))"),"")</f>
        <v/>
      </c>
      <c r="G1542" s="32" t="str">
        <f>IFERROR(__xludf.DUMMYFUNCTION("IFERROR(VALUE(REGEXEXTRACT(C1542,""(\d+)\s*/\s*\d+"")),"""")"),"")</f>
        <v/>
      </c>
      <c r="H1542" s="32" t="str">
        <f>IFERROR(__xludf.DUMMYFUNCTION("IFERROR(VALUE(REGEXEXTRACT(C1542,""\d+\s*/\s*(\d+)"")),"""")"),"")</f>
        <v/>
      </c>
      <c r="I1542" s="32" t="str">
        <f t="shared" si="2"/>
        <v/>
      </c>
      <c r="J1542" s="33" t="str">
        <f t="shared" si="3"/>
        <v/>
      </c>
    </row>
    <row r="1543" ht="15.75" customHeight="1">
      <c r="A1543" s="22" t="s">
        <v>113</v>
      </c>
      <c r="B1543" s="22" t="str">
        <f>IF(MOV_CC_NACIONAL!A1543="","",MOV_CC_NACIONAL!A1543)</f>
        <v/>
      </c>
      <c r="C1543" s="22" t="str">
        <f>IF(MOV_CC_NACIONAL!B1543="","",MOV_CC_NACIONAL!B1543)</f>
        <v/>
      </c>
      <c r="D1543" s="34" t="str">
        <f>IF(MOV_CC_NACIONAL!C1543="","",MOV_CC_NACIONAL!C1543)</f>
        <v/>
      </c>
      <c r="E1543" s="22" t="str">
        <f t="shared" si="1"/>
        <v/>
      </c>
      <c r="F1543" s="22" t="str">
        <f>IFERROR(__xludf.DUMMYFUNCTION("IF(C1543="""","""", OR(REGEXMATCH(LOWER(C1543),""cuota""), REGEXMATCH(C1543,""\d+\s*/\s*\d+"")))"),"")</f>
        <v/>
      </c>
      <c r="G1543" s="22" t="str">
        <f>IFERROR(__xludf.DUMMYFUNCTION("IFERROR(VALUE(REGEXEXTRACT(C1543,""(\d+)\s*/\s*\d+"")),"""")"),"")</f>
        <v/>
      </c>
      <c r="H1543" s="22" t="str">
        <f>IFERROR(__xludf.DUMMYFUNCTION("IFERROR(VALUE(REGEXEXTRACT(C1543,""\d+\s*/\s*(\d+)"")),"""")"),"")</f>
        <v/>
      </c>
      <c r="I1543" s="22" t="str">
        <f t="shared" si="2"/>
        <v/>
      </c>
      <c r="J1543" s="34" t="str">
        <f t="shared" si="3"/>
        <v/>
      </c>
    </row>
    <row r="1544" ht="15.75" customHeight="1">
      <c r="A1544" s="32" t="s">
        <v>113</v>
      </c>
      <c r="B1544" s="32" t="str">
        <f>IF(MOV_CC_NACIONAL!A1544="","",MOV_CC_NACIONAL!A1544)</f>
        <v/>
      </c>
      <c r="C1544" s="32" t="str">
        <f>IF(MOV_CC_NACIONAL!B1544="","",MOV_CC_NACIONAL!B1544)</f>
        <v/>
      </c>
      <c r="D1544" s="33" t="str">
        <f>IF(MOV_CC_NACIONAL!C1544="","",MOV_CC_NACIONAL!C1544)</f>
        <v/>
      </c>
      <c r="E1544" s="32" t="str">
        <f t="shared" si="1"/>
        <v/>
      </c>
      <c r="F1544" s="32" t="str">
        <f>IFERROR(__xludf.DUMMYFUNCTION("IF(C1544="""","""", OR(REGEXMATCH(LOWER(C1544),""cuota""), REGEXMATCH(C1544,""\d+\s*/\s*\d+"")))"),"")</f>
        <v/>
      </c>
      <c r="G1544" s="32" t="str">
        <f>IFERROR(__xludf.DUMMYFUNCTION("IFERROR(VALUE(REGEXEXTRACT(C1544,""(\d+)\s*/\s*\d+"")),"""")"),"")</f>
        <v/>
      </c>
      <c r="H1544" s="32" t="str">
        <f>IFERROR(__xludf.DUMMYFUNCTION("IFERROR(VALUE(REGEXEXTRACT(C1544,""\d+\s*/\s*(\d+)"")),"""")"),"")</f>
        <v/>
      </c>
      <c r="I1544" s="32" t="str">
        <f t="shared" si="2"/>
        <v/>
      </c>
      <c r="J1544" s="33" t="str">
        <f t="shared" si="3"/>
        <v/>
      </c>
    </row>
    <row r="1545" ht="15.75" customHeight="1">
      <c r="A1545" s="22" t="s">
        <v>113</v>
      </c>
      <c r="B1545" s="22" t="str">
        <f>IF(MOV_CC_NACIONAL!A1545="","",MOV_CC_NACIONAL!A1545)</f>
        <v/>
      </c>
      <c r="C1545" s="22" t="str">
        <f>IF(MOV_CC_NACIONAL!B1545="","",MOV_CC_NACIONAL!B1545)</f>
        <v/>
      </c>
      <c r="D1545" s="34" t="str">
        <f>IF(MOV_CC_NACIONAL!C1545="","",MOV_CC_NACIONAL!C1545)</f>
        <v/>
      </c>
      <c r="E1545" s="22" t="str">
        <f t="shared" si="1"/>
        <v/>
      </c>
      <c r="F1545" s="22" t="str">
        <f>IFERROR(__xludf.DUMMYFUNCTION("IF(C1545="""","""", OR(REGEXMATCH(LOWER(C1545),""cuota""), REGEXMATCH(C1545,""\d+\s*/\s*\d+"")))"),"")</f>
        <v/>
      </c>
      <c r="G1545" s="22" t="str">
        <f>IFERROR(__xludf.DUMMYFUNCTION("IFERROR(VALUE(REGEXEXTRACT(C1545,""(\d+)\s*/\s*\d+"")),"""")"),"")</f>
        <v/>
      </c>
      <c r="H1545" s="22" t="str">
        <f>IFERROR(__xludf.DUMMYFUNCTION("IFERROR(VALUE(REGEXEXTRACT(C1545,""\d+\s*/\s*(\d+)"")),"""")"),"")</f>
        <v/>
      </c>
      <c r="I1545" s="22" t="str">
        <f t="shared" si="2"/>
        <v/>
      </c>
      <c r="J1545" s="34" t="str">
        <f t="shared" si="3"/>
        <v/>
      </c>
    </row>
    <row r="1546" ht="15.75" customHeight="1">
      <c r="A1546" s="32" t="s">
        <v>113</v>
      </c>
      <c r="B1546" s="32" t="str">
        <f>IF(MOV_CC_NACIONAL!A1546="","",MOV_CC_NACIONAL!A1546)</f>
        <v/>
      </c>
      <c r="C1546" s="32" t="str">
        <f>IF(MOV_CC_NACIONAL!B1546="","",MOV_CC_NACIONAL!B1546)</f>
        <v/>
      </c>
      <c r="D1546" s="33" t="str">
        <f>IF(MOV_CC_NACIONAL!C1546="","",MOV_CC_NACIONAL!C1546)</f>
        <v/>
      </c>
      <c r="E1546" s="32" t="str">
        <f t="shared" si="1"/>
        <v/>
      </c>
      <c r="F1546" s="32" t="str">
        <f>IFERROR(__xludf.DUMMYFUNCTION("IF(C1546="""","""", OR(REGEXMATCH(LOWER(C1546),""cuota""), REGEXMATCH(C1546,""\d+\s*/\s*\d+"")))"),"")</f>
        <v/>
      </c>
      <c r="G1546" s="32" t="str">
        <f>IFERROR(__xludf.DUMMYFUNCTION("IFERROR(VALUE(REGEXEXTRACT(C1546,""(\d+)\s*/\s*\d+"")),"""")"),"")</f>
        <v/>
      </c>
      <c r="H1546" s="32" t="str">
        <f>IFERROR(__xludf.DUMMYFUNCTION("IFERROR(VALUE(REGEXEXTRACT(C1546,""\d+\s*/\s*(\d+)"")),"""")"),"")</f>
        <v/>
      </c>
      <c r="I1546" s="32" t="str">
        <f t="shared" si="2"/>
        <v/>
      </c>
      <c r="J1546" s="33" t="str">
        <f t="shared" si="3"/>
        <v/>
      </c>
    </row>
    <row r="1547" ht="15.75" customHeight="1">
      <c r="A1547" s="22" t="s">
        <v>113</v>
      </c>
      <c r="B1547" s="22" t="str">
        <f>IF(MOV_CC_NACIONAL!A1547="","",MOV_CC_NACIONAL!A1547)</f>
        <v/>
      </c>
      <c r="C1547" s="22" t="str">
        <f>IF(MOV_CC_NACIONAL!B1547="","",MOV_CC_NACIONAL!B1547)</f>
        <v/>
      </c>
      <c r="D1547" s="34" t="str">
        <f>IF(MOV_CC_NACIONAL!C1547="","",MOV_CC_NACIONAL!C1547)</f>
        <v/>
      </c>
      <c r="E1547" s="22" t="str">
        <f t="shared" si="1"/>
        <v/>
      </c>
      <c r="F1547" s="22" t="str">
        <f>IFERROR(__xludf.DUMMYFUNCTION("IF(C1547="""","""", OR(REGEXMATCH(LOWER(C1547),""cuota""), REGEXMATCH(C1547,""\d+\s*/\s*\d+"")))"),"")</f>
        <v/>
      </c>
      <c r="G1547" s="22" t="str">
        <f>IFERROR(__xludf.DUMMYFUNCTION("IFERROR(VALUE(REGEXEXTRACT(C1547,""(\d+)\s*/\s*\d+"")),"""")"),"")</f>
        <v/>
      </c>
      <c r="H1547" s="22" t="str">
        <f>IFERROR(__xludf.DUMMYFUNCTION("IFERROR(VALUE(REGEXEXTRACT(C1547,""\d+\s*/\s*(\d+)"")),"""")"),"")</f>
        <v/>
      </c>
      <c r="I1547" s="22" t="str">
        <f t="shared" si="2"/>
        <v/>
      </c>
      <c r="J1547" s="34" t="str">
        <f t="shared" si="3"/>
        <v/>
      </c>
    </row>
    <row r="1548" ht="15.75" customHeight="1">
      <c r="A1548" s="32" t="s">
        <v>113</v>
      </c>
      <c r="B1548" s="32" t="str">
        <f>IF(MOV_CC_NACIONAL!A1548="","",MOV_CC_NACIONAL!A1548)</f>
        <v/>
      </c>
      <c r="C1548" s="32" t="str">
        <f>IF(MOV_CC_NACIONAL!B1548="","",MOV_CC_NACIONAL!B1548)</f>
        <v/>
      </c>
      <c r="D1548" s="33" t="str">
        <f>IF(MOV_CC_NACIONAL!C1548="","",MOV_CC_NACIONAL!C1548)</f>
        <v/>
      </c>
      <c r="E1548" s="32" t="str">
        <f t="shared" si="1"/>
        <v/>
      </c>
      <c r="F1548" s="32" t="str">
        <f>IFERROR(__xludf.DUMMYFUNCTION("IF(C1548="""","""", OR(REGEXMATCH(LOWER(C1548),""cuota""), REGEXMATCH(C1548,""\d+\s*/\s*\d+"")))"),"")</f>
        <v/>
      </c>
      <c r="G1548" s="32" t="str">
        <f>IFERROR(__xludf.DUMMYFUNCTION("IFERROR(VALUE(REGEXEXTRACT(C1548,""(\d+)\s*/\s*\d+"")),"""")"),"")</f>
        <v/>
      </c>
      <c r="H1548" s="32" t="str">
        <f>IFERROR(__xludf.DUMMYFUNCTION("IFERROR(VALUE(REGEXEXTRACT(C1548,""\d+\s*/\s*(\d+)"")),"""")"),"")</f>
        <v/>
      </c>
      <c r="I1548" s="32" t="str">
        <f t="shared" si="2"/>
        <v/>
      </c>
      <c r="J1548" s="33" t="str">
        <f t="shared" si="3"/>
        <v/>
      </c>
    </row>
    <row r="1549" ht="15.75" customHeight="1">
      <c r="A1549" s="22" t="s">
        <v>113</v>
      </c>
      <c r="B1549" s="22" t="str">
        <f>IF(MOV_CC_NACIONAL!A1549="","",MOV_CC_NACIONAL!A1549)</f>
        <v/>
      </c>
      <c r="C1549" s="22" t="str">
        <f>IF(MOV_CC_NACIONAL!B1549="","",MOV_CC_NACIONAL!B1549)</f>
        <v/>
      </c>
      <c r="D1549" s="34" t="str">
        <f>IF(MOV_CC_NACIONAL!C1549="","",MOV_CC_NACIONAL!C1549)</f>
        <v/>
      </c>
      <c r="E1549" s="22" t="str">
        <f t="shared" si="1"/>
        <v/>
      </c>
      <c r="F1549" s="22" t="str">
        <f>IFERROR(__xludf.DUMMYFUNCTION("IF(C1549="""","""", OR(REGEXMATCH(LOWER(C1549),""cuota""), REGEXMATCH(C1549,""\d+\s*/\s*\d+"")))"),"")</f>
        <v/>
      </c>
      <c r="G1549" s="22" t="str">
        <f>IFERROR(__xludf.DUMMYFUNCTION("IFERROR(VALUE(REGEXEXTRACT(C1549,""(\d+)\s*/\s*\d+"")),"""")"),"")</f>
        <v/>
      </c>
      <c r="H1549" s="22" t="str">
        <f>IFERROR(__xludf.DUMMYFUNCTION("IFERROR(VALUE(REGEXEXTRACT(C1549,""\d+\s*/\s*(\d+)"")),"""")"),"")</f>
        <v/>
      </c>
      <c r="I1549" s="22" t="str">
        <f t="shared" si="2"/>
        <v/>
      </c>
      <c r="J1549" s="34" t="str">
        <f t="shared" si="3"/>
        <v/>
      </c>
    </row>
    <row r="1550" ht="15.75" customHeight="1">
      <c r="A1550" s="32" t="s">
        <v>113</v>
      </c>
      <c r="B1550" s="32" t="str">
        <f>IF(MOV_CC_NACIONAL!A1550="","",MOV_CC_NACIONAL!A1550)</f>
        <v/>
      </c>
      <c r="C1550" s="32" t="str">
        <f>IF(MOV_CC_NACIONAL!B1550="","",MOV_CC_NACIONAL!B1550)</f>
        <v/>
      </c>
      <c r="D1550" s="33" t="str">
        <f>IF(MOV_CC_NACIONAL!C1550="","",MOV_CC_NACIONAL!C1550)</f>
        <v/>
      </c>
      <c r="E1550" s="32" t="str">
        <f t="shared" si="1"/>
        <v/>
      </c>
      <c r="F1550" s="32" t="str">
        <f>IFERROR(__xludf.DUMMYFUNCTION("IF(C1550="""","""", OR(REGEXMATCH(LOWER(C1550),""cuota""), REGEXMATCH(C1550,""\d+\s*/\s*\d+"")))"),"")</f>
        <v/>
      </c>
      <c r="G1550" s="32" t="str">
        <f>IFERROR(__xludf.DUMMYFUNCTION("IFERROR(VALUE(REGEXEXTRACT(C1550,""(\d+)\s*/\s*\d+"")),"""")"),"")</f>
        <v/>
      </c>
      <c r="H1550" s="32" t="str">
        <f>IFERROR(__xludf.DUMMYFUNCTION("IFERROR(VALUE(REGEXEXTRACT(C1550,""\d+\s*/\s*(\d+)"")),"""")"),"")</f>
        <v/>
      </c>
      <c r="I1550" s="32" t="str">
        <f t="shared" si="2"/>
        <v/>
      </c>
      <c r="J1550" s="33" t="str">
        <f t="shared" si="3"/>
        <v/>
      </c>
    </row>
    <row r="1551" ht="15.75" customHeight="1">
      <c r="A1551" s="22" t="s">
        <v>113</v>
      </c>
      <c r="B1551" s="22" t="str">
        <f>IF(MOV_CC_NACIONAL!A1551="","",MOV_CC_NACIONAL!A1551)</f>
        <v/>
      </c>
      <c r="C1551" s="22" t="str">
        <f>IF(MOV_CC_NACIONAL!B1551="","",MOV_CC_NACIONAL!B1551)</f>
        <v/>
      </c>
      <c r="D1551" s="34" t="str">
        <f>IF(MOV_CC_NACIONAL!C1551="","",MOV_CC_NACIONAL!C1551)</f>
        <v/>
      </c>
      <c r="E1551" s="22" t="str">
        <f t="shared" si="1"/>
        <v/>
      </c>
      <c r="F1551" s="22" t="str">
        <f>IFERROR(__xludf.DUMMYFUNCTION("IF(C1551="""","""", OR(REGEXMATCH(LOWER(C1551),""cuota""), REGEXMATCH(C1551,""\d+\s*/\s*\d+"")))"),"")</f>
        <v/>
      </c>
      <c r="G1551" s="22" t="str">
        <f>IFERROR(__xludf.DUMMYFUNCTION("IFERROR(VALUE(REGEXEXTRACT(C1551,""(\d+)\s*/\s*\d+"")),"""")"),"")</f>
        <v/>
      </c>
      <c r="H1551" s="22" t="str">
        <f>IFERROR(__xludf.DUMMYFUNCTION("IFERROR(VALUE(REGEXEXTRACT(C1551,""\d+\s*/\s*(\d+)"")),"""")"),"")</f>
        <v/>
      </c>
      <c r="I1551" s="22" t="str">
        <f t="shared" si="2"/>
        <v/>
      </c>
      <c r="J1551" s="34" t="str">
        <f t="shared" si="3"/>
        <v/>
      </c>
    </row>
    <row r="1552" ht="15.75" customHeight="1">
      <c r="A1552" s="32" t="s">
        <v>113</v>
      </c>
      <c r="B1552" s="32" t="str">
        <f>IF(MOV_CC_NACIONAL!A1552="","",MOV_CC_NACIONAL!A1552)</f>
        <v/>
      </c>
      <c r="C1552" s="32" t="str">
        <f>IF(MOV_CC_NACIONAL!B1552="","",MOV_CC_NACIONAL!B1552)</f>
        <v/>
      </c>
      <c r="D1552" s="33" t="str">
        <f>IF(MOV_CC_NACIONAL!C1552="","",MOV_CC_NACIONAL!C1552)</f>
        <v/>
      </c>
      <c r="E1552" s="32" t="str">
        <f t="shared" si="1"/>
        <v/>
      </c>
      <c r="F1552" s="32" t="str">
        <f>IFERROR(__xludf.DUMMYFUNCTION("IF(C1552="""","""", OR(REGEXMATCH(LOWER(C1552),""cuota""), REGEXMATCH(C1552,""\d+\s*/\s*\d+"")))"),"")</f>
        <v/>
      </c>
      <c r="G1552" s="32" t="str">
        <f>IFERROR(__xludf.DUMMYFUNCTION("IFERROR(VALUE(REGEXEXTRACT(C1552,""(\d+)\s*/\s*\d+"")),"""")"),"")</f>
        <v/>
      </c>
      <c r="H1552" s="32" t="str">
        <f>IFERROR(__xludf.DUMMYFUNCTION("IFERROR(VALUE(REGEXEXTRACT(C1552,""\d+\s*/\s*(\d+)"")),"""")"),"")</f>
        <v/>
      </c>
      <c r="I1552" s="32" t="str">
        <f t="shared" si="2"/>
        <v/>
      </c>
      <c r="J1552" s="33" t="str">
        <f t="shared" si="3"/>
        <v/>
      </c>
    </row>
    <row r="1553" ht="15.75" customHeight="1">
      <c r="A1553" s="22" t="s">
        <v>113</v>
      </c>
      <c r="B1553" s="22" t="str">
        <f>IF(MOV_CC_NACIONAL!A1553="","",MOV_CC_NACIONAL!A1553)</f>
        <v/>
      </c>
      <c r="C1553" s="22" t="str">
        <f>IF(MOV_CC_NACIONAL!B1553="","",MOV_CC_NACIONAL!B1553)</f>
        <v/>
      </c>
      <c r="D1553" s="34" t="str">
        <f>IF(MOV_CC_NACIONAL!C1553="","",MOV_CC_NACIONAL!C1553)</f>
        <v/>
      </c>
      <c r="E1553" s="22" t="str">
        <f t="shared" si="1"/>
        <v/>
      </c>
      <c r="F1553" s="22" t="str">
        <f>IFERROR(__xludf.DUMMYFUNCTION("IF(C1553="""","""", OR(REGEXMATCH(LOWER(C1553),""cuota""), REGEXMATCH(C1553,""\d+\s*/\s*\d+"")))"),"")</f>
        <v/>
      </c>
      <c r="G1553" s="22" t="str">
        <f>IFERROR(__xludf.DUMMYFUNCTION("IFERROR(VALUE(REGEXEXTRACT(C1553,""(\d+)\s*/\s*\d+"")),"""")"),"")</f>
        <v/>
      </c>
      <c r="H1553" s="22" t="str">
        <f>IFERROR(__xludf.DUMMYFUNCTION("IFERROR(VALUE(REGEXEXTRACT(C1553,""\d+\s*/\s*(\d+)"")),"""")"),"")</f>
        <v/>
      </c>
      <c r="I1553" s="22" t="str">
        <f t="shared" si="2"/>
        <v/>
      </c>
      <c r="J1553" s="34" t="str">
        <f t="shared" si="3"/>
        <v/>
      </c>
    </row>
    <row r="1554" ht="15.75" customHeight="1">
      <c r="A1554" s="32" t="s">
        <v>113</v>
      </c>
      <c r="B1554" s="32" t="str">
        <f>IF(MOV_CC_NACIONAL!A1554="","",MOV_CC_NACIONAL!A1554)</f>
        <v/>
      </c>
      <c r="C1554" s="32" t="str">
        <f>IF(MOV_CC_NACIONAL!B1554="","",MOV_CC_NACIONAL!B1554)</f>
        <v/>
      </c>
      <c r="D1554" s="33" t="str">
        <f>IF(MOV_CC_NACIONAL!C1554="","",MOV_CC_NACIONAL!C1554)</f>
        <v/>
      </c>
      <c r="E1554" s="32" t="str">
        <f t="shared" si="1"/>
        <v/>
      </c>
      <c r="F1554" s="32" t="str">
        <f>IFERROR(__xludf.DUMMYFUNCTION("IF(C1554="""","""", OR(REGEXMATCH(LOWER(C1554),""cuota""), REGEXMATCH(C1554,""\d+\s*/\s*\d+"")))"),"")</f>
        <v/>
      </c>
      <c r="G1554" s="32" t="str">
        <f>IFERROR(__xludf.DUMMYFUNCTION("IFERROR(VALUE(REGEXEXTRACT(C1554,""(\d+)\s*/\s*\d+"")),"""")"),"")</f>
        <v/>
      </c>
      <c r="H1554" s="32" t="str">
        <f>IFERROR(__xludf.DUMMYFUNCTION("IFERROR(VALUE(REGEXEXTRACT(C1554,""\d+\s*/\s*(\d+)"")),"""")"),"")</f>
        <v/>
      </c>
      <c r="I1554" s="32" t="str">
        <f t="shared" si="2"/>
        <v/>
      </c>
      <c r="J1554" s="33" t="str">
        <f t="shared" si="3"/>
        <v/>
      </c>
    </row>
    <row r="1555" ht="15.75" customHeight="1">
      <c r="A1555" s="22" t="s">
        <v>113</v>
      </c>
      <c r="B1555" s="22" t="str">
        <f>IF(MOV_CC_NACIONAL!A1555="","",MOV_CC_NACIONAL!A1555)</f>
        <v/>
      </c>
      <c r="C1555" s="22" t="str">
        <f>IF(MOV_CC_NACIONAL!B1555="","",MOV_CC_NACIONAL!B1555)</f>
        <v/>
      </c>
      <c r="D1555" s="34" t="str">
        <f>IF(MOV_CC_NACIONAL!C1555="","",MOV_CC_NACIONAL!C1555)</f>
        <v/>
      </c>
      <c r="E1555" s="22" t="str">
        <f t="shared" si="1"/>
        <v/>
      </c>
      <c r="F1555" s="22" t="str">
        <f>IFERROR(__xludf.DUMMYFUNCTION("IF(C1555="""","""", OR(REGEXMATCH(LOWER(C1555),""cuota""), REGEXMATCH(C1555,""\d+\s*/\s*\d+"")))"),"")</f>
        <v/>
      </c>
      <c r="G1555" s="22" t="str">
        <f>IFERROR(__xludf.DUMMYFUNCTION("IFERROR(VALUE(REGEXEXTRACT(C1555,""(\d+)\s*/\s*\d+"")),"""")"),"")</f>
        <v/>
      </c>
      <c r="H1555" s="22" t="str">
        <f>IFERROR(__xludf.DUMMYFUNCTION("IFERROR(VALUE(REGEXEXTRACT(C1555,""\d+\s*/\s*(\d+)"")),"""")"),"")</f>
        <v/>
      </c>
      <c r="I1555" s="22" t="str">
        <f t="shared" si="2"/>
        <v/>
      </c>
      <c r="J1555" s="34" t="str">
        <f t="shared" si="3"/>
        <v/>
      </c>
    </row>
    <row r="1556" ht="15.75" customHeight="1">
      <c r="A1556" s="32" t="s">
        <v>113</v>
      </c>
      <c r="B1556" s="32" t="str">
        <f>IF(MOV_CC_NACIONAL!A1556="","",MOV_CC_NACIONAL!A1556)</f>
        <v/>
      </c>
      <c r="C1556" s="32" t="str">
        <f>IF(MOV_CC_NACIONAL!B1556="","",MOV_CC_NACIONAL!B1556)</f>
        <v/>
      </c>
      <c r="D1556" s="33" t="str">
        <f>IF(MOV_CC_NACIONAL!C1556="","",MOV_CC_NACIONAL!C1556)</f>
        <v/>
      </c>
      <c r="E1556" s="32" t="str">
        <f t="shared" si="1"/>
        <v/>
      </c>
      <c r="F1556" s="32" t="str">
        <f>IFERROR(__xludf.DUMMYFUNCTION("IF(C1556="""","""", OR(REGEXMATCH(LOWER(C1556),""cuota""), REGEXMATCH(C1556,""\d+\s*/\s*\d+"")))"),"")</f>
        <v/>
      </c>
      <c r="G1556" s="32" t="str">
        <f>IFERROR(__xludf.DUMMYFUNCTION("IFERROR(VALUE(REGEXEXTRACT(C1556,""(\d+)\s*/\s*\d+"")),"""")"),"")</f>
        <v/>
      </c>
      <c r="H1556" s="32" t="str">
        <f>IFERROR(__xludf.DUMMYFUNCTION("IFERROR(VALUE(REGEXEXTRACT(C1556,""\d+\s*/\s*(\d+)"")),"""")"),"")</f>
        <v/>
      </c>
      <c r="I1556" s="32" t="str">
        <f t="shared" si="2"/>
        <v/>
      </c>
      <c r="J1556" s="33" t="str">
        <f t="shared" si="3"/>
        <v/>
      </c>
    </row>
    <row r="1557" ht="15.75" customHeight="1">
      <c r="A1557" s="22" t="s">
        <v>113</v>
      </c>
      <c r="B1557" s="22" t="str">
        <f>IF(MOV_CC_NACIONAL!A1557="","",MOV_CC_NACIONAL!A1557)</f>
        <v/>
      </c>
      <c r="C1557" s="22" t="str">
        <f>IF(MOV_CC_NACIONAL!B1557="","",MOV_CC_NACIONAL!B1557)</f>
        <v/>
      </c>
      <c r="D1557" s="34" t="str">
        <f>IF(MOV_CC_NACIONAL!C1557="","",MOV_CC_NACIONAL!C1557)</f>
        <v/>
      </c>
      <c r="E1557" s="22" t="str">
        <f t="shared" si="1"/>
        <v/>
      </c>
      <c r="F1557" s="22" t="str">
        <f>IFERROR(__xludf.DUMMYFUNCTION("IF(C1557="""","""", OR(REGEXMATCH(LOWER(C1557),""cuota""), REGEXMATCH(C1557,""\d+\s*/\s*\d+"")))"),"")</f>
        <v/>
      </c>
      <c r="G1557" s="22" t="str">
        <f>IFERROR(__xludf.DUMMYFUNCTION("IFERROR(VALUE(REGEXEXTRACT(C1557,""(\d+)\s*/\s*\d+"")),"""")"),"")</f>
        <v/>
      </c>
      <c r="H1557" s="22" t="str">
        <f>IFERROR(__xludf.DUMMYFUNCTION("IFERROR(VALUE(REGEXEXTRACT(C1557,""\d+\s*/\s*(\d+)"")),"""")"),"")</f>
        <v/>
      </c>
      <c r="I1557" s="22" t="str">
        <f t="shared" si="2"/>
        <v/>
      </c>
      <c r="J1557" s="34" t="str">
        <f t="shared" si="3"/>
        <v/>
      </c>
    </row>
    <row r="1558" ht="15.75" customHeight="1">
      <c r="A1558" s="32" t="s">
        <v>113</v>
      </c>
      <c r="B1558" s="32" t="str">
        <f>IF(MOV_CC_NACIONAL!A1558="","",MOV_CC_NACIONAL!A1558)</f>
        <v/>
      </c>
      <c r="C1558" s="32" t="str">
        <f>IF(MOV_CC_NACIONAL!B1558="","",MOV_CC_NACIONAL!B1558)</f>
        <v/>
      </c>
      <c r="D1558" s="33" t="str">
        <f>IF(MOV_CC_NACIONAL!C1558="","",MOV_CC_NACIONAL!C1558)</f>
        <v/>
      </c>
      <c r="E1558" s="32" t="str">
        <f t="shared" si="1"/>
        <v/>
      </c>
      <c r="F1558" s="32" t="str">
        <f>IFERROR(__xludf.DUMMYFUNCTION("IF(C1558="""","""", OR(REGEXMATCH(LOWER(C1558),""cuota""), REGEXMATCH(C1558,""\d+\s*/\s*\d+"")))"),"")</f>
        <v/>
      </c>
      <c r="G1558" s="32" t="str">
        <f>IFERROR(__xludf.DUMMYFUNCTION("IFERROR(VALUE(REGEXEXTRACT(C1558,""(\d+)\s*/\s*\d+"")),"""")"),"")</f>
        <v/>
      </c>
      <c r="H1558" s="32" t="str">
        <f>IFERROR(__xludf.DUMMYFUNCTION("IFERROR(VALUE(REGEXEXTRACT(C1558,""\d+\s*/\s*(\d+)"")),"""")"),"")</f>
        <v/>
      </c>
      <c r="I1558" s="32" t="str">
        <f t="shared" si="2"/>
        <v/>
      </c>
      <c r="J1558" s="33" t="str">
        <f t="shared" si="3"/>
        <v/>
      </c>
    </row>
    <row r="1559" ht="15.75" customHeight="1">
      <c r="A1559" s="22" t="s">
        <v>113</v>
      </c>
      <c r="B1559" s="22" t="str">
        <f>IF(MOV_CC_NACIONAL!A1559="","",MOV_CC_NACIONAL!A1559)</f>
        <v/>
      </c>
      <c r="C1559" s="22" t="str">
        <f>IF(MOV_CC_NACIONAL!B1559="","",MOV_CC_NACIONAL!B1559)</f>
        <v/>
      </c>
      <c r="D1559" s="34" t="str">
        <f>IF(MOV_CC_NACIONAL!C1559="","",MOV_CC_NACIONAL!C1559)</f>
        <v/>
      </c>
      <c r="E1559" s="22" t="str">
        <f t="shared" si="1"/>
        <v/>
      </c>
      <c r="F1559" s="22" t="str">
        <f>IFERROR(__xludf.DUMMYFUNCTION("IF(C1559="""","""", OR(REGEXMATCH(LOWER(C1559),""cuota""), REGEXMATCH(C1559,""\d+\s*/\s*\d+"")))"),"")</f>
        <v/>
      </c>
      <c r="G1559" s="22" t="str">
        <f>IFERROR(__xludf.DUMMYFUNCTION("IFERROR(VALUE(REGEXEXTRACT(C1559,""(\d+)\s*/\s*\d+"")),"""")"),"")</f>
        <v/>
      </c>
      <c r="H1559" s="22" t="str">
        <f>IFERROR(__xludf.DUMMYFUNCTION("IFERROR(VALUE(REGEXEXTRACT(C1559,""\d+\s*/\s*(\d+)"")),"""")"),"")</f>
        <v/>
      </c>
      <c r="I1559" s="22" t="str">
        <f t="shared" si="2"/>
        <v/>
      </c>
      <c r="J1559" s="34" t="str">
        <f t="shared" si="3"/>
        <v/>
      </c>
    </row>
    <row r="1560" ht="15.75" customHeight="1">
      <c r="A1560" s="32" t="s">
        <v>113</v>
      </c>
      <c r="B1560" s="32" t="str">
        <f>IF(MOV_CC_NACIONAL!A1560="","",MOV_CC_NACIONAL!A1560)</f>
        <v/>
      </c>
      <c r="C1560" s="32" t="str">
        <f>IF(MOV_CC_NACIONAL!B1560="","",MOV_CC_NACIONAL!B1560)</f>
        <v/>
      </c>
      <c r="D1560" s="33" t="str">
        <f>IF(MOV_CC_NACIONAL!C1560="","",MOV_CC_NACIONAL!C1560)</f>
        <v/>
      </c>
      <c r="E1560" s="32" t="str">
        <f t="shared" si="1"/>
        <v/>
      </c>
      <c r="F1560" s="32" t="str">
        <f>IFERROR(__xludf.DUMMYFUNCTION("IF(C1560="""","""", OR(REGEXMATCH(LOWER(C1560),""cuota""), REGEXMATCH(C1560,""\d+\s*/\s*\d+"")))"),"")</f>
        <v/>
      </c>
      <c r="G1560" s="32" t="str">
        <f>IFERROR(__xludf.DUMMYFUNCTION("IFERROR(VALUE(REGEXEXTRACT(C1560,""(\d+)\s*/\s*\d+"")),"""")"),"")</f>
        <v/>
      </c>
      <c r="H1560" s="32" t="str">
        <f>IFERROR(__xludf.DUMMYFUNCTION("IFERROR(VALUE(REGEXEXTRACT(C1560,""\d+\s*/\s*(\d+)"")),"""")"),"")</f>
        <v/>
      </c>
      <c r="I1560" s="32" t="str">
        <f t="shared" si="2"/>
        <v/>
      </c>
      <c r="J1560" s="33" t="str">
        <f t="shared" si="3"/>
        <v/>
      </c>
    </row>
    <row r="1561" ht="15.75" customHeight="1">
      <c r="A1561" s="22" t="s">
        <v>113</v>
      </c>
      <c r="B1561" s="22" t="str">
        <f>IF(MOV_CC_NACIONAL!A1561="","",MOV_CC_NACIONAL!A1561)</f>
        <v/>
      </c>
      <c r="C1561" s="22" t="str">
        <f>IF(MOV_CC_NACIONAL!B1561="","",MOV_CC_NACIONAL!B1561)</f>
        <v/>
      </c>
      <c r="D1561" s="34" t="str">
        <f>IF(MOV_CC_NACIONAL!C1561="","",MOV_CC_NACIONAL!C1561)</f>
        <v/>
      </c>
      <c r="E1561" s="22" t="str">
        <f t="shared" si="1"/>
        <v/>
      </c>
      <c r="F1561" s="22" t="str">
        <f>IFERROR(__xludf.DUMMYFUNCTION("IF(C1561="""","""", OR(REGEXMATCH(LOWER(C1561),""cuota""), REGEXMATCH(C1561,""\d+\s*/\s*\d+"")))"),"")</f>
        <v/>
      </c>
      <c r="G1561" s="22" t="str">
        <f>IFERROR(__xludf.DUMMYFUNCTION("IFERROR(VALUE(REGEXEXTRACT(C1561,""(\d+)\s*/\s*\d+"")),"""")"),"")</f>
        <v/>
      </c>
      <c r="H1561" s="22" t="str">
        <f>IFERROR(__xludf.DUMMYFUNCTION("IFERROR(VALUE(REGEXEXTRACT(C1561,""\d+\s*/\s*(\d+)"")),"""")"),"")</f>
        <v/>
      </c>
      <c r="I1561" s="22" t="str">
        <f t="shared" si="2"/>
        <v/>
      </c>
      <c r="J1561" s="34" t="str">
        <f t="shared" si="3"/>
        <v/>
      </c>
    </row>
    <row r="1562" ht="15.75" customHeight="1">
      <c r="A1562" s="32" t="s">
        <v>113</v>
      </c>
      <c r="B1562" s="32" t="str">
        <f>IF(MOV_CC_NACIONAL!A1562="","",MOV_CC_NACIONAL!A1562)</f>
        <v/>
      </c>
      <c r="C1562" s="32" t="str">
        <f>IF(MOV_CC_NACIONAL!B1562="","",MOV_CC_NACIONAL!B1562)</f>
        <v/>
      </c>
      <c r="D1562" s="33" t="str">
        <f>IF(MOV_CC_NACIONAL!C1562="","",MOV_CC_NACIONAL!C1562)</f>
        <v/>
      </c>
      <c r="E1562" s="32" t="str">
        <f t="shared" si="1"/>
        <v/>
      </c>
      <c r="F1562" s="32" t="str">
        <f>IFERROR(__xludf.DUMMYFUNCTION("IF(C1562="""","""", OR(REGEXMATCH(LOWER(C1562),""cuota""), REGEXMATCH(C1562,""\d+\s*/\s*\d+"")))"),"")</f>
        <v/>
      </c>
      <c r="G1562" s="32" t="str">
        <f>IFERROR(__xludf.DUMMYFUNCTION("IFERROR(VALUE(REGEXEXTRACT(C1562,""(\d+)\s*/\s*\d+"")),"""")"),"")</f>
        <v/>
      </c>
      <c r="H1562" s="32" t="str">
        <f>IFERROR(__xludf.DUMMYFUNCTION("IFERROR(VALUE(REGEXEXTRACT(C1562,""\d+\s*/\s*(\d+)"")),"""")"),"")</f>
        <v/>
      </c>
      <c r="I1562" s="32" t="str">
        <f t="shared" si="2"/>
        <v/>
      </c>
      <c r="J1562" s="33" t="str">
        <f t="shared" si="3"/>
        <v/>
      </c>
    </row>
    <row r="1563" ht="15.75" customHeight="1">
      <c r="A1563" s="22" t="s">
        <v>113</v>
      </c>
      <c r="B1563" s="22" t="str">
        <f>IF(MOV_CC_NACIONAL!A1563="","",MOV_CC_NACIONAL!A1563)</f>
        <v/>
      </c>
      <c r="C1563" s="22" t="str">
        <f>IF(MOV_CC_NACIONAL!B1563="","",MOV_CC_NACIONAL!B1563)</f>
        <v/>
      </c>
      <c r="D1563" s="34" t="str">
        <f>IF(MOV_CC_NACIONAL!C1563="","",MOV_CC_NACIONAL!C1563)</f>
        <v/>
      </c>
      <c r="E1563" s="22" t="str">
        <f t="shared" si="1"/>
        <v/>
      </c>
      <c r="F1563" s="22" t="str">
        <f>IFERROR(__xludf.DUMMYFUNCTION("IF(C1563="""","""", OR(REGEXMATCH(LOWER(C1563),""cuota""), REGEXMATCH(C1563,""\d+\s*/\s*\d+"")))"),"")</f>
        <v/>
      </c>
      <c r="G1563" s="22" t="str">
        <f>IFERROR(__xludf.DUMMYFUNCTION("IFERROR(VALUE(REGEXEXTRACT(C1563,""(\d+)\s*/\s*\d+"")),"""")"),"")</f>
        <v/>
      </c>
      <c r="H1563" s="22" t="str">
        <f>IFERROR(__xludf.DUMMYFUNCTION("IFERROR(VALUE(REGEXEXTRACT(C1563,""\d+\s*/\s*(\d+)"")),"""")"),"")</f>
        <v/>
      </c>
      <c r="I1563" s="22" t="str">
        <f t="shared" si="2"/>
        <v/>
      </c>
      <c r="J1563" s="34" t="str">
        <f t="shared" si="3"/>
        <v/>
      </c>
    </row>
    <row r="1564" ht="15.75" customHeight="1">
      <c r="A1564" s="32" t="s">
        <v>113</v>
      </c>
      <c r="B1564" s="32" t="str">
        <f>IF(MOV_CC_NACIONAL!A1564="","",MOV_CC_NACIONAL!A1564)</f>
        <v/>
      </c>
      <c r="C1564" s="32" t="str">
        <f>IF(MOV_CC_NACIONAL!B1564="","",MOV_CC_NACIONAL!B1564)</f>
        <v/>
      </c>
      <c r="D1564" s="33" t="str">
        <f>IF(MOV_CC_NACIONAL!C1564="","",MOV_CC_NACIONAL!C1564)</f>
        <v/>
      </c>
      <c r="E1564" s="32" t="str">
        <f t="shared" si="1"/>
        <v/>
      </c>
      <c r="F1564" s="32" t="str">
        <f>IFERROR(__xludf.DUMMYFUNCTION("IF(C1564="""","""", OR(REGEXMATCH(LOWER(C1564),""cuota""), REGEXMATCH(C1564,""\d+\s*/\s*\d+"")))"),"")</f>
        <v/>
      </c>
      <c r="G1564" s="32" t="str">
        <f>IFERROR(__xludf.DUMMYFUNCTION("IFERROR(VALUE(REGEXEXTRACT(C1564,""(\d+)\s*/\s*\d+"")),"""")"),"")</f>
        <v/>
      </c>
      <c r="H1564" s="32" t="str">
        <f>IFERROR(__xludf.DUMMYFUNCTION("IFERROR(VALUE(REGEXEXTRACT(C1564,""\d+\s*/\s*(\d+)"")),"""")"),"")</f>
        <v/>
      </c>
      <c r="I1564" s="32" t="str">
        <f t="shared" si="2"/>
        <v/>
      </c>
      <c r="J1564" s="33" t="str">
        <f t="shared" si="3"/>
        <v/>
      </c>
    </row>
    <row r="1565" ht="15.75" customHeight="1">
      <c r="A1565" s="22" t="s">
        <v>113</v>
      </c>
      <c r="B1565" s="22" t="str">
        <f>IF(MOV_CC_NACIONAL!A1565="","",MOV_CC_NACIONAL!A1565)</f>
        <v/>
      </c>
      <c r="C1565" s="22" t="str">
        <f>IF(MOV_CC_NACIONAL!B1565="","",MOV_CC_NACIONAL!B1565)</f>
        <v/>
      </c>
      <c r="D1565" s="34" t="str">
        <f>IF(MOV_CC_NACIONAL!C1565="","",MOV_CC_NACIONAL!C1565)</f>
        <v/>
      </c>
      <c r="E1565" s="22" t="str">
        <f t="shared" si="1"/>
        <v/>
      </c>
      <c r="F1565" s="22" t="str">
        <f>IFERROR(__xludf.DUMMYFUNCTION("IF(C1565="""","""", OR(REGEXMATCH(LOWER(C1565),""cuota""), REGEXMATCH(C1565,""\d+\s*/\s*\d+"")))"),"")</f>
        <v/>
      </c>
      <c r="G1565" s="22" t="str">
        <f>IFERROR(__xludf.DUMMYFUNCTION("IFERROR(VALUE(REGEXEXTRACT(C1565,""(\d+)\s*/\s*\d+"")),"""")"),"")</f>
        <v/>
      </c>
      <c r="H1565" s="22" t="str">
        <f>IFERROR(__xludf.DUMMYFUNCTION("IFERROR(VALUE(REGEXEXTRACT(C1565,""\d+\s*/\s*(\d+)"")),"""")"),"")</f>
        <v/>
      </c>
      <c r="I1565" s="22" t="str">
        <f t="shared" si="2"/>
        <v/>
      </c>
      <c r="J1565" s="34" t="str">
        <f t="shared" si="3"/>
        <v/>
      </c>
    </row>
    <row r="1566" ht="15.75" customHeight="1">
      <c r="A1566" s="32" t="s">
        <v>113</v>
      </c>
      <c r="B1566" s="32" t="str">
        <f>IF(MOV_CC_NACIONAL!A1566="","",MOV_CC_NACIONAL!A1566)</f>
        <v/>
      </c>
      <c r="C1566" s="32" t="str">
        <f>IF(MOV_CC_NACIONAL!B1566="","",MOV_CC_NACIONAL!B1566)</f>
        <v/>
      </c>
      <c r="D1566" s="33" t="str">
        <f>IF(MOV_CC_NACIONAL!C1566="","",MOV_CC_NACIONAL!C1566)</f>
        <v/>
      </c>
      <c r="E1566" s="32" t="str">
        <f t="shared" si="1"/>
        <v/>
      </c>
      <c r="F1566" s="32" t="str">
        <f>IFERROR(__xludf.DUMMYFUNCTION("IF(C1566="""","""", OR(REGEXMATCH(LOWER(C1566),""cuota""), REGEXMATCH(C1566,""\d+\s*/\s*\d+"")))"),"")</f>
        <v/>
      </c>
      <c r="G1566" s="32" t="str">
        <f>IFERROR(__xludf.DUMMYFUNCTION("IFERROR(VALUE(REGEXEXTRACT(C1566,""(\d+)\s*/\s*\d+"")),"""")"),"")</f>
        <v/>
      </c>
      <c r="H1566" s="32" t="str">
        <f>IFERROR(__xludf.DUMMYFUNCTION("IFERROR(VALUE(REGEXEXTRACT(C1566,""\d+\s*/\s*(\d+)"")),"""")"),"")</f>
        <v/>
      </c>
      <c r="I1566" s="32" t="str">
        <f t="shared" si="2"/>
        <v/>
      </c>
      <c r="J1566" s="33" t="str">
        <f t="shared" si="3"/>
        <v/>
      </c>
    </row>
    <row r="1567" ht="15.75" customHeight="1">
      <c r="A1567" s="22" t="s">
        <v>113</v>
      </c>
      <c r="B1567" s="22" t="str">
        <f>IF(MOV_CC_NACIONAL!A1567="","",MOV_CC_NACIONAL!A1567)</f>
        <v/>
      </c>
      <c r="C1567" s="22" t="str">
        <f>IF(MOV_CC_NACIONAL!B1567="","",MOV_CC_NACIONAL!B1567)</f>
        <v/>
      </c>
      <c r="D1567" s="34" t="str">
        <f>IF(MOV_CC_NACIONAL!C1567="","",MOV_CC_NACIONAL!C1567)</f>
        <v/>
      </c>
      <c r="E1567" s="22" t="str">
        <f t="shared" si="1"/>
        <v/>
      </c>
      <c r="F1567" s="22" t="str">
        <f>IFERROR(__xludf.DUMMYFUNCTION("IF(C1567="""","""", OR(REGEXMATCH(LOWER(C1567),""cuota""), REGEXMATCH(C1567,""\d+\s*/\s*\d+"")))"),"")</f>
        <v/>
      </c>
      <c r="G1567" s="22" t="str">
        <f>IFERROR(__xludf.DUMMYFUNCTION("IFERROR(VALUE(REGEXEXTRACT(C1567,""(\d+)\s*/\s*\d+"")),"""")"),"")</f>
        <v/>
      </c>
      <c r="H1567" s="22" t="str">
        <f>IFERROR(__xludf.DUMMYFUNCTION("IFERROR(VALUE(REGEXEXTRACT(C1567,""\d+\s*/\s*(\d+)"")),"""")"),"")</f>
        <v/>
      </c>
      <c r="I1567" s="22" t="str">
        <f t="shared" si="2"/>
        <v/>
      </c>
      <c r="J1567" s="34" t="str">
        <f t="shared" si="3"/>
        <v/>
      </c>
    </row>
    <row r="1568" ht="15.75" customHeight="1">
      <c r="A1568" s="32" t="s">
        <v>113</v>
      </c>
      <c r="B1568" s="32" t="str">
        <f>IF(MOV_CC_NACIONAL!A1568="","",MOV_CC_NACIONAL!A1568)</f>
        <v/>
      </c>
      <c r="C1568" s="32" t="str">
        <f>IF(MOV_CC_NACIONAL!B1568="","",MOV_CC_NACIONAL!B1568)</f>
        <v/>
      </c>
      <c r="D1568" s="33" t="str">
        <f>IF(MOV_CC_NACIONAL!C1568="","",MOV_CC_NACIONAL!C1568)</f>
        <v/>
      </c>
      <c r="E1568" s="32" t="str">
        <f t="shared" si="1"/>
        <v/>
      </c>
      <c r="F1568" s="32" t="str">
        <f>IFERROR(__xludf.DUMMYFUNCTION("IF(C1568="""","""", OR(REGEXMATCH(LOWER(C1568),""cuota""), REGEXMATCH(C1568,""\d+\s*/\s*\d+"")))"),"")</f>
        <v/>
      </c>
      <c r="G1568" s="32" t="str">
        <f>IFERROR(__xludf.DUMMYFUNCTION("IFERROR(VALUE(REGEXEXTRACT(C1568,""(\d+)\s*/\s*\d+"")),"""")"),"")</f>
        <v/>
      </c>
      <c r="H1568" s="32" t="str">
        <f>IFERROR(__xludf.DUMMYFUNCTION("IFERROR(VALUE(REGEXEXTRACT(C1568,""\d+\s*/\s*(\d+)"")),"""")"),"")</f>
        <v/>
      </c>
      <c r="I1568" s="32" t="str">
        <f t="shared" si="2"/>
        <v/>
      </c>
      <c r="J1568" s="33" t="str">
        <f t="shared" si="3"/>
        <v/>
      </c>
    </row>
    <row r="1569" ht="15.75" customHeight="1">
      <c r="A1569" s="22" t="s">
        <v>113</v>
      </c>
      <c r="B1569" s="22" t="str">
        <f>IF(MOV_CC_NACIONAL!A1569="","",MOV_CC_NACIONAL!A1569)</f>
        <v/>
      </c>
      <c r="C1569" s="22" t="str">
        <f>IF(MOV_CC_NACIONAL!B1569="","",MOV_CC_NACIONAL!B1569)</f>
        <v/>
      </c>
      <c r="D1569" s="34" t="str">
        <f>IF(MOV_CC_NACIONAL!C1569="","",MOV_CC_NACIONAL!C1569)</f>
        <v/>
      </c>
      <c r="E1569" s="22" t="str">
        <f t="shared" si="1"/>
        <v/>
      </c>
      <c r="F1569" s="22" t="str">
        <f>IFERROR(__xludf.DUMMYFUNCTION("IF(C1569="""","""", OR(REGEXMATCH(LOWER(C1569),""cuota""), REGEXMATCH(C1569,""\d+\s*/\s*\d+"")))"),"")</f>
        <v/>
      </c>
      <c r="G1569" s="22" t="str">
        <f>IFERROR(__xludf.DUMMYFUNCTION("IFERROR(VALUE(REGEXEXTRACT(C1569,""(\d+)\s*/\s*\d+"")),"""")"),"")</f>
        <v/>
      </c>
      <c r="H1569" s="22" t="str">
        <f>IFERROR(__xludf.DUMMYFUNCTION("IFERROR(VALUE(REGEXEXTRACT(C1569,""\d+\s*/\s*(\d+)"")),"""")"),"")</f>
        <v/>
      </c>
      <c r="I1569" s="22" t="str">
        <f t="shared" si="2"/>
        <v/>
      </c>
      <c r="J1569" s="34" t="str">
        <f t="shared" si="3"/>
        <v/>
      </c>
    </row>
    <row r="1570" ht="15.75" customHeight="1">
      <c r="A1570" s="32" t="s">
        <v>113</v>
      </c>
      <c r="B1570" s="32" t="str">
        <f>IF(MOV_CC_NACIONAL!A1570="","",MOV_CC_NACIONAL!A1570)</f>
        <v/>
      </c>
      <c r="C1570" s="32" t="str">
        <f>IF(MOV_CC_NACIONAL!B1570="","",MOV_CC_NACIONAL!B1570)</f>
        <v/>
      </c>
      <c r="D1570" s="33" t="str">
        <f>IF(MOV_CC_NACIONAL!C1570="","",MOV_CC_NACIONAL!C1570)</f>
        <v/>
      </c>
      <c r="E1570" s="32" t="str">
        <f t="shared" si="1"/>
        <v/>
      </c>
      <c r="F1570" s="32" t="str">
        <f>IFERROR(__xludf.DUMMYFUNCTION("IF(C1570="""","""", OR(REGEXMATCH(LOWER(C1570),""cuota""), REGEXMATCH(C1570,""\d+\s*/\s*\d+"")))"),"")</f>
        <v/>
      </c>
      <c r="G1570" s="32" t="str">
        <f>IFERROR(__xludf.DUMMYFUNCTION("IFERROR(VALUE(REGEXEXTRACT(C1570,""(\d+)\s*/\s*\d+"")),"""")"),"")</f>
        <v/>
      </c>
      <c r="H1570" s="32" t="str">
        <f>IFERROR(__xludf.DUMMYFUNCTION("IFERROR(VALUE(REGEXEXTRACT(C1570,""\d+\s*/\s*(\d+)"")),"""")"),"")</f>
        <v/>
      </c>
      <c r="I1570" s="32" t="str">
        <f t="shared" si="2"/>
        <v/>
      </c>
      <c r="J1570" s="33" t="str">
        <f t="shared" si="3"/>
        <v/>
      </c>
    </row>
    <row r="1571" ht="15.75" customHeight="1">
      <c r="A1571" s="22" t="s">
        <v>113</v>
      </c>
      <c r="B1571" s="22" t="str">
        <f>IF(MOV_CC_NACIONAL!A1571="","",MOV_CC_NACIONAL!A1571)</f>
        <v/>
      </c>
      <c r="C1571" s="22" t="str">
        <f>IF(MOV_CC_NACIONAL!B1571="","",MOV_CC_NACIONAL!B1571)</f>
        <v/>
      </c>
      <c r="D1571" s="34" t="str">
        <f>IF(MOV_CC_NACIONAL!C1571="","",MOV_CC_NACIONAL!C1571)</f>
        <v/>
      </c>
      <c r="E1571" s="22" t="str">
        <f t="shared" si="1"/>
        <v/>
      </c>
      <c r="F1571" s="22" t="str">
        <f>IFERROR(__xludf.DUMMYFUNCTION("IF(C1571="""","""", OR(REGEXMATCH(LOWER(C1571),""cuota""), REGEXMATCH(C1571,""\d+\s*/\s*\d+"")))"),"")</f>
        <v/>
      </c>
      <c r="G1571" s="22" t="str">
        <f>IFERROR(__xludf.DUMMYFUNCTION("IFERROR(VALUE(REGEXEXTRACT(C1571,""(\d+)\s*/\s*\d+"")),"""")"),"")</f>
        <v/>
      </c>
      <c r="H1571" s="22" t="str">
        <f>IFERROR(__xludf.DUMMYFUNCTION("IFERROR(VALUE(REGEXEXTRACT(C1571,""\d+\s*/\s*(\d+)"")),"""")"),"")</f>
        <v/>
      </c>
      <c r="I1571" s="22" t="str">
        <f t="shared" si="2"/>
        <v/>
      </c>
      <c r="J1571" s="34" t="str">
        <f t="shared" si="3"/>
        <v/>
      </c>
    </row>
    <row r="1572" ht="15.75" customHeight="1">
      <c r="A1572" s="32" t="s">
        <v>113</v>
      </c>
      <c r="B1572" s="32" t="str">
        <f>IF(MOV_CC_NACIONAL!A1572="","",MOV_CC_NACIONAL!A1572)</f>
        <v/>
      </c>
      <c r="C1572" s="32" t="str">
        <f>IF(MOV_CC_NACIONAL!B1572="","",MOV_CC_NACIONAL!B1572)</f>
        <v/>
      </c>
      <c r="D1572" s="33" t="str">
        <f>IF(MOV_CC_NACIONAL!C1572="","",MOV_CC_NACIONAL!C1572)</f>
        <v/>
      </c>
      <c r="E1572" s="32" t="str">
        <f t="shared" si="1"/>
        <v/>
      </c>
      <c r="F1572" s="32" t="str">
        <f>IFERROR(__xludf.DUMMYFUNCTION("IF(C1572="""","""", OR(REGEXMATCH(LOWER(C1572),""cuota""), REGEXMATCH(C1572,""\d+\s*/\s*\d+"")))"),"")</f>
        <v/>
      </c>
      <c r="G1572" s="32" t="str">
        <f>IFERROR(__xludf.DUMMYFUNCTION("IFERROR(VALUE(REGEXEXTRACT(C1572,""(\d+)\s*/\s*\d+"")),"""")"),"")</f>
        <v/>
      </c>
      <c r="H1572" s="32" t="str">
        <f>IFERROR(__xludf.DUMMYFUNCTION("IFERROR(VALUE(REGEXEXTRACT(C1572,""\d+\s*/\s*(\d+)"")),"""")"),"")</f>
        <v/>
      </c>
      <c r="I1572" s="32" t="str">
        <f t="shared" si="2"/>
        <v/>
      </c>
      <c r="J1572" s="33" t="str">
        <f t="shared" si="3"/>
        <v/>
      </c>
    </row>
    <row r="1573" ht="15.75" customHeight="1">
      <c r="A1573" s="22" t="s">
        <v>113</v>
      </c>
      <c r="B1573" s="22" t="str">
        <f>IF(MOV_CC_NACIONAL!A1573="","",MOV_CC_NACIONAL!A1573)</f>
        <v/>
      </c>
      <c r="C1573" s="22" t="str">
        <f>IF(MOV_CC_NACIONAL!B1573="","",MOV_CC_NACIONAL!B1573)</f>
        <v/>
      </c>
      <c r="D1573" s="34" t="str">
        <f>IF(MOV_CC_NACIONAL!C1573="","",MOV_CC_NACIONAL!C1573)</f>
        <v/>
      </c>
      <c r="E1573" s="22" t="str">
        <f t="shared" si="1"/>
        <v/>
      </c>
      <c r="F1573" s="22" t="str">
        <f>IFERROR(__xludf.DUMMYFUNCTION("IF(C1573="""","""", OR(REGEXMATCH(LOWER(C1573),""cuota""), REGEXMATCH(C1573,""\d+\s*/\s*\d+"")))"),"")</f>
        <v/>
      </c>
      <c r="G1573" s="22" t="str">
        <f>IFERROR(__xludf.DUMMYFUNCTION("IFERROR(VALUE(REGEXEXTRACT(C1573,""(\d+)\s*/\s*\d+"")),"""")"),"")</f>
        <v/>
      </c>
      <c r="H1573" s="22" t="str">
        <f>IFERROR(__xludf.DUMMYFUNCTION("IFERROR(VALUE(REGEXEXTRACT(C1573,""\d+\s*/\s*(\d+)"")),"""")"),"")</f>
        <v/>
      </c>
      <c r="I1573" s="22" t="str">
        <f t="shared" si="2"/>
        <v/>
      </c>
      <c r="J1573" s="34" t="str">
        <f t="shared" si="3"/>
        <v/>
      </c>
    </row>
    <row r="1574" ht="15.75" customHeight="1">
      <c r="A1574" s="32" t="s">
        <v>113</v>
      </c>
      <c r="B1574" s="32" t="str">
        <f>IF(MOV_CC_NACIONAL!A1574="","",MOV_CC_NACIONAL!A1574)</f>
        <v/>
      </c>
      <c r="C1574" s="32" t="str">
        <f>IF(MOV_CC_NACIONAL!B1574="","",MOV_CC_NACIONAL!B1574)</f>
        <v/>
      </c>
      <c r="D1574" s="33" t="str">
        <f>IF(MOV_CC_NACIONAL!C1574="","",MOV_CC_NACIONAL!C1574)</f>
        <v/>
      </c>
      <c r="E1574" s="32" t="str">
        <f t="shared" si="1"/>
        <v/>
      </c>
      <c r="F1574" s="32" t="str">
        <f>IFERROR(__xludf.DUMMYFUNCTION("IF(C1574="""","""", OR(REGEXMATCH(LOWER(C1574),""cuota""), REGEXMATCH(C1574,""\d+\s*/\s*\d+"")))"),"")</f>
        <v/>
      </c>
      <c r="G1574" s="32" t="str">
        <f>IFERROR(__xludf.DUMMYFUNCTION("IFERROR(VALUE(REGEXEXTRACT(C1574,""(\d+)\s*/\s*\d+"")),"""")"),"")</f>
        <v/>
      </c>
      <c r="H1574" s="32" t="str">
        <f>IFERROR(__xludf.DUMMYFUNCTION("IFERROR(VALUE(REGEXEXTRACT(C1574,""\d+\s*/\s*(\d+)"")),"""")"),"")</f>
        <v/>
      </c>
      <c r="I1574" s="32" t="str">
        <f t="shared" si="2"/>
        <v/>
      </c>
      <c r="J1574" s="33" t="str">
        <f t="shared" si="3"/>
        <v/>
      </c>
    </row>
    <row r="1575" ht="15.75" customHeight="1">
      <c r="A1575" s="22" t="s">
        <v>113</v>
      </c>
      <c r="B1575" s="22" t="str">
        <f>IF(MOV_CC_NACIONAL!A1575="","",MOV_CC_NACIONAL!A1575)</f>
        <v/>
      </c>
      <c r="C1575" s="22" t="str">
        <f>IF(MOV_CC_NACIONAL!B1575="","",MOV_CC_NACIONAL!B1575)</f>
        <v/>
      </c>
      <c r="D1575" s="34" t="str">
        <f>IF(MOV_CC_NACIONAL!C1575="","",MOV_CC_NACIONAL!C1575)</f>
        <v/>
      </c>
      <c r="E1575" s="22" t="str">
        <f t="shared" si="1"/>
        <v/>
      </c>
      <c r="F1575" s="22" t="str">
        <f>IFERROR(__xludf.DUMMYFUNCTION("IF(C1575="""","""", OR(REGEXMATCH(LOWER(C1575),""cuota""), REGEXMATCH(C1575,""\d+\s*/\s*\d+"")))"),"")</f>
        <v/>
      </c>
      <c r="G1575" s="22" t="str">
        <f>IFERROR(__xludf.DUMMYFUNCTION("IFERROR(VALUE(REGEXEXTRACT(C1575,""(\d+)\s*/\s*\d+"")),"""")"),"")</f>
        <v/>
      </c>
      <c r="H1575" s="22" t="str">
        <f>IFERROR(__xludf.DUMMYFUNCTION("IFERROR(VALUE(REGEXEXTRACT(C1575,""\d+\s*/\s*(\d+)"")),"""")"),"")</f>
        <v/>
      </c>
      <c r="I1575" s="22" t="str">
        <f t="shared" si="2"/>
        <v/>
      </c>
      <c r="J1575" s="34" t="str">
        <f t="shared" si="3"/>
        <v/>
      </c>
    </row>
    <row r="1576" ht="15.75" customHeight="1">
      <c r="A1576" s="32" t="s">
        <v>113</v>
      </c>
      <c r="B1576" s="32" t="str">
        <f>IF(MOV_CC_NACIONAL!A1576="","",MOV_CC_NACIONAL!A1576)</f>
        <v/>
      </c>
      <c r="C1576" s="32" t="str">
        <f>IF(MOV_CC_NACIONAL!B1576="","",MOV_CC_NACIONAL!B1576)</f>
        <v/>
      </c>
      <c r="D1576" s="33" t="str">
        <f>IF(MOV_CC_NACIONAL!C1576="","",MOV_CC_NACIONAL!C1576)</f>
        <v/>
      </c>
      <c r="E1576" s="32" t="str">
        <f t="shared" si="1"/>
        <v/>
      </c>
      <c r="F1576" s="32" t="str">
        <f>IFERROR(__xludf.DUMMYFUNCTION("IF(C1576="""","""", OR(REGEXMATCH(LOWER(C1576),""cuota""), REGEXMATCH(C1576,""\d+\s*/\s*\d+"")))"),"")</f>
        <v/>
      </c>
      <c r="G1576" s="32" t="str">
        <f>IFERROR(__xludf.DUMMYFUNCTION("IFERROR(VALUE(REGEXEXTRACT(C1576,""(\d+)\s*/\s*\d+"")),"""")"),"")</f>
        <v/>
      </c>
      <c r="H1576" s="32" t="str">
        <f>IFERROR(__xludf.DUMMYFUNCTION("IFERROR(VALUE(REGEXEXTRACT(C1576,""\d+\s*/\s*(\d+)"")),"""")"),"")</f>
        <v/>
      </c>
      <c r="I1576" s="32" t="str">
        <f t="shared" si="2"/>
        <v/>
      </c>
      <c r="J1576" s="33" t="str">
        <f t="shared" si="3"/>
        <v/>
      </c>
    </row>
    <row r="1577" ht="15.75" customHeight="1">
      <c r="A1577" s="22" t="s">
        <v>113</v>
      </c>
      <c r="B1577" s="22" t="str">
        <f>IF(MOV_CC_NACIONAL!A1577="","",MOV_CC_NACIONAL!A1577)</f>
        <v/>
      </c>
      <c r="C1577" s="22" t="str">
        <f>IF(MOV_CC_NACIONAL!B1577="","",MOV_CC_NACIONAL!B1577)</f>
        <v/>
      </c>
      <c r="D1577" s="34" t="str">
        <f>IF(MOV_CC_NACIONAL!C1577="","",MOV_CC_NACIONAL!C1577)</f>
        <v/>
      </c>
      <c r="E1577" s="22" t="str">
        <f t="shared" si="1"/>
        <v/>
      </c>
      <c r="F1577" s="22" t="str">
        <f>IFERROR(__xludf.DUMMYFUNCTION("IF(C1577="""","""", OR(REGEXMATCH(LOWER(C1577),""cuota""), REGEXMATCH(C1577,""\d+\s*/\s*\d+"")))"),"")</f>
        <v/>
      </c>
      <c r="G1577" s="22" t="str">
        <f>IFERROR(__xludf.DUMMYFUNCTION("IFERROR(VALUE(REGEXEXTRACT(C1577,""(\d+)\s*/\s*\d+"")),"""")"),"")</f>
        <v/>
      </c>
      <c r="H1577" s="22" t="str">
        <f>IFERROR(__xludf.DUMMYFUNCTION("IFERROR(VALUE(REGEXEXTRACT(C1577,""\d+\s*/\s*(\d+)"")),"""")"),"")</f>
        <v/>
      </c>
      <c r="I1577" s="22" t="str">
        <f t="shared" si="2"/>
        <v/>
      </c>
      <c r="J1577" s="34" t="str">
        <f t="shared" si="3"/>
        <v/>
      </c>
    </row>
    <row r="1578" ht="15.75" customHeight="1">
      <c r="A1578" s="32" t="s">
        <v>113</v>
      </c>
      <c r="B1578" s="32" t="str">
        <f>IF(MOV_CC_NACIONAL!A1578="","",MOV_CC_NACIONAL!A1578)</f>
        <v/>
      </c>
      <c r="C1578" s="32" t="str">
        <f>IF(MOV_CC_NACIONAL!B1578="","",MOV_CC_NACIONAL!B1578)</f>
        <v/>
      </c>
      <c r="D1578" s="33" t="str">
        <f>IF(MOV_CC_NACIONAL!C1578="","",MOV_CC_NACIONAL!C1578)</f>
        <v/>
      </c>
      <c r="E1578" s="32" t="str">
        <f t="shared" si="1"/>
        <v/>
      </c>
      <c r="F1578" s="32" t="str">
        <f>IFERROR(__xludf.DUMMYFUNCTION("IF(C1578="""","""", OR(REGEXMATCH(LOWER(C1578),""cuota""), REGEXMATCH(C1578,""\d+\s*/\s*\d+"")))"),"")</f>
        <v/>
      </c>
      <c r="G1578" s="32" t="str">
        <f>IFERROR(__xludf.DUMMYFUNCTION("IFERROR(VALUE(REGEXEXTRACT(C1578,""(\d+)\s*/\s*\d+"")),"""")"),"")</f>
        <v/>
      </c>
      <c r="H1578" s="32" t="str">
        <f>IFERROR(__xludf.DUMMYFUNCTION("IFERROR(VALUE(REGEXEXTRACT(C1578,""\d+\s*/\s*(\d+)"")),"""")"),"")</f>
        <v/>
      </c>
      <c r="I1578" s="32" t="str">
        <f t="shared" si="2"/>
        <v/>
      </c>
      <c r="J1578" s="33" t="str">
        <f t="shared" si="3"/>
        <v/>
      </c>
    </row>
    <row r="1579" ht="15.75" customHeight="1">
      <c r="A1579" s="22" t="s">
        <v>113</v>
      </c>
      <c r="B1579" s="22" t="str">
        <f>IF(MOV_CC_NACIONAL!A1579="","",MOV_CC_NACIONAL!A1579)</f>
        <v/>
      </c>
      <c r="C1579" s="22" t="str">
        <f>IF(MOV_CC_NACIONAL!B1579="","",MOV_CC_NACIONAL!B1579)</f>
        <v/>
      </c>
      <c r="D1579" s="34" t="str">
        <f>IF(MOV_CC_NACIONAL!C1579="","",MOV_CC_NACIONAL!C1579)</f>
        <v/>
      </c>
      <c r="E1579" s="22" t="str">
        <f t="shared" si="1"/>
        <v/>
      </c>
      <c r="F1579" s="22" t="str">
        <f>IFERROR(__xludf.DUMMYFUNCTION("IF(C1579="""","""", OR(REGEXMATCH(LOWER(C1579),""cuota""), REGEXMATCH(C1579,""\d+\s*/\s*\d+"")))"),"")</f>
        <v/>
      </c>
      <c r="G1579" s="22" t="str">
        <f>IFERROR(__xludf.DUMMYFUNCTION("IFERROR(VALUE(REGEXEXTRACT(C1579,""(\d+)\s*/\s*\d+"")),"""")"),"")</f>
        <v/>
      </c>
      <c r="H1579" s="22" t="str">
        <f>IFERROR(__xludf.DUMMYFUNCTION("IFERROR(VALUE(REGEXEXTRACT(C1579,""\d+\s*/\s*(\d+)"")),"""")"),"")</f>
        <v/>
      </c>
      <c r="I1579" s="22" t="str">
        <f t="shared" si="2"/>
        <v/>
      </c>
      <c r="J1579" s="34" t="str">
        <f t="shared" si="3"/>
        <v/>
      </c>
    </row>
    <row r="1580" ht="15.75" customHeight="1">
      <c r="A1580" s="32" t="s">
        <v>113</v>
      </c>
      <c r="B1580" s="32" t="str">
        <f>IF(MOV_CC_NACIONAL!A1580="","",MOV_CC_NACIONAL!A1580)</f>
        <v/>
      </c>
      <c r="C1580" s="32" t="str">
        <f>IF(MOV_CC_NACIONAL!B1580="","",MOV_CC_NACIONAL!B1580)</f>
        <v/>
      </c>
      <c r="D1580" s="33" t="str">
        <f>IF(MOV_CC_NACIONAL!C1580="","",MOV_CC_NACIONAL!C1580)</f>
        <v/>
      </c>
      <c r="E1580" s="32" t="str">
        <f t="shared" si="1"/>
        <v/>
      </c>
      <c r="F1580" s="32" t="str">
        <f>IFERROR(__xludf.DUMMYFUNCTION("IF(C1580="""","""", OR(REGEXMATCH(LOWER(C1580),""cuota""), REGEXMATCH(C1580,""\d+\s*/\s*\d+"")))"),"")</f>
        <v/>
      </c>
      <c r="G1580" s="32" t="str">
        <f>IFERROR(__xludf.DUMMYFUNCTION("IFERROR(VALUE(REGEXEXTRACT(C1580,""(\d+)\s*/\s*\d+"")),"""")"),"")</f>
        <v/>
      </c>
      <c r="H1580" s="32" t="str">
        <f>IFERROR(__xludf.DUMMYFUNCTION("IFERROR(VALUE(REGEXEXTRACT(C1580,""\d+\s*/\s*(\d+)"")),"""")"),"")</f>
        <v/>
      </c>
      <c r="I1580" s="32" t="str">
        <f t="shared" si="2"/>
        <v/>
      </c>
      <c r="J1580" s="33" t="str">
        <f t="shared" si="3"/>
        <v/>
      </c>
    </row>
    <row r="1581" ht="15.75" customHeight="1">
      <c r="A1581" s="22" t="s">
        <v>113</v>
      </c>
      <c r="B1581" s="22" t="str">
        <f>IF(MOV_CC_NACIONAL!A1581="","",MOV_CC_NACIONAL!A1581)</f>
        <v/>
      </c>
      <c r="C1581" s="22" t="str">
        <f>IF(MOV_CC_NACIONAL!B1581="","",MOV_CC_NACIONAL!B1581)</f>
        <v/>
      </c>
      <c r="D1581" s="34" t="str">
        <f>IF(MOV_CC_NACIONAL!C1581="","",MOV_CC_NACIONAL!C1581)</f>
        <v/>
      </c>
      <c r="E1581" s="22" t="str">
        <f t="shared" si="1"/>
        <v/>
      </c>
      <c r="F1581" s="22" t="str">
        <f>IFERROR(__xludf.DUMMYFUNCTION("IF(C1581="""","""", OR(REGEXMATCH(LOWER(C1581),""cuota""), REGEXMATCH(C1581,""\d+\s*/\s*\d+"")))"),"")</f>
        <v/>
      </c>
      <c r="G1581" s="22" t="str">
        <f>IFERROR(__xludf.DUMMYFUNCTION("IFERROR(VALUE(REGEXEXTRACT(C1581,""(\d+)\s*/\s*\d+"")),"""")"),"")</f>
        <v/>
      </c>
      <c r="H1581" s="22" t="str">
        <f>IFERROR(__xludf.DUMMYFUNCTION("IFERROR(VALUE(REGEXEXTRACT(C1581,""\d+\s*/\s*(\d+)"")),"""")"),"")</f>
        <v/>
      </c>
      <c r="I1581" s="22" t="str">
        <f t="shared" si="2"/>
        <v/>
      </c>
      <c r="J1581" s="34" t="str">
        <f t="shared" si="3"/>
        <v/>
      </c>
    </row>
    <row r="1582" ht="15.75" customHeight="1">
      <c r="A1582" s="32" t="s">
        <v>113</v>
      </c>
      <c r="B1582" s="32" t="str">
        <f>IF(MOV_CC_NACIONAL!A1582="","",MOV_CC_NACIONAL!A1582)</f>
        <v/>
      </c>
      <c r="C1582" s="32" t="str">
        <f>IF(MOV_CC_NACIONAL!B1582="","",MOV_CC_NACIONAL!B1582)</f>
        <v/>
      </c>
      <c r="D1582" s="33" t="str">
        <f>IF(MOV_CC_NACIONAL!C1582="","",MOV_CC_NACIONAL!C1582)</f>
        <v/>
      </c>
      <c r="E1582" s="32" t="str">
        <f t="shared" si="1"/>
        <v/>
      </c>
      <c r="F1582" s="32" t="str">
        <f>IFERROR(__xludf.DUMMYFUNCTION("IF(C1582="""","""", OR(REGEXMATCH(LOWER(C1582),""cuota""), REGEXMATCH(C1582,""\d+\s*/\s*\d+"")))"),"")</f>
        <v/>
      </c>
      <c r="G1582" s="32" t="str">
        <f>IFERROR(__xludf.DUMMYFUNCTION("IFERROR(VALUE(REGEXEXTRACT(C1582,""(\d+)\s*/\s*\d+"")),"""")"),"")</f>
        <v/>
      </c>
      <c r="H1582" s="32" t="str">
        <f>IFERROR(__xludf.DUMMYFUNCTION("IFERROR(VALUE(REGEXEXTRACT(C1582,""\d+\s*/\s*(\d+)"")),"""")"),"")</f>
        <v/>
      </c>
      <c r="I1582" s="32" t="str">
        <f t="shared" si="2"/>
        <v/>
      </c>
      <c r="J1582" s="33" t="str">
        <f t="shared" si="3"/>
        <v/>
      </c>
    </row>
    <row r="1583" ht="15.75" customHeight="1">
      <c r="A1583" s="22" t="s">
        <v>113</v>
      </c>
      <c r="B1583" s="22" t="str">
        <f>IF(MOV_CC_NACIONAL!A1583="","",MOV_CC_NACIONAL!A1583)</f>
        <v/>
      </c>
      <c r="C1583" s="22" t="str">
        <f>IF(MOV_CC_NACIONAL!B1583="","",MOV_CC_NACIONAL!B1583)</f>
        <v/>
      </c>
      <c r="D1583" s="34" t="str">
        <f>IF(MOV_CC_NACIONAL!C1583="","",MOV_CC_NACIONAL!C1583)</f>
        <v/>
      </c>
      <c r="E1583" s="22" t="str">
        <f t="shared" si="1"/>
        <v/>
      </c>
      <c r="F1583" s="22" t="str">
        <f>IFERROR(__xludf.DUMMYFUNCTION("IF(C1583="""","""", OR(REGEXMATCH(LOWER(C1583),""cuota""), REGEXMATCH(C1583,""\d+\s*/\s*\d+"")))"),"")</f>
        <v/>
      </c>
      <c r="G1583" s="22" t="str">
        <f>IFERROR(__xludf.DUMMYFUNCTION("IFERROR(VALUE(REGEXEXTRACT(C1583,""(\d+)\s*/\s*\d+"")),"""")"),"")</f>
        <v/>
      </c>
      <c r="H1583" s="22" t="str">
        <f>IFERROR(__xludf.DUMMYFUNCTION("IFERROR(VALUE(REGEXEXTRACT(C1583,""\d+\s*/\s*(\d+)"")),"""")"),"")</f>
        <v/>
      </c>
      <c r="I1583" s="22" t="str">
        <f t="shared" si="2"/>
        <v/>
      </c>
      <c r="J1583" s="34" t="str">
        <f t="shared" si="3"/>
        <v/>
      </c>
    </row>
    <row r="1584" ht="15.75" customHeight="1">
      <c r="A1584" s="32" t="s">
        <v>113</v>
      </c>
      <c r="B1584" s="32" t="str">
        <f>IF(MOV_CC_NACIONAL!A1584="","",MOV_CC_NACIONAL!A1584)</f>
        <v/>
      </c>
      <c r="C1584" s="32" t="str">
        <f>IF(MOV_CC_NACIONAL!B1584="","",MOV_CC_NACIONAL!B1584)</f>
        <v/>
      </c>
      <c r="D1584" s="33" t="str">
        <f>IF(MOV_CC_NACIONAL!C1584="","",MOV_CC_NACIONAL!C1584)</f>
        <v/>
      </c>
      <c r="E1584" s="32" t="str">
        <f t="shared" si="1"/>
        <v/>
      </c>
      <c r="F1584" s="32" t="str">
        <f>IFERROR(__xludf.DUMMYFUNCTION("IF(C1584="""","""", OR(REGEXMATCH(LOWER(C1584),""cuota""), REGEXMATCH(C1584,""\d+\s*/\s*\d+"")))"),"")</f>
        <v/>
      </c>
      <c r="G1584" s="32" t="str">
        <f>IFERROR(__xludf.DUMMYFUNCTION("IFERROR(VALUE(REGEXEXTRACT(C1584,""(\d+)\s*/\s*\d+"")),"""")"),"")</f>
        <v/>
      </c>
      <c r="H1584" s="32" t="str">
        <f>IFERROR(__xludf.DUMMYFUNCTION("IFERROR(VALUE(REGEXEXTRACT(C1584,""\d+\s*/\s*(\d+)"")),"""")"),"")</f>
        <v/>
      </c>
      <c r="I1584" s="32" t="str">
        <f t="shared" si="2"/>
        <v/>
      </c>
      <c r="J1584" s="33" t="str">
        <f t="shared" si="3"/>
        <v/>
      </c>
    </row>
    <row r="1585" ht="15.75" customHeight="1">
      <c r="A1585" s="22" t="s">
        <v>113</v>
      </c>
      <c r="B1585" s="22" t="str">
        <f>IF(MOV_CC_NACIONAL!A1585="","",MOV_CC_NACIONAL!A1585)</f>
        <v/>
      </c>
      <c r="C1585" s="22" t="str">
        <f>IF(MOV_CC_NACIONAL!B1585="","",MOV_CC_NACIONAL!B1585)</f>
        <v/>
      </c>
      <c r="D1585" s="34" t="str">
        <f>IF(MOV_CC_NACIONAL!C1585="","",MOV_CC_NACIONAL!C1585)</f>
        <v/>
      </c>
      <c r="E1585" s="22" t="str">
        <f t="shared" si="1"/>
        <v/>
      </c>
      <c r="F1585" s="22" t="str">
        <f>IFERROR(__xludf.DUMMYFUNCTION("IF(C1585="""","""", OR(REGEXMATCH(LOWER(C1585),""cuota""), REGEXMATCH(C1585,""\d+\s*/\s*\d+"")))"),"")</f>
        <v/>
      </c>
      <c r="G1585" s="22" t="str">
        <f>IFERROR(__xludf.DUMMYFUNCTION("IFERROR(VALUE(REGEXEXTRACT(C1585,""(\d+)\s*/\s*\d+"")),"""")"),"")</f>
        <v/>
      </c>
      <c r="H1585" s="22" t="str">
        <f>IFERROR(__xludf.DUMMYFUNCTION("IFERROR(VALUE(REGEXEXTRACT(C1585,""\d+\s*/\s*(\d+)"")),"""")"),"")</f>
        <v/>
      </c>
      <c r="I1585" s="22" t="str">
        <f t="shared" si="2"/>
        <v/>
      </c>
      <c r="J1585" s="34" t="str">
        <f t="shared" si="3"/>
        <v/>
      </c>
    </row>
    <row r="1586" ht="15.75" customHeight="1">
      <c r="A1586" s="32" t="s">
        <v>113</v>
      </c>
      <c r="B1586" s="32" t="str">
        <f>IF(MOV_CC_NACIONAL!A1586="","",MOV_CC_NACIONAL!A1586)</f>
        <v/>
      </c>
      <c r="C1586" s="32" t="str">
        <f>IF(MOV_CC_NACIONAL!B1586="","",MOV_CC_NACIONAL!B1586)</f>
        <v/>
      </c>
      <c r="D1586" s="33" t="str">
        <f>IF(MOV_CC_NACIONAL!C1586="","",MOV_CC_NACIONAL!C1586)</f>
        <v/>
      </c>
      <c r="E1586" s="32" t="str">
        <f t="shared" si="1"/>
        <v/>
      </c>
      <c r="F1586" s="32" t="str">
        <f>IFERROR(__xludf.DUMMYFUNCTION("IF(C1586="""","""", OR(REGEXMATCH(LOWER(C1586),""cuota""), REGEXMATCH(C1586,""\d+\s*/\s*\d+"")))"),"")</f>
        <v/>
      </c>
      <c r="G1586" s="32" t="str">
        <f>IFERROR(__xludf.DUMMYFUNCTION("IFERROR(VALUE(REGEXEXTRACT(C1586,""(\d+)\s*/\s*\d+"")),"""")"),"")</f>
        <v/>
      </c>
      <c r="H1586" s="32" t="str">
        <f>IFERROR(__xludf.DUMMYFUNCTION("IFERROR(VALUE(REGEXEXTRACT(C1586,""\d+\s*/\s*(\d+)"")),"""")"),"")</f>
        <v/>
      </c>
      <c r="I1586" s="32" t="str">
        <f t="shared" si="2"/>
        <v/>
      </c>
      <c r="J1586" s="33" t="str">
        <f t="shared" si="3"/>
        <v/>
      </c>
    </row>
    <row r="1587" ht="15.75" customHeight="1">
      <c r="A1587" s="22" t="s">
        <v>113</v>
      </c>
      <c r="B1587" s="22" t="str">
        <f>IF(MOV_CC_NACIONAL!A1587="","",MOV_CC_NACIONAL!A1587)</f>
        <v/>
      </c>
      <c r="C1587" s="22" t="str">
        <f>IF(MOV_CC_NACIONAL!B1587="","",MOV_CC_NACIONAL!B1587)</f>
        <v/>
      </c>
      <c r="D1587" s="34" t="str">
        <f>IF(MOV_CC_NACIONAL!C1587="","",MOV_CC_NACIONAL!C1587)</f>
        <v/>
      </c>
      <c r="E1587" s="22" t="str">
        <f t="shared" si="1"/>
        <v/>
      </c>
      <c r="F1587" s="22" t="str">
        <f>IFERROR(__xludf.DUMMYFUNCTION("IF(C1587="""","""", OR(REGEXMATCH(LOWER(C1587),""cuota""), REGEXMATCH(C1587,""\d+\s*/\s*\d+"")))"),"")</f>
        <v/>
      </c>
      <c r="G1587" s="22" t="str">
        <f>IFERROR(__xludf.DUMMYFUNCTION("IFERROR(VALUE(REGEXEXTRACT(C1587,""(\d+)\s*/\s*\d+"")),"""")"),"")</f>
        <v/>
      </c>
      <c r="H1587" s="22" t="str">
        <f>IFERROR(__xludf.DUMMYFUNCTION("IFERROR(VALUE(REGEXEXTRACT(C1587,""\d+\s*/\s*(\d+)"")),"""")"),"")</f>
        <v/>
      </c>
      <c r="I1587" s="22" t="str">
        <f t="shared" si="2"/>
        <v/>
      </c>
      <c r="J1587" s="34" t="str">
        <f t="shared" si="3"/>
        <v/>
      </c>
    </row>
    <row r="1588" ht="15.75" customHeight="1">
      <c r="A1588" s="32" t="s">
        <v>113</v>
      </c>
      <c r="B1588" s="32" t="str">
        <f>IF(MOV_CC_NACIONAL!A1588="","",MOV_CC_NACIONAL!A1588)</f>
        <v/>
      </c>
      <c r="C1588" s="32" t="str">
        <f>IF(MOV_CC_NACIONAL!B1588="","",MOV_CC_NACIONAL!B1588)</f>
        <v/>
      </c>
      <c r="D1588" s="33" t="str">
        <f>IF(MOV_CC_NACIONAL!C1588="","",MOV_CC_NACIONAL!C1588)</f>
        <v/>
      </c>
      <c r="E1588" s="32" t="str">
        <f t="shared" si="1"/>
        <v/>
      </c>
      <c r="F1588" s="32" t="str">
        <f>IFERROR(__xludf.DUMMYFUNCTION("IF(C1588="""","""", OR(REGEXMATCH(LOWER(C1588),""cuota""), REGEXMATCH(C1588,""\d+\s*/\s*\d+"")))"),"")</f>
        <v/>
      </c>
      <c r="G1588" s="32" t="str">
        <f>IFERROR(__xludf.DUMMYFUNCTION("IFERROR(VALUE(REGEXEXTRACT(C1588,""(\d+)\s*/\s*\d+"")),"""")"),"")</f>
        <v/>
      </c>
      <c r="H1588" s="32" t="str">
        <f>IFERROR(__xludf.DUMMYFUNCTION("IFERROR(VALUE(REGEXEXTRACT(C1588,""\d+\s*/\s*(\d+)"")),"""")"),"")</f>
        <v/>
      </c>
      <c r="I1588" s="32" t="str">
        <f t="shared" si="2"/>
        <v/>
      </c>
      <c r="J1588" s="33" t="str">
        <f t="shared" si="3"/>
        <v/>
      </c>
    </row>
    <row r="1589" ht="15.75" customHeight="1">
      <c r="A1589" s="22" t="s">
        <v>113</v>
      </c>
      <c r="B1589" s="22" t="str">
        <f>IF(MOV_CC_NACIONAL!A1589="","",MOV_CC_NACIONAL!A1589)</f>
        <v/>
      </c>
      <c r="C1589" s="22" t="str">
        <f>IF(MOV_CC_NACIONAL!B1589="","",MOV_CC_NACIONAL!B1589)</f>
        <v/>
      </c>
      <c r="D1589" s="34" t="str">
        <f>IF(MOV_CC_NACIONAL!C1589="","",MOV_CC_NACIONAL!C1589)</f>
        <v/>
      </c>
      <c r="E1589" s="22" t="str">
        <f t="shared" si="1"/>
        <v/>
      </c>
      <c r="F1589" s="22" t="str">
        <f>IFERROR(__xludf.DUMMYFUNCTION("IF(C1589="""","""", OR(REGEXMATCH(LOWER(C1589),""cuota""), REGEXMATCH(C1589,""\d+\s*/\s*\d+"")))"),"")</f>
        <v/>
      </c>
      <c r="G1589" s="22" t="str">
        <f>IFERROR(__xludf.DUMMYFUNCTION("IFERROR(VALUE(REGEXEXTRACT(C1589,""(\d+)\s*/\s*\d+"")),"""")"),"")</f>
        <v/>
      </c>
      <c r="H1589" s="22" t="str">
        <f>IFERROR(__xludf.DUMMYFUNCTION("IFERROR(VALUE(REGEXEXTRACT(C1589,""\d+\s*/\s*(\d+)"")),"""")"),"")</f>
        <v/>
      </c>
      <c r="I1589" s="22" t="str">
        <f t="shared" si="2"/>
        <v/>
      </c>
      <c r="J1589" s="34" t="str">
        <f t="shared" si="3"/>
        <v/>
      </c>
    </row>
    <row r="1590" ht="15.75" customHeight="1">
      <c r="A1590" s="32" t="s">
        <v>113</v>
      </c>
      <c r="B1590" s="32" t="str">
        <f>IF(MOV_CC_NACIONAL!A1590="","",MOV_CC_NACIONAL!A1590)</f>
        <v/>
      </c>
      <c r="C1590" s="32" t="str">
        <f>IF(MOV_CC_NACIONAL!B1590="","",MOV_CC_NACIONAL!B1590)</f>
        <v/>
      </c>
      <c r="D1590" s="33" t="str">
        <f>IF(MOV_CC_NACIONAL!C1590="","",MOV_CC_NACIONAL!C1590)</f>
        <v/>
      </c>
      <c r="E1590" s="32" t="str">
        <f t="shared" si="1"/>
        <v/>
      </c>
      <c r="F1590" s="32" t="str">
        <f>IFERROR(__xludf.DUMMYFUNCTION("IF(C1590="""","""", OR(REGEXMATCH(LOWER(C1590),""cuota""), REGEXMATCH(C1590,""\d+\s*/\s*\d+"")))"),"")</f>
        <v/>
      </c>
      <c r="G1590" s="32" t="str">
        <f>IFERROR(__xludf.DUMMYFUNCTION("IFERROR(VALUE(REGEXEXTRACT(C1590,""(\d+)\s*/\s*\d+"")),"""")"),"")</f>
        <v/>
      </c>
      <c r="H1590" s="32" t="str">
        <f>IFERROR(__xludf.DUMMYFUNCTION("IFERROR(VALUE(REGEXEXTRACT(C1590,""\d+\s*/\s*(\d+)"")),"""")"),"")</f>
        <v/>
      </c>
      <c r="I1590" s="32" t="str">
        <f t="shared" si="2"/>
        <v/>
      </c>
      <c r="J1590" s="33" t="str">
        <f t="shared" si="3"/>
        <v/>
      </c>
    </row>
    <row r="1591" ht="15.75" customHeight="1">
      <c r="A1591" s="22" t="s">
        <v>113</v>
      </c>
      <c r="B1591" s="22" t="str">
        <f>IF(MOV_CC_NACIONAL!A1591="","",MOV_CC_NACIONAL!A1591)</f>
        <v/>
      </c>
      <c r="C1591" s="22" t="str">
        <f>IF(MOV_CC_NACIONAL!B1591="","",MOV_CC_NACIONAL!B1591)</f>
        <v/>
      </c>
      <c r="D1591" s="34" t="str">
        <f>IF(MOV_CC_NACIONAL!C1591="","",MOV_CC_NACIONAL!C1591)</f>
        <v/>
      </c>
      <c r="E1591" s="22" t="str">
        <f t="shared" si="1"/>
        <v/>
      </c>
      <c r="F1591" s="22" t="str">
        <f>IFERROR(__xludf.DUMMYFUNCTION("IF(C1591="""","""", OR(REGEXMATCH(LOWER(C1591),""cuota""), REGEXMATCH(C1591,""\d+\s*/\s*\d+"")))"),"")</f>
        <v/>
      </c>
      <c r="G1591" s="22" t="str">
        <f>IFERROR(__xludf.DUMMYFUNCTION("IFERROR(VALUE(REGEXEXTRACT(C1591,""(\d+)\s*/\s*\d+"")),"""")"),"")</f>
        <v/>
      </c>
      <c r="H1591" s="22" t="str">
        <f>IFERROR(__xludf.DUMMYFUNCTION("IFERROR(VALUE(REGEXEXTRACT(C1591,""\d+\s*/\s*(\d+)"")),"""")"),"")</f>
        <v/>
      </c>
      <c r="I1591" s="22" t="str">
        <f t="shared" si="2"/>
        <v/>
      </c>
      <c r="J1591" s="34" t="str">
        <f t="shared" si="3"/>
        <v/>
      </c>
    </row>
    <row r="1592" ht="15.75" customHeight="1">
      <c r="A1592" s="32" t="s">
        <v>113</v>
      </c>
      <c r="B1592" s="32" t="str">
        <f>IF(MOV_CC_NACIONAL!A1592="","",MOV_CC_NACIONAL!A1592)</f>
        <v/>
      </c>
      <c r="C1592" s="32" t="str">
        <f>IF(MOV_CC_NACIONAL!B1592="","",MOV_CC_NACIONAL!B1592)</f>
        <v/>
      </c>
      <c r="D1592" s="33" t="str">
        <f>IF(MOV_CC_NACIONAL!C1592="","",MOV_CC_NACIONAL!C1592)</f>
        <v/>
      </c>
      <c r="E1592" s="32" t="str">
        <f t="shared" si="1"/>
        <v/>
      </c>
      <c r="F1592" s="32" t="str">
        <f>IFERROR(__xludf.DUMMYFUNCTION("IF(C1592="""","""", OR(REGEXMATCH(LOWER(C1592),""cuota""), REGEXMATCH(C1592,""\d+\s*/\s*\d+"")))"),"")</f>
        <v/>
      </c>
      <c r="G1592" s="32" t="str">
        <f>IFERROR(__xludf.DUMMYFUNCTION("IFERROR(VALUE(REGEXEXTRACT(C1592,""(\d+)\s*/\s*\d+"")),"""")"),"")</f>
        <v/>
      </c>
      <c r="H1592" s="32" t="str">
        <f>IFERROR(__xludf.DUMMYFUNCTION("IFERROR(VALUE(REGEXEXTRACT(C1592,""\d+\s*/\s*(\d+)"")),"""")"),"")</f>
        <v/>
      </c>
      <c r="I1592" s="32" t="str">
        <f t="shared" si="2"/>
        <v/>
      </c>
      <c r="J1592" s="33" t="str">
        <f t="shared" si="3"/>
        <v/>
      </c>
    </row>
    <row r="1593" ht="15.75" customHeight="1">
      <c r="A1593" s="22" t="s">
        <v>113</v>
      </c>
      <c r="B1593" s="22" t="str">
        <f>IF(MOV_CC_NACIONAL!A1593="","",MOV_CC_NACIONAL!A1593)</f>
        <v/>
      </c>
      <c r="C1593" s="22" t="str">
        <f>IF(MOV_CC_NACIONAL!B1593="","",MOV_CC_NACIONAL!B1593)</f>
        <v/>
      </c>
      <c r="D1593" s="34" t="str">
        <f>IF(MOV_CC_NACIONAL!C1593="","",MOV_CC_NACIONAL!C1593)</f>
        <v/>
      </c>
      <c r="E1593" s="22" t="str">
        <f t="shared" si="1"/>
        <v/>
      </c>
      <c r="F1593" s="22" t="str">
        <f>IFERROR(__xludf.DUMMYFUNCTION("IF(C1593="""","""", OR(REGEXMATCH(LOWER(C1593),""cuota""), REGEXMATCH(C1593,""\d+\s*/\s*\d+"")))"),"")</f>
        <v/>
      </c>
      <c r="G1593" s="22" t="str">
        <f>IFERROR(__xludf.DUMMYFUNCTION("IFERROR(VALUE(REGEXEXTRACT(C1593,""(\d+)\s*/\s*\d+"")),"""")"),"")</f>
        <v/>
      </c>
      <c r="H1593" s="22" t="str">
        <f>IFERROR(__xludf.DUMMYFUNCTION("IFERROR(VALUE(REGEXEXTRACT(C1593,""\d+\s*/\s*(\d+)"")),"""")"),"")</f>
        <v/>
      </c>
      <c r="I1593" s="22" t="str">
        <f t="shared" si="2"/>
        <v/>
      </c>
      <c r="J1593" s="34" t="str">
        <f t="shared" si="3"/>
        <v/>
      </c>
    </row>
    <row r="1594" ht="15.75" customHeight="1">
      <c r="A1594" s="32" t="s">
        <v>113</v>
      </c>
      <c r="B1594" s="32" t="str">
        <f>IF(MOV_CC_NACIONAL!A1594="","",MOV_CC_NACIONAL!A1594)</f>
        <v/>
      </c>
      <c r="C1594" s="32" t="str">
        <f>IF(MOV_CC_NACIONAL!B1594="","",MOV_CC_NACIONAL!B1594)</f>
        <v/>
      </c>
      <c r="D1594" s="33" t="str">
        <f>IF(MOV_CC_NACIONAL!C1594="","",MOV_CC_NACIONAL!C1594)</f>
        <v/>
      </c>
      <c r="E1594" s="32" t="str">
        <f t="shared" si="1"/>
        <v/>
      </c>
      <c r="F1594" s="32" t="str">
        <f>IFERROR(__xludf.DUMMYFUNCTION("IF(C1594="""","""", OR(REGEXMATCH(LOWER(C1594),""cuota""), REGEXMATCH(C1594,""\d+\s*/\s*\d+"")))"),"")</f>
        <v/>
      </c>
      <c r="G1594" s="32" t="str">
        <f>IFERROR(__xludf.DUMMYFUNCTION("IFERROR(VALUE(REGEXEXTRACT(C1594,""(\d+)\s*/\s*\d+"")),"""")"),"")</f>
        <v/>
      </c>
      <c r="H1594" s="32" t="str">
        <f>IFERROR(__xludf.DUMMYFUNCTION("IFERROR(VALUE(REGEXEXTRACT(C1594,""\d+\s*/\s*(\d+)"")),"""")"),"")</f>
        <v/>
      </c>
      <c r="I1594" s="32" t="str">
        <f t="shared" si="2"/>
        <v/>
      </c>
      <c r="J1594" s="33" t="str">
        <f t="shared" si="3"/>
        <v/>
      </c>
    </row>
    <row r="1595" ht="15.75" customHeight="1">
      <c r="A1595" s="22" t="s">
        <v>113</v>
      </c>
      <c r="B1595" s="22" t="str">
        <f>IF(MOV_CC_NACIONAL!A1595="","",MOV_CC_NACIONAL!A1595)</f>
        <v/>
      </c>
      <c r="C1595" s="22" t="str">
        <f>IF(MOV_CC_NACIONAL!B1595="","",MOV_CC_NACIONAL!B1595)</f>
        <v/>
      </c>
      <c r="D1595" s="34" t="str">
        <f>IF(MOV_CC_NACIONAL!C1595="","",MOV_CC_NACIONAL!C1595)</f>
        <v/>
      </c>
      <c r="E1595" s="22" t="str">
        <f t="shared" si="1"/>
        <v/>
      </c>
      <c r="F1595" s="22" t="str">
        <f>IFERROR(__xludf.DUMMYFUNCTION("IF(C1595="""","""", OR(REGEXMATCH(LOWER(C1595),""cuota""), REGEXMATCH(C1595,""\d+\s*/\s*\d+"")))"),"")</f>
        <v/>
      </c>
      <c r="G1595" s="22" t="str">
        <f>IFERROR(__xludf.DUMMYFUNCTION("IFERROR(VALUE(REGEXEXTRACT(C1595,""(\d+)\s*/\s*\d+"")),"""")"),"")</f>
        <v/>
      </c>
      <c r="H1595" s="22" t="str">
        <f>IFERROR(__xludf.DUMMYFUNCTION("IFERROR(VALUE(REGEXEXTRACT(C1595,""\d+\s*/\s*(\d+)"")),"""")"),"")</f>
        <v/>
      </c>
      <c r="I1595" s="22" t="str">
        <f t="shared" si="2"/>
        <v/>
      </c>
      <c r="J1595" s="34" t="str">
        <f t="shared" si="3"/>
        <v/>
      </c>
    </row>
    <row r="1596" ht="15.75" customHeight="1">
      <c r="A1596" s="32" t="s">
        <v>113</v>
      </c>
      <c r="B1596" s="32" t="str">
        <f>IF(MOV_CC_NACIONAL!A1596="","",MOV_CC_NACIONAL!A1596)</f>
        <v/>
      </c>
      <c r="C1596" s="32" t="str">
        <f>IF(MOV_CC_NACIONAL!B1596="","",MOV_CC_NACIONAL!B1596)</f>
        <v/>
      </c>
      <c r="D1596" s="33" t="str">
        <f>IF(MOV_CC_NACIONAL!C1596="","",MOV_CC_NACIONAL!C1596)</f>
        <v/>
      </c>
      <c r="E1596" s="32" t="str">
        <f t="shared" si="1"/>
        <v/>
      </c>
      <c r="F1596" s="32" t="str">
        <f>IFERROR(__xludf.DUMMYFUNCTION("IF(C1596="""","""", OR(REGEXMATCH(LOWER(C1596),""cuota""), REGEXMATCH(C1596,""\d+\s*/\s*\d+"")))"),"")</f>
        <v/>
      </c>
      <c r="G1596" s="32" t="str">
        <f>IFERROR(__xludf.DUMMYFUNCTION("IFERROR(VALUE(REGEXEXTRACT(C1596,""(\d+)\s*/\s*\d+"")),"""")"),"")</f>
        <v/>
      </c>
      <c r="H1596" s="32" t="str">
        <f>IFERROR(__xludf.DUMMYFUNCTION("IFERROR(VALUE(REGEXEXTRACT(C1596,""\d+\s*/\s*(\d+)"")),"""")"),"")</f>
        <v/>
      </c>
      <c r="I1596" s="32" t="str">
        <f t="shared" si="2"/>
        <v/>
      </c>
      <c r="J1596" s="33" t="str">
        <f t="shared" si="3"/>
        <v/>
      </c>
    </row>
    <row r="1597" ht="15.75" customHeight="1">
      <c r="A1597" s="22" t="s">
        <v>113</v>
      </c>
      <c r="B1597" s="22" t="str">
        <f>IF(MOV_CC_NACIONAL!A1597="","",MOV_CC_NACIONAL!A1597)</f>
        <v/>
      </c>
      <c r="C1597" s="22" t="str">
        <f>IF(MOV_CC_NACIONAL!B1597="","",MOV_CC_NACIONAL!B1597)</f>
        <v/>
      </c>
      <c r="D1597" s="34" t="str">
        <f>IF(MOV_CC_NACIONAL!C1597="","",MOV_CC_NACIONAL!C1597)</f>
        <v/>
      </c>
      <c r="E1597" s="22" t="str">
        <f t="shared" si="1"/>
        <v/>
      </c>
      <c r="F1597" s="22" t="str">
        <f>IFERROR(__xludf.DUMMYFUNCTION("IF(C1597="""","""", OR(REGEXMATCH(LOWER(C1597),""cuota""), REGEXMATCH(C1597,""\d+\s*/\s*\d+"")))"),"")</f>
        <v/>
      </c>
      <c r="G1597" s="22" t="str">
        <f>IFERROR(__xludf.DUMMYFUNCTION("IFERROR(VALUE(REGEXEXTRACT(C1597,""(\d+)\s*/\s*\d+"")),"""")"),"")</f>
        <v/>
      </c>
      <c r="H1597" s="22" t="str">
        <f>IFERROR(__xludf.DUMMYFUNCTION("IFERROR(VALUE(REGEXEXTRACT(C1597,""\d+\s*/\s*(\d+)"")),"""")"),"")</f>
        <v/>
      </c>
      <c r="I1597" s="22" t="str">
        <f t="shared" si="2"/>
        <v/>
      </c>
      <c r="J1597" s="34" t="str">
        <f t="shared" si="3"/>
        <v/>
      </c>
    </row>
    <row r="1598" ht="15.75" customHeight="1">
      <c r="A1598" s="32" t="s">
        <v>113</v>
      </c>
      <c r="B1598" s="32" t="str">
        <f>IF(MOV_CC_NACIONAL!A1598="","",MOV_CC_NACIONAL!A1598)</f>
        <v/>
      </c>
      <c r="C1598" s="32" t="str">
        <f>IF(MOV_CC_NACIONAL!B1598="","",MOV_CC_NACIONAL!B1598)</f>
        <v/>
      </c>
      <c r="D1598" s="33" t="str">
        <f>IF(MOV_CC_NACIONAL!C1598="","",MOV_CC_NACIONAL!C1598)</f>
        <v/>
      </c>
      <c r="E1598" s="32" t="str">
        <f t="shared" si="1"/>
        <v/>
      </c>
      <c r="F1598" s="32" t="str">
        <f>IFERROR(__xludf.DUMMYFUNCTION("IF(C1598="""","""", OR(REGEXMATCH(LOWER(C1598),""cuota""), REGEXMATCH(C1598,""\d+\s*/\s*\d+"")))"),"")</f>
        <v/>
      </c>
      <c r="G1598" s="32" t="str">
        <f>IFERROR(__xludf.DUMMYFUNCTION("IFERROR(VALUE(REGEXEXTRACT(C1598,""(\d+)\s*/\s*\d+"")),"""")"),"")</f>
        <v/>
      </c>
      <c r="H1598" s="32" t="str">
        <f>IFERROR(__xludf.DUMMYFUNCTION("IFERROR(VALUE(REGEXEXTRACT(C1598,""\d+\s*/\s*(\d+)"")),"""")"),"")</f>
        <v/>
      </c>
      <c r="I1598" s="32" t="str">
        <f t="shared" si="2"/>
        <v/>
      </c>
      <c r="J1598" s="33" t="str">
        <f t="shared" si="3"/>
        <v/>
      </c>
    </row>
    <row r="1599" ht="15.75" customHeight="1">
      <c r="A1599" s="22" t="s">
        <v>113</v>
      </c>
      <c r="B1599" s="22" t="str">
        <f>IF(MOV_CC_NACIONAL!A1599="","",MOV_CC_NACIONAL!A1599)</f>
        <v/>
      </c>
      <c r="C1599" s="22" t="str">
        <f>IF(MOV_CC_NACIONAL!B1599="","",MOV_CC_NACIONAL!B1599)</f>
        <v/>
      </c>
      <c r="D1599" s="34" t="str">
        <f>IF(MOV_CC_NACIONAL!C1599="","",MOV_CC_NACIONAL!C1599)</f>
        <v/>
      </c>
      <c r="E1599" s="22" t="str">
        <f t="shared" si="1"/>
        <v/>
      </c>
      <c r="F1599" s="22" t="str">
        <f>IFERROR(__xludf.DUMMYFUNCTION("IF(C1599="""","""", OR(REGEXMATCH(LOWER(C1599),""cuota""), REGEXMATCH(C1599,""\d+\s*/\s*\d+"")))"),"")</f>
        <v/>
      </c>
      <c r="G1599" s="22" t="str">
        <f>IFERROR(__xludf.DUMMYFUNCTION("IFERROR(VALUE(REGEXEXTRACT(C1599,""(\d+)\s*/\s*\d+"")),"""")"),"")</f>
        <v/>
      </c>
      <c r="H1599" s="22" t="str">
        <f>IFERROR(__xludf.DUMMYFUNCTION("IFERROR(VALUE(REGEXEXTRACT(C1599,""\d+\s*/\s*(\d+)"")),"""")"),"")</f>
        <v/>
      </c>
      <c r="I1599" s="22" t="str">
        <f t="shared" si="2"/>
        <v/>
      </c>
      <c r="J1599" s="34" t="str">
        <f t="shared" si="3"/>
        <v/>
      </c>
    </row>
    <row r="1600" ht="15.75" customHeight="1">
      <c r="A1600" s="32" t="s">
        <v>113</v>
      </c>
      <c r="B1600" s="32" t="str">
        <f>IF(MOV_CC_NACIONAL!A1600="","",MOV_CC_NACIONAL!A1600)</f>
        <v/>
      </c>
      <c r="C1600" s="32" t="str">
        <f>IF(MOV_CC_NACIONAL!B1600="","",MOV_CC_NACIONAL!B1600)</f>
        <v/>
      </c>
      <c r="D1600" s="33" t="str">
        <f>IF(MOV_CC_NACIONAL!C1600="","",MOV_CC_NACIONAL!C1600)</f>
        <v/>
      </c>
      <c r="E1600" s="32" t="str">
        <f t="shared" si="1"/>
        <v/>
      </c>
      <c r="F1600" s="32" t="str">
        <f>IFERROR(__xludf.DUMMYFUNCTION("IF(C1600="""","""", OR(REGEXMATCH(LOWER(C1600),""cuota""), REGEXMATCH(C1600,""\d+\s*/\s*\d+"")))"),"")</f>
        <v/>
      </c>
      <c r="G1600" s="32" t="str">
        <f>IFERROR(__xludf.DUMMYFUNCTION("IFERROR(VALUE(REGEXEXTRACT(C1600,""(\d+)\s*/\s*\d+"")),"""")"),"")</f>
        <v/>
      </c>
      <c r="H1600" s="32" t="str">
        <f>IFERROR(__xludf.DUMMYFUNCTION("IFERROR(VALUE(REGEXEXTRACT(C1600,""\d+\s*/\s*(\d+)"")),"""")"),"")</f>
        <v/>
      </c>
      <c r="I1600" s="32" t="str">
        <f t="shared" si="2"/>
        <v/>
      </c>
      <c r="J1600" s="33" t="str">
        <f t="shared" si="3"/>
        <v/>
      </c>
    </row>
    <row r="1601" ht="15.75" customHeight="1">
      <c r="A1601" s="22" t="s">
        <v>113</v>
      </c>
      <c r="B1601" s="22" t="str">
        <f>IF(MOV_CC_NACIONAL!A1601="","",MOV_CC_NACIONAL!A1601)</f>
        <v/>
      </c>
      <c r="C1601" s="22" t="str">
        <f>IF(MOV_CC_NACIONAL!B1601="","",MOV_CC_NACIONAL!B1601)</f>
        <v/>
      </c>
      <c r="D1601" s="34" t="str">
        <f>IF(MOV_CC_NACIONAL!C1601="","",MOV_CC_NACIONAL!C1601)</f>
        <v/>
      </c>
      <c r="E1601" s="22" t="str">
        <f t="shared" si="1"/>
        <v/>
      </c>
      <c r="F1601" s="22" t="str">
        <f>IFERROR(__xludf.DUMMYFUNCTION("IF(C1601="""","""", OR(REGEXMATCH(LOWER(C1601),""cuota""), REGEXMATCH(C1601,""\d+\s*/\s*\d+"")))"),"")</f>
        <v/>
      </c>
      <c r="G1601" s="22" t="str">
        <f>IFERROR(__xludf.DUMMYFUNCTION("IFERROR(VALUE(REGEXEXTRACT(C1601,""(\d+)\s*/\s*\d+"")),"""")"),"")</f>
        <v/>
      </c>
      <c r="H1601" s="22" t="str">
        <f>IFERROR(__xludf.DUMMYFUNCTION("IFERROR(VALUE(REGEXEXTRACT(C1601,""\d+\s*/\s*(\d+)"")),"""")"),"")</f>
        <v/>
      </c>
      <c r="I1601" s="22" t="str">
        <f t="shared" si="2"/>
        <v/>
      </c>
      <c r="J1601" s="34" t="str">
        <f t="shared" si="3"/>
        <v/>
      </c>
    </row>
    <row r="1602" ht="15.75" customHeight="1">
      <c r="A1602" s="32" t="s">
        <v>113</v>
      </c>
      <c r="B1602" s="32" t="str">
        <f>IF(MOV_CC_NACIONAL!A1602="","",MOV_CC_NACIONAL!A1602)</f>
        <v/>
      </c>
      <c r="C1602" s="32" t="str">
        <f>IF(MOV_CC_NACIONAL!B1602="","",MOV_CC_NACIONAL!B1602)</f>
        <v/>
      </c>
      <c r="D1602" s="33" t="str">
        <f>IF(MOV_CC_NACIONAL!C1602="","",MOV_CC_NACIONAL!C1602)</f>
        <v/>
      </c>
      <c r="E1602" s="32" t="str">
        <f t="shared" si="1"/>
        <v/>
      </c>
      <c r="F1602" s="32" t="str">
        <f>IFERROR(__xludf.DUMMYFUNCTION("IF(C1602="""","""", OR(REGEXMATCH(LOWER(C1602),""cuota""), REGEXMATCH(C1602,""\d+\s*/\s*\d+"")))"),"")</f>
        <v/>
      </c>
      <c r="G1602" s="32" t="str">
        <f>IFERROR(__xludf.DUMMYFUNCTION("IFERROR(VALUE(REGEXEXTRACT(C1602,""(\d+)\s*/\s*\d+"")),"""")"),"")</f>
        <v/>
      </c>
      <c r="H1602" s="32" t="str">
        <f>IFERROR(__xludf.DUMMYFUNCTION("IFERROR(VALUE(REGEXEXTRACT(C1602,""\d+\s*/\s*(\d+)"")),"""")"),"")</f>
        <v/>
      </c>
      <c r="I1602" s="32" t="str">
        <f t="shared" si="2"/>
        <v/>
      </c>
      <c r="J1602" s="33" t="str">
        <f t="shared" si="3"/>
        <v/>
      </c>
    </row>
    <row r="1603" ht="15.75" customHeight="1">
      <c r="A1603" s="22" t="s">
        <v>113</v>
      </c>
      <c r="B1603" s="22" t="str">
        <f>IF(MOV_CC_NACIONAL!A1603="","",MOV_CC_NACIONAL!A1603)</f>
        <v/>
      </c>
      <c r="C1603" s="22" t="str">
        <f>IF(MOV_CC_NACIONAL!B1603="","",MOV_CC_NACIONAL!B1603)</f>
        <v/>
      </c>
      <c r="D1603" s="34" t="str">
        <f>IF(MOV_CC_NACIONAL!C1603="","",MOV_CC_NACIONAL!C1603)</f>
        <v/>
      </c>
      <c r="E1603" s="22" t="str">
        <f t="shared" si="1"/>
        <v/>
      </c>
      <c r="F1603" s="22" t="str">
        <f>IFERROR(__xludf.DUMMYFUNCTION("IF(C1603="""","""", OR(REGEXMATCH(LOWER(C1603),""cuota""), REGEXMATCH(C1603,""\d+\s*/\s*\d+"")))"),"")</f>
        <v/>
      </c>
      <c r="G1603" s="22" t="str">
        <f>IFERROR(__xludf.DUMMYFUNCTION("IFERROR(VALUE(REGEXEXTRACT(C1603,""(\d+)\s*/\s*\d+"")),"""")"),"")</f>
        <v/>
      </c>
      <c r="H1603" s="22" t="str">
        <f>IFERROR(__xludf.DUMMYFUNCTION("IFERROR(VALUE(REGEXEXTRACT(C1603,""\d+\s*/\s*(\d+)"")),"""")"),"")</f>
        <v/>
      </c>
      <c r="I1603" s="22" t="str">
        <f t="shared" si="2"/>
        <v/>
      </c>
      <c r="J1603" s="34" t="str">
        <f t="shared" si="3"/>
        <v/>
      </c>
    </row>
    <row r="1604" ht="15.75" customHeight="1">
      <c r="A1604" s="32" t="s">
        <v>113</v>
      </c>
      <c r="B1604" s="32" t="str">
        <f>IF(MOV_CC_NACIONAL!A1604="","",MOV_CC_NACIONAL!A1604)</f>
        <v/>
      </c>
      <c r="C1604" s="32" t="str">
        <f>IF(MOV_CC_NACIONAL!B1604="","",MOV_CC_NACIONAL!B1604)</f>
        <v/>
      </c>
      <c r="D1604" s="33" t="str">
        <f>IF(MOV_CC_NACIONAL!C1604="","",MOV_CC_NACIONAL!C1604)</f>
        <v/>
      </c>
      <c r="E1604" s="32" t="str">
        <f t="shared" si="1"/>
        <v/>
      </c>
      <c r="F1604" s="32" t="str">
        <f>IFERROR(__xludf.DUMMYFUNCTION("IF(C1604="""","""", OR(REGEXMATCH(LOWER(C1604),""cuota""), REGEXMATCH(C1604,""\d+\s*/\s*\d+"")))"),"")</f>
        <v/>
      </c>
      <c r="G1604" s="32" t="str">
        <f>IFERROR(__xludf.DUMMYFUNCTION("IFERROR(VALUE(REGEXEXTRACT(C1604,""(\d+)\s*/\s*\d+"")),"""")"),"")</f>
        <v/>
      </c>
      <c r="H1604" s="32" t="str">
        <f>IFERROR(__xludf.DUMMYFUNCTION("IFERROR(VALUE(REGEXEXTRACT(C1604,""\d+\s*/\s*(\d+)"")),"""")"),"")</f>
        <v/>
      </c>
      <c r="I1604" s="32" t="str">
        <f t="shared" si="2"/>
        <v/>
      </c>
      <c r="J1604" s="33" t="str">
        <f t="shared" si="3"/>
        <v/>
      </c>
    </row>
    <row r="1605" ht="15.75" customHeight="1">
      <c r="A1605" s="22" t="s">
        <v>113</v>
      </c>
      <c r="B1605" s="22" t="str">
        <f>IF(MOV_CC_NACIONAL!A1605="","",MOV_CC_NACIONAL!A1605)</f>
        <v/>
      </c>
      <c r="C1605" s="22" t="str">
        <f>IF(MOV_CC_NACIONAL!B1605="","",MOV_CC_NACIONAL!B1605)</f>
        <v/>
      </c>
      <c r="D1605" s="34" t="str">
        <f>IF(MOV_CC_NACIONAL!C1605="","",MOV_CC_NACIONAL!C1605)</f>
        <v/>
      </c>
      <c r="E1605" s="22" t="str">
        <f t="shared" si="1"/>
        <v/>
      </c>
      <c r="F1605" s="22" t="str">
        <f>IFERROR(__xludf.DUMMYFUNCTION("IF(C1605="""","""", OR(REGEXMATCH(LOWER(C1605),""cuota""), REGEXMATCH(C1605,""\d+\s*/\s*\d+"")))"),"")</f>
        <v/>
      </c>
      <c r="G1605" s="22" t="str">
        <f>IFERROR(__xludf.DUMMYFUNCTION("IFERROR(VALUE(REGEXEXTRACT(C1605,""(\d+)\s*/\s*\d+"")),"""")"),"")</f>
        <v/>
      </c>
      <c r="H1605" s="22" t="str">
        <f>IFERROR(__xludf.DUMMYFUNCTION("IFERROR(VALUE(REGEXEXTRACT(C1605,""\d+\s*/\s*(\d+)"")),"""")"),"")</f>
        <v/>
      </c>
      <c r="I1605" s="22" t="str">
        <f t="shared" si="2"/>
        <v/>
      </c>
      <c r="J1605" s="34" t="str">
        <f t="shared" si="3"/>
        <v/>
      </c>
    </row>
    <row r="1606" ht="15.75" customHeight="1">
      <c r="A1606" s="32" t="s">
        <v>113</v>
      </c>
      <c r="B1606" s="32" t="str">
        <f>IF(MOV_CC_NACIONAL!A1606="","",MOV_CC_NACIONAL!A1606)</f>
        <v/>
      </c>
      <c r="C1606" s="32" t="str">
        <f>IF(MOV_CC_NACIONAL!B1606="","",MOV_CC_NACIONAL!B1606)</f>
        <v/>
      </c>
      <c r="D1606" s="33" t="str">
        <f>IF(MOV_CC_NACIONAL!C1606="","",MOV_CC_NACIONAL!C1606)</f>
        <v/>
      </c>
      <c r="E1606" s="32" t="str">
        <f t="shared" si="1"/>
        <v/>
      </c>
      <c r="F1606" s="32" t="str">
        <f>IFERROR(__xludf.DUMMYFUNCTION("IF(C1606="""","""", OR(REGEXMATCH(LOWER(C1606),""cuota""), REGEXMATCH(C1606,""\d+\s*/\s*\d+"")))"),"")</f>
        <v/>
      </c>
      <c r="G1606" s="32" t="str">
        <f>IFERROR(__xludf.DUMMYFUNCTION("IFERROR(VALUE(REGEXEXTRACT(C1606,""(\d+)\s*/\s*\d+"")),"""")"),"")</f>
        <v/>
      </c>
      <c r="H1606" s="32" t="str">
        <f>IFERROR(__xludf.DUMMYFUNCTION("IFERROR(VALUE(REGEXEXTRACT(C1606,""\d+\s*/\s*(\d+)"")),"""")"),"")</f>
        <v/>
      </c>
      <c r="I1606" s="32" t="str">
        <f t="shared" si="2"/>
        <v/>
      </c>
      <c r="J1606" s="33" t="str">
        <f t="shared" si="3"/>
        <v/>
      </c>
    </row>
    <row r="1607" ht="15.75" customHeight="1">
      <c r="A1607" s="22" t="s">
        <v>113</v>
      </c>
      <c r="B1607" s="22" t="str">
        <f>IF(MOV_CC_NACIONAL!A1607="","",MOV_CC_NACIONAL!A1607)</f>
        <v/>
      </c>
      <c r="C1607" s="22" t="str">
        <f>IF(MOV_CC_NACIONAL!B1607="","",MOV_CC_NACIONAL!B1607)</f>
        <v/>
      </c>
      <c r="D1607" s="34" t="str">
        <f>IF(MOV_CC_NACIONAL!C1607="","",MOV_CC_NACIONAL!C1607)</f>
        <v/>
      </c>
      <c r="E1607" s="22" t="str">
        <f t="shared" si="1"/>
        <v/>
      </c>
      <c r="F1607" s="22" t="str">
        <f>IFERROR(__xludf.DUMMYFUNCTION("IF(C1607="""","""", OR(REGEXMATCH(LOWER(C1607),""cuota""), REGEXMATCH(C1607,""\d+\s*/\s*\d+"")))"),"")</f>
        <v/>
      </c>
      <c r="G1607" s="22" t="str">
        <f>IFERROR(__xludf.DUMMYFUNCTION("IFERROR(VALUE(REGEXEXTRACT(C1607,""(\d+)\s*/\s*\d+"")),"""")"),"")</f>
        <v/>
      </c>
      <c r="H1607" s="22" t="str">
        <f>IFERROR(__xludf.DUMMYFUNCTION("IFERROR(VALUE(REGEXEXTRACT(C1607,""\d+\s*/\s*(\d+)"")),"""")"),"")</f>
        <v/>
      </c>
      <c r="I1607" s="22" t="str">
        <f t="shared" si="2"/>
        <v/>
      </c>
      <c r="J1607" s="34" t="str">
        <f t="shared" si="3"/>
        <v/>
      </c>
    </row>
    <row r="1608" ht="15.75" customHeight="1">
      <c r="A1608" s="32" t="s">
        <v>113</v>
      </c>
      <c r="B1608" s="32" t="str">
        <f>IF(MOV_CC_NACIONAL!A1608="","",MOV_CC_NACIONAL!A1608)</f>
        <v/>
      </c>
      <c r="C1608" s="32" t="str">
        <f>IF(MOV_CC_NACIONAL!B1608="","",MOV_CC_NACIONAL!B1608)</f>
        <v/>
      </c>
      <c r="D1608" s="33" t="str">
        <f>IF(MOV_CC_NACIONAL!C1608="","",MOV_CC_NACIONAL!C1608)</f>
        <v/>
      </c>
      <c r="E1608" s="32" t="str">
        <f t="shared" si="1"/>
        <v/>
      </c>
      <c r="F1608" s="32" t="str">
        <f>IFERROR(__xludf.DUMMYFUNCTION("IF(C1608="""","""", OR(REGEXMATCH(LOWER(C1608),""cuota""), REGEXMATCH(C1608,""\d+\s*/\s*\d+"")))"),"")</f>
        <v/>
      </c>
      <c r="G1608" s="32" t="str">
        <f>IFERROR(__xludf.DUMMYFUNCTION("IFERROR(VALUE(REGEXEXTRACT(C1608,""(\d+)\s*/\s*\d+"")),"""")"),"")</f>
        <v/>
      </c>
      <c r="H1608" s="32" t="str">
        <f>IFERROR(__xludf.DUMMYFUNCTION("IFERROR(VALUE(REGEXEXTRACT(C1608,""\d+\s*/\s*(\d+)"")),"""")"),"")</f>
        <v/>
      </c>
      <c r="I1608" s="32" t="str">
        <f t="shared" si="2"/>
        <v/>
      </c>
      <c r="J1608" s="33" t="str">
        <f t="shared" si="3"/>
        <v/>
      </c>
    </row>
    <row r="1609" ht="15.75" customHeight="1">
      <c r="A1609" s="22" t="s">
        <v>113</v>
      </c>
      <c r="B1609" s="22" t="str">
        <f>IF(MOV_CC_NACIONAL!A1609="","",MOV_CC_NACIONAL!A1609)</f>
        <v/>
      </c>
      <c r="C1609" s="22" t="str">
        <f>IF(MOV_CC_NACIONAL!B1609="","",MOV_CC_NACIONAL!B1609)</f>
        <v/>
      </c>
      <c r="D1609" s="34" t="str">
        <f>IF(MOV_CC_NACIONAL!C1609="","",MOV_CC_NACIONAL!C1609)</f>
        <v/>
      </c>
      <c r="E1609" s="22" t="str">
        <f t="shared" si="1"/>
        <v/>
      </c>
      <c r="F1609" s="22" t="str">
        <f>IFERROR(__xludf.DUMMYFUNCTION("IF(C1609="""","""", OR(REGEXMATCH(LOWER(C1609),""cuota""), REGEXMATCH(C1609,""\d+\s*/\s*\d+"")))"),"")</f>
        <v/>
      </c>
      <c r="G1609" s="22" t="str">
        <f>IFERROR(__xludf.DUMMYFUNCTION("IFERROR(VALUE(REGEXEXTRACT(C1609,""(\d+)\s*/\s*\d+"")),"""")"),"")</f>
        <v/>
      </c>
      <c r="H1609" s="22" t="str">
        <f>IFERROR(__xludf.DUMMYFUNCTION("IFERROR(VALUE(REGEXEXTRACT(C1609,""\d+\s*/\s*(\d+)"")),"""")"),"")</f>
        <v/>
      </c>
      <c r="I1609" s="22" t="str">
        <f t="shared" si="2"/>
        <v/>
      </c>
      <c r="J1609" s="34" t="str">
        <f t="shared" si="3"/>
        <v/>
      </c>
    </row>
    <row r="1610" ht="15.75" customHeight="1">
      <c r="A1610" s="32" t="s">
        <v>113</v>
      </c>
      <c r="B1610" s="32" t="str">
        <f>IF(MOV_CC_NACIONAL!A1610="","",MOV_CC_NACIONAL!A1610)</f>
        <v/>
      </c>
      <c r="C1610" s="32" t="str">
        <f>IF(MOV_CC_NACIONAL!B1610="","",MOV_CC_NACIONAL!B1610)</f>
        <v/>
      </c>
      <c r="D1610" s="33" t="str">
        <f>IF(MOV_CC_NACIONAL!C1610="","",MOV_CC_NACIONAL!C1610)</f>
        <v/>
      </c>
      <c r="E1610" s="32" t="str">
        <f t="shared" si="1"/>
        <v/>
      </c>
      <c r="F1610" s="32" t="str">
        <f>IFERROR(__xludf.DUMMYFUNCTION("IF(C1610="""","""", OR(REGEXMATCH(LOWER(C1610),""cuota""), REGEXMATCH(C1610,""\d+\s*/\s*\d+"")))"),"")</f>
        <v/>
      </c>
      <c r="G1610" s="32" t="str">
        <f>IFERROR(__xludf.DUMMYFUNCTION("IFERROR(VALUE(REGEXEXTRACT(C1610,""(\d+)\s*/\s*\d+"")),"""")"),"")</f>
        <v/>
      </c>
      <c r="H1610" s="32" t="str">
        <f>IFERROR(__xludf.DUMMYFUNCTION("IFERROR(VALUE(REGEXEXTRACT(C1610,""\d+\s*/\s*(\d+)"")),"""")"),"")</f>
        <v/>
      </c>
      <c r="I1610" s="32" t="str">
        <f t="shared" si="2"/>
        <v/>
      </c>
      <c r="J1610" s="33" t="str">
        <f t="shared" si="3"/>
        <v/>
      </c>
    </row>
    <row r="1611" ht="15.75" customHeight="1">
      <c r="A1611" s="22" t="s">
        <v>113</v>
      </c>
      <c r="B1611" s="22" t="str">
        <f>IF(MOV_CC_NACIONAL!A1611="","",MOV_CC_NACIONAL!A1611)</f>
        <v/>
      </c>
      <c r="C1611" s="22" t="str">
        <f>IF(MOV_CC_NACIONAL!B1611="","",MOV_CC_NACIONAL!B1611)</f>
        <v/>
      </c>
      <c r="D1611" s="34" t="str">
        <f>IF(MOV_CC_NACIONAL!C1611="","",MOV_CC_NACIONAL!C1611)</f>
        <v/>
      </c>
      <c r="E1611" s="22" t="str">
        <f t="shared" si="1"/>
        <v/>
      </c>
      <c r="F1611" s="22" t="str">
        <f>IFERROR(__xludf.DUMMYFUNCTION("IF(C1611="""","""", OR(REGEXMATCH(LOWER(C1611),""cuota""), REGEXMATCH(C1611,""\d+\s*/\s*\d+"")))"),"")</f>
        <v/>
      </c>
      <c r="G1611" s="22" t="str">
        <f>IFERROR(__xludf.DUMMYFUNCTION("IFERROR(VALUE(REGEXEXTRACT(C1611,""(\d+)\s*/\s*\d+"")),"""")"),"")</f>
        <v/>
      </c>
      <c r="H1611" s="22" t="str">
        <f>IFERROR(__xludf.DUMMYFUNCTION("IFERROR(VALUE(REGEXEXTRACT(C1611,""\d+\s*/\s*(\d+)"")),"""")"),"")</f>
        <v/>
      </c>
      <c r="I1611" s="22" t="str">
        <f t="shared" si="2"/>
        <v/>
      </c>
      <c r="J1611" s="34" t="str">
        <f t="shared" si="3"/>
        <v/>
      </c>
    </row>
    <row r="1612" ht="15.75" customHeight="1">
      <c r="A1612" s="32" t="s">
        <v>113</v>
      </c>
      <c r="B1612" s="32" t="str">
        <f>IF(MOV_CC_NACIONAL!A1612="","",MOV_CC_NACIONAL!A1612)</f>
        <v/>
      </c>
      <c r="C1612" s="32" t="str">
        <f>IF(MOV_CC_NACIONAL!B1612="","",MOV_CC_NACIONAL!B1612)</f>
        <v/>
      </c>
      <c r="D1612" s="33" t="str">
        <f>IF(MOV_CC_NACIONAL!C1612="","",MOV_CC_NACIONAL!C1612)</f>
        <v/>
      </c>
      <c r="E1612" s="32" t="str">
        <f t="shared" si="1"/>
        <v/>
      </c>
      <c r="F1612" s="32" t="str">
        <f>IFERROR(__xludf.DUMMYFUNCTION("IF(C1612="""","""", OR(REGEXMATCH(LOWER(C1612),""cuota""), REGEXMATCH(C1612,""\d+\s*/\s*\d+"")))"),"")</f>
        <v/>
      </c>
      <c r="G1612" s="32" t="str">
        <f>IFERROR(__xludf.DUMMYFUNCTION("IFERROR(VALUE(REGEXEXTRACT(C1612,""(\d+)\s*/\s*\d+"")),"""")"),"")</f>
        <v/>
      </c>
      <c r="H1612" s="32" t="str">
        <f>IFERROR(__xludf.DUMMYFUNCTION("IFERROR(VALUE(REGEXEXTRACT(C1612,""\d+\s*/\s*(\d+)"")),"""")"),"")</f>
        <v/>
      </c>
      <c r="I1612" s="32" t="str">
        <f t="shared" si="2"/>
        <v/>
      </c>
      <c r="J1612" s="33" t="str">
        <f t="shared" si="3"/>
        <v/>
      </c>
    </row>
    <row r="1613" ht="15.75" customHeight="1">
      <c r="A1613" s="22" t="s">
        <v>113</v>
      </c>
      <c r="B1613" s="22" t="str">
        <f>IF(MOV_CC_NACIONAL!A1613="","",MOV_CC_NACIONAL!A1613)</f>
        <v/>
      </c>
      <c r="C1613" s="22" t="str">
        <f>IF(MOV_CC_NACIONAL!B1613="","",MOV_CC_NACIONAL!B1613)</f>
        <v/>
      </c>
      <c r="D1613" s="34" t="str">
        <f>IF(MOV_CC_NACIONAL!C1613="","",MOV_CC_NACIONAL!C1613)</f>
        <v/>
      </c>
      <c r="E1613" s="22" t="str">
        <f t="shared" si="1"/>
        <v/>
      </c>
      <c r="F1613" s="22" t="str">
        <f>IFERROR(__xludf.DUMMYFUNCTION("IF(C1613="""","""", OR(REGEXMATCH(LOWER(C1613),""cuota""), REGEXMATCH(C1613,""\d+\s*/\s*\d+"")))"),"")</f>
        <v/>
      </c>
      <c r="G1613" s="22" t="str">
        <f>IFERROR(__xludf.DUMMYFUNCTION("IFERROR(VALUE(REGEXEXTRACT(C1613,""(\d+)\s*/\s*\d+"")),"""")"),"")</f>
        <v/>
      </c>
      <c r="H1613" s="22" t="str">
        <f>IFERROR(__xludf.DUMMYFUNCTION("IFERROR(VALUE(REGEXEXTRACT(C1613,""\d+\s*/\s*(\d+)"")),"""")"),"")</f>
        <v/>
      </c>
      <c r="I1613" s="22" t="str">
        <f t="shared" si="2"/>
        <v/>
      </c>
      <c r="J1613" s="34" t="str">
        <f t="shared" si="3"/>
        <v/>
      </c>
    </row>
    <row r="1614" ht="15.75" customHeight="1">
      <c r="A1614" s="32" t="s">
        <v>113</v>
      </c>
      <c r="B1614" s="32" t="str">
        <f>IF(MOV_CC_NACIONAL!A1614="","",MOV_CC_NACIONAL!A1614)</f>
        <v/>
      </c>
      <c r="C1614" s="32" t="str">
        <f>IF(MOV_CC_NACIONAL!B1614="","",MOV_CC_NACIONAL!B1614)</f>
        <v/>
      </c>
      <c r="D1614" s="33" t="str">
        <f>IF(MOV_CC_NACIONAL!C1614="","",MOV_CC_NACIONAL!C1614)</f>
        <v/>
      </c>
      <c r="E1614" s="32" t="str">
        <f t="shared" si="1"/>
        <v/>
      </c>
      <c r="F1614" s="32" t="str">
        <f>IFERROR(__xludf.DUMMYFUNCTION("IF(C1614="""","""", OR(REGEXMATCH(LOWER(C1614),""cuota""), REGEXMATCH(C1614,""\d+\s*/\s*\d+"")))"),"")</f>
        <v/>
      </c>
      <c r="G1614" s="32" t="str">
        <f>IFERROR(__xludf.DUMMYFUNCTION("IFERROR(VALUE(REGEXEXTRACT(C1614,""(\d+)\s*/\s*\d+"")),"""")"),"")</f>
        <v/>
      </c>
      <c r="H1614" s="32" t="str">
        <f>IFERROR(__xludf.DUMMYFUNCTION("IFERROR(VALUE(REGEXEXTRACT(C1614,""\d+\s*/\s*(\d+)"")),"""")"),"")</f>
        <v/>
      </c>
      <c r="I1614" s="32" t="str">
        <f t="shared" si="2"/>
        <v/>
      </c>
      <c r="J1614" s="33" t="str">
        <f t="shared" si="3"/>
        <v/>
      </c>
    </row>
    <row r="1615" ht="15.75" customHeight="1">
      <c r="A1615" s="22" t="s">
        <v>113</v>
      </c>
      <c r="B1615" s="22" t="str">
        <f>IF(MOV_CC_NACIONAL!A1615="","",MOV_CC_NACIONAL!A1615)</f>
        <v/>
      </c>
      <c r="C1615" s="22" t="str">
        <f>IF(MOV_CC_NACIONAL!B1615="","",MOV_CC_NACIONAL!B1615)</f>
        <v/>
      </c>
      <c r="D1615" s="34" t="str">
        <f>IF(MOV_CC_NACIONAL!C1615="","",MOV_CC_NACIONAL!C1615)</f>
        <v/>
      </c>
      <c r="E1615" s="22" t="str">
        <f t="shared" si="1"/>
        <v/>
      </c>
      <c r="F1615" s="22" t="str">
        <f>IFERROR(__xludf.DUMMYFUNCTION("IF(C1615="""","""", OR(REGEXMATCH(LOWER(C1615),""cuota""), REGEXMATCH(C1615,""\d+\s*/\s*\d+"")))"),"")</f>
        <v/>
      </c>
      <c r="G1615" s="22" t="str">
        <f>IFERROR(__xludf.DUMMYFUNCTION("IFERROR(VALUE(REGEXEXTRACT(C1615,""(\d+)\s*/\s*\d+"")),"""")"),"")</f>
        <v/>
      </c>
      <c r="H1615" s="22" t="str">
        <f>IFERROR(__xludf.DUMMYFUNCTION("IFERROR(VALUE(REGEXEXTRACT(C1615,""\d+\s*/\s*(\d+)"")),"""")"),"")</f>
        <v/>
      </c>
      <c r="I1615" s="22" t="str">
        <f t="shared" si="2"/>
        <v/>
      </c>
      <c r="J1615" s="34" t="str">
        <f t="shared" si="3"/>
        <v/>
      </c>
    </row>
    <row r="1616" ht="15.75" customHeight="1">
      <c r="A1616" s="32" t="s">
        <v>113</v>
      </c>
      <c r="B1616" s="32" t="str">
        <f>IF(MOV_CC_NACIONAL!A1616="","",MOV_CC_NACIONAL!A1616)</f>
        <v/>
      </c>
      <c r="C1616" s="32" t="str">
        <f>IF(MOV_CC_NACIONAL!B1616="","",MOV_CC_NACIONAL!B1616)</f>
        <v/>
      </c>
      <c r="D1616" s="33" t="str">
        <f>IF(MOV_CC_NACIONAL!C1616="","",MOV_CC_NACIONAL!C1616)</f>
        <v/>
      </c>
      <c r="E1616" s="32" t="str">
        <f t="shared" si="1"/>
        <v/>
      </c>
      <c r="F1616" s="32" t="str">
        <f>IFERROR(__xludf.DUMMYFUNCTION("IF(C1616="""","""", OR(REGEXMATCH(LOWER(C1616),""cuota""), REGEXMATCH(C1616,""\d+\s*/\s*\d+"")))"),"")</f>
        <v/>
      </c>
      <c r="G1616" s="32" t="str">
        <f>IFERROR(__xludf.DUMMYFUNCTION("IFERROR(VALUE(REGEXEXTRACT(C1616,""(\d+)\s*/\s*\d+"")),"""")"),"")</f>
        <v/>
      </c>
      <c r="H1616" s="32" t="str">
        <f>IFERROR(__xludf.DUMMYFUNCTION("IFERROR(VALUE(REGEXEXTRACT(C1616,""\d+\s*/\s*(\d+)"")),"""")"),"")</f>
        <v/>
      </c>
      <c r="I1616" s="32" t="str">
        <f t="shared" si="2"/>
        <v/>
      </c>
      <c r="J1616" s="33" t="str">
        <f t="shared" si="3"/>
        <v/>
      </c>
    </row>
    <row r="1617" ht="15.75" customHeight="1">
      <c r="A1617" s="22" t="s">
        <v>113</v>
      </c>
      <c r="B1617" s="22" t="str">
        <f>IF(MOV_CC_NACIONAL!A1617="","",MOV_CC_NACIONAL!A1617)</f>
        <v/>
      </c>
      <c r="C1617" s="22" t="str">
        <f>IF(MOV_CC_NACIONAL!B1617="","",MOV_CC_NACIONAL!B1617)</f>
        <v/>
      </c>
      <c r="D1617" s="34" t="str">
        <f>IF(MOV_CC_NACIONAL!C1617="","",MOV_CC_NACIONAL!C1617)</f>
        <v/>
      </c>
      <c r="E1617" s="22" t="str">
        <f t="shared" si="1"/>
        <v/>
      </c>
      <c r="F1617" s="22" t="str">
        <f>IFERROR(__xludf.DUMMYFUNCTION("IF(C1617="""","""", OR(REGEXMATCH(LOWER(C1617),""cuota""), REGEXMATCH(C1617,""\d+\s*/\s*\d+"")))"),"")</f>
        <v/>
      </c>
      <c r="G1617" s="22" t="str">
        <f>IFERROR(__xludf.DUMMYFUNCTION("IFERROR(VALUE(REGEXEXTRACT(C1617,""(\d+)\s*/\s*\d+"")),"""")"),"")</f>
        <v/>
      </c>
      <c r="H1617" s="22" t="str">
        <f>IFERROR(__xludf.DUMMYFUNCTION("IFERROR(VALUE(REGEXEXTRACT(C1617,""\d+\s*/\s*(\d+)"")),"""")"),"")</f>
        <v/>
      </c>
      <c r="I1617" s="22" t="str">
        <f t="shared" si="2"/>
        <v/>
      </c>
      <c r="J1617" s="34" t="str">
        <f t="shared" si="3"/>
        <v/>
      </c>
    </row>
    <row r="1618" ht="15.75" customHeight="1">
      <c r="A1618" s="32" t="s">
        <v>113</v>
      </c>
      <c r="B1618" s="32" t="str">
        <f>IF(MOV_CC_NACIONAL!A1618="","",MOV_CC_NACIONAL!A1618)</f>
        <v/>
      </c>
      <c r="C1618" s="32" t="str">
        <f>IF(MOV_CC_NACIONAL!B1618="","",MOV_CC_NACIONAL!B1618)</f>
        <v/>
      </c>
      <c r="D1618" s="33" t="str">
        <f>IF(MOV_CC_NACIONAL!C1618="","",MOV_CC_NACIONAL!C1618)</f>
        <v/>
      </c>
      <c r="E1618" s="32" t="str">
        <f t="shared" si="1"/>
        <v/>
      </c>
      <c r="F1618" s="32" t="str">
        <f>IFERROR(__xludf.DUMMYFUNCTION("IF(C1618="""","""", OR(REGEXMATCH(LOWER(C1618),""cuota""), REGEXMATCH(C1618,""\d+\s*/\s*\d+"")))"),"")</f>
        <v/>
      </c>
      <c r="G1618" s="32" t="str">
        <f>IFERROR(__xludf.DUMMYFUNCTION("IFERROR(VALUE(REGEXEXTRACT(C1618,""(\d+)\s*/\s*\d+"")),"""")"),"")</f>
        <v/>
      </c>
      <c r="H1618" s="32" t="str">
        <f>IFERROR(__xludf.DUMMYFUNCTION("IFERROR(VALUE(REGEXEXTRACT(C1618,""\d+\s*/\s*(\d+)"")),"""")"),"")</f>
        <v/>
      </c>
      <c r="I1618" s="32" t="str">
        <f t="shared" si="2"/>
        <v/>
      </c>
      <c r="J1618" s="33" t="str">
        <f t="shared" si="3"/>
        <v/>
      </c>
    </row>
    <row r="1619" ht="15.75" customHeight="1">
      <c r="A1619" s="22" t="s">
        <v>113</v>
      </c>
      <c r="B1619" s="22" t="str">
        <f>IF(MOV_CC_NACIONAL!A1619="","",MOV_CC_NACIONAL!A1619)</f>
        <v/>
      </c>
      <c r="C1619" s="22" t="str">
        <f>IF(MOV_CC_NACIONAL!B1619="","",MOV_CC_NACIONAL!B1619)</f>
        <v/>
      </c>
      <c r="D1619" s="34" t="str">
        <f>IF(MOV_CC_NACIONAL!C1619="","",MOV_CC_NACIONAL!C1619)</f>
        <v/>
      </c>
      <c r="E1619" s="22" t="str">
        <f t="shared" si="1"/>
        <v/>
      </c>
      <c r="F1619" s="22" t="str">
        <f>IFERROR(__xludf.DUMMYFUNCTION("IF(C1619="""","""", OR(REGEXMATCH(LOWER(C1619),""cuota""), REGEXMATCH(C1619,""\d+\s*/\s*\d+"")))"),"")</f>
        <v/>
      </c>
      <c r="G1619" s="22" t="str">
        <f>IFERROR(__xludf.DUMMYFUNCTION("IFERROR(VALUE(REGEXEXTRACT(C1619,""(\d+)\s*/\s*\d+"")),"""")"),"")</f>
        <v/>
      </c>
      <c r="H1619" s="22" t="str">
        <f>IFERROR(__xludf.DUMMYFUNCTION("IFERROR(VALUE(REGEXEXTRACT(C1619,""\d+\s*/\s*(\d+)"")),"""")"),"")</f>
        <v/>
      </c>
      <c r="I1619" s="22" t="str">
        <f t="shared" si="2"/>
        <v/>
      </c>
      <c r="J1619" s="34" t="str">
        <f t="shared" si="3"/>
        <v/>
      </c>
    </row>
    <row r="1620" ht="15.75" customHeight="1">
      <c r="A1620" s="32" t="s">
        <v>113</v>
      </c>
      <c r="B1620" s="32" t="str">
        <f>IF(MOV_CC_NACIONAL!A1620="","",MOV_CC_NACIONAL!A1620)</f>
        <v/>
      </c>
      <c r="C1620" s="32" t="str">
        <f>IF(MOV_CC_NACIONAL!B1620="","",MOV_CC_NACIONAL!B1620)</f>
        <v/>
      </c>
      <c r="D1620" s="33" t="str">
        <f>IF(MOV_CC_NACIONAL!C1620="","",MOV_CC_NACIONAL!C1620)</f>
        <v/>
      </c>
      <c r="E1620" s="32" t="str">
        <f t="shared" si="1"/>
        <v/>
      </c>
      <c r="F1620" s="32" t="str">
        <f>IFERROR(__xludf.DUMMYFUNCTION("IF(C1620="""","""", OR(REGEXMATCH(LOWER(C1620),""cuota""), REGEXMATCH(C1620,""\d+\s*/\s*\d+"")))"),"")</f>
        <v/>
      </c>
      <c r="G1620" s="32" t="str">
        <f>IFERROR(__xludf.DUMMYFUNCTION("IFERROR(VALUE(REGEXEXTRACT(C1620,""(\d+)\s*/\s*\d+"")),"""")"),"")</f>
        <v/>
      </c>
      <c r="H1620" s="32" t="str">
        <f>IFERROR(__xludf.DUMMYFUNCTION("IFERROR(VALUE(REGEXEXTRACT(C1620,""\d+\s*/\s*(\d+)"")),"""")"),"")</f>
        <v/>
      </c>
      <c r="I1620" s="32" t="str">
        <f t="shared" si="2"/>
        <v/>
      </c>
      <c r="J1620" s="33" t="str">
        <f t="shared" si="3"/>
        <v/>
      </c>
    </row>
    <row r="1621" ht="15.75" customHeight="1">
      <c r="A1621" s="22" t="s">
        <v>113</v>
      </c>
      <c r="B1621" s="22" t="str">
        <f>IF(MOV_CC_NACIONAL!A1621="","",MOV_CC_NACIONAL!A1621)</f>
        <v/>
      </c>
      <c r="C1621" s="22" t="str">
        <f>IF(MOV_CC_NACIONAL!B1621="","",MOV_CC_NACIONAL!B1621)</f>
        <v/>
      </c>
      <c r="D1621" s="34" t="str">
        <f>IF(MOV_CC_NACIONAL!C1621="","",MOV_CC_NACIONAL!C1621)</f>
        <v/>
      </c>
      <c r="E1621" s="22" t="str">
        <f t="shared" si="1"/>
        <v/>
      </c>
      <c r="F1621" s="22" t="str">
        <f>IFERROR(__xludf.DUMMYFUNCTION("IF(C1621="""","""", OR(REGEXMATCH(LOWER(C1621),""cuota""), REGEXMATCH(C1621,""\d+\s*/\s*\d+"")))"),"")</f>
        <v/>
      </c>
      <c r="G1621" s="22" t="str">
        <f>IFERROR(__xludf.DUMMYFUNCTION("IFERROR(VALUE(REGEXEXTRACT(C1621,""(\d+)\s*/\s*\d+"")),"""")"),"")</f>
        <v/>
      </c>
      <c r="H1621" s="22" t="str">
        <f>IFERROR(__xludf.DUMMYFUNCTION("IFERROR(VALUE(REGEXEXTRACT(C1621,""\d+\s*/\s*(\d+)"")),"""")"),"")</f>
        <v/>
      </c>
      <c r="I1621" s="22" t="str">
        <f t="shared" si="2"/>
        <v/>
      </c>
      <c r="J1621" s="34" t="str">
        <f t="shared" si="3"/>
        <v/>
      </c>
    </row>
    <row r="1622" ht="15.75" customHeight="1">
      <c r="A1622" s="32" t="s">
        <v>113</v>
      </c>
      <c r="B1622" s="32" t="str">
        <f>IF(MOV_CC_NACIONAL!A1622="","",MOV_CC_NACIONAL!A1622)</f>
        <v/>
      </c>
      <c r="C1622" s="32" t="str">
        <f>IF(MOV_CC_NACIONAL!B1622="","",MOV_CC_NACIONAL!B1622)</f>
        <v/>
      </c>
      <c r="D1622" s="33" t="str">
        <f>IF(MOV_CC_NACIONAL!C1622="","",MOV_CC_NACIONAL!C1622)</f>
        <v/>
      </c>
      <c r="E1622" s="32" t="str">
        <f t="shared" si="1"/>
        <v/>
      </c>
      <c r="F1622" s="32" t="str">
        <f>IFERROR(__xludf.DUMMYFUNCTION("IF(C1622="""","""", OR(REGEXMATCH(LOWER(C1622),""cuota""), REGEXMATCH(C1622,""\d+\s*/\s*\d+"")))"),"")</f>
        <v/>
      </c>
      <c r="G1622" s="32" t="str">
        <f>IFERROR(__xludf.DUMMYFUNCTION("IFERROR(VALUE(REGEXEXTRACT(C1622,""(\d+)\s*/\s*\d+"")),"""")"),"")</f>
        <v/>
      </c>
      <c r="H1622" s="32" t="str">
        <f>IFERROR(__xludf.DUMMYFUNCTION("IFERROR(VALUE(REGEXEXTRACT(C1622,""\d+\s*/\s*(\d+)"")),"""")"),"")</f>
        <v/>
      </c>
      <c r="I1622" s="32" t="str">
        <f t="shared" si="2"/>
        <v/>
      </c>
      <c r="J1622" s="33" t="str">
        <f t="shared" si="3"/>
        <v/>
      </c>
    </row>
    <row r="1623" ht="15.75" customHeight="1">
      <c r="A1623" s="22" t="s">
        <v>113</v>
      </c>
      <c r="B1623" s="22" t="str">
        <f>IF(MOV_CC_NACIONAL!A1623="","",MOV_CC_NACIONAL!A1623)</f>
        <v/>
      </c>
      <c r="C1623" s="22" t="str">
        <f>IF(MOV_CC_NACIONAL!B1623="","",MOV_CC_NACIONAL!B1623)</f>
        <v/>
      </c>
      <c r="D1623" s="34" t="str">
        <f>IF(MOV_CC_NACIONAL!C1623="","",MOV_CC_NACIONAL!C1623)</f>
        <v/>
      </c>
      <c r="E1623" s="22" t="str">
        <f t="shared" si="1"/>
        <v/>
      </c>
      <c r="F1623" s="22" t="str">
        <f>IFERROR(__xludf.DUMMYFUNCTION("IF(C1623="""","""", OR(REGEXMATCH(LOWER(C1623),""cuota""), REGEXMATCH(C1623,""\d+\s*/\s*\d+"")))"),"")</f>
        <v/>
      </c>
      <c r="G1623" s="22" t="str">
        <f>IFERROR(__xludf.DUMMYFUNCTION("IFERROR(VALUE(REGEXEXTRACT(C1623,""(\d+)\s*/\s*\d+"")),"""")"),"")</f>
        <v/>
      </c>
      <c r="H1623" s="22" t="str">
        <f>IFERROR(__xludf.DUMMYFUNCTION("IFERROR(VALUE(REGEXEXTRACT(C1623,""\d+\s*/\s*(\d+)"")),"""")"),"")</f>
        <v/>
      </c>
      <c r="I1623" s="22" t="str">
        <f t="shared" si="2"/>
        <v/>
      </c>
      <c r="J1623" s="34" t="str">
        <f t="shared" si="3"/>
        <v/>
      </c>
    </row>
    <row r="1624" ht="15.75" customHeight="1">
      <c r="A1624" s="32" t="s">
        <v>113</v>
      </c>
      <c r="B1624" s="32" t="str">
        <f>IF(MOV_CC_NACIONAL!A1624="","",MOV_CC_NACIONAL!A1624)</f>
        <v/>
      </c>
      <c r="C1624" s="32" t="str">
        <f>IF(MOV_CC_NACIONAL!B1624="","",MOV_CC_NACIONAL!B1624)</f>
        <v/>
      </c>
      <c r="D1624" s="33" t="str">
        <f>IF(MOV_CC_NACIONAL!C1624="","",MOV_CC_NACIONAL!C1624)</f>
        <v/>
      </c>
      <c r="E1624" s="32" t="str">
        <f t="shared" si="1"/>
        <v/>
      </c>
      <c r="F1624" s="32" t="str">
        <f>IFERROR(__xludf.DUMMYFUNCTION("IF(C1624="""","""", OR(REGEXMATCH(LOWER(C1624),""cuota""), REGEXMATCH(C1624,""\d+\s*/\s*\d+"")))"),"")</f>
        <v/>
      </c>
      <c r="G1624" s="32" t="str">
        <f>IFERROR(__xludf.DUMMYFUNCTION("IFERROR(VALUE(REGEXEXTRACT(C1624,""(\d+)\s*/\s*\d+"")),"""")"),"")</f>
        <v/>
      </c>
      <c r="H1624" s="32" t="str">
        <f>IFERROR(__xludf.DUMMYFUNCTION("IFERROR(VALUE(REGEXEXTRACT(C1624,""\d+\s*/\s*(\d+)"")),"""")"),"")</f>
        <v/>
      </c>
      <c r="I1624" s="32" t="str">
        <f t="shared" si="2"/>
        <v/>
      </c>
      <c r="J1624" s="33" t="str">
        <f t="shared" si="3"/>
        <v/>
      </c>
    </row>
    <row r="1625" ht="15.75" customHeight="1">
      <c r="A1625" s="22" t="s">
        <v>113</v>
      </c>
      <c r="B1625" s="22" t="str">
        <f>IF(MOV_CC_NACIONAL!A1625="","",MOV_CC_NACIONAL!A1625)</f>
        <v/>
      </c>
      <c r="C1625" s="22" t="str">
        <f>IF(MOV_CC_NACIONAL!B1625="","",MOV_CC_NACIONAL!B1625)</f>
        <v/>
      </c>
      <c r="D1625" s="34" t="str">
        <f>IF(MOV_CC_NACIONAL!C1625="","",MOV_CC_NACIONAL!C1625)</f>
        <v/>
      </c>
      <c r="E1625" s="22" t="str">
        <f t="shared" si="1"/>
        <v/>
      </c>
      <c r="F1625" s="22" t="str">
        <f>IFERROR(__xludf.DUMMYFUNCTION("IF(C1625="""","""", OR(REGEXMATCH(LOWER(C1625),""cuota""), REGEXMATCH(C1625,""\d+\s*/\s*\d+"")))"),"")</f>
        <v/>
      </c>
      <c r="G1625" s="22" t="str">
        <f>IFERROR(__xludf.DUMMYFUNCTION("IFERROR(VALUE(REGEXEXTRACT(C1625,""(\d+)\s*/\s*\d+"")),"""")"),"")</f>
        <v/>
      </c>
      <c r="H1625" s="22" t="str">
        <f>IFERROR(__xludf.DUMMYFUNCTION("IFERROR(VALUE(REGEXEXTRACT(C1625,""\d+\s*/\s*(\d+)"")),"""")"),"")</f>
        <v/>
      </c>
      <c r="I1625" s="22" t="str">
        <f t="shared" si="2"/>
        <v/>
      </c>
      <c r="J1625" s="34" t="str">
        <f t="shared" si="3"/>
        <v/>
      </c>
    </row>
    <row r="1626" ht="15.75" customHeight="1">
      <c r="A1626" s="32" t="s">
        <v>113</v>
      </c>
      <c r="B1626" s="32" t="str">
        <f>IF(MOV_CC_NACIONAL!A1626="","",MOV_CC_NACIONAL!A1626)</f>
        <v/>
      </c>
      <c r="C1626" s="32" t="str">
        <f>IF(MOV_CC_NACIONAL!B1626="","",MOV_CC_NACIONAL!B1626)</f>
        <v/>
      </c>
      <c r="D1626" s="33" t="str">
        <f>IF(MOV_CC_NACIONAL!C1626="","",MOV_CC_NACIONAL!C1626)</f>
        <v/>
      </c>
      <c r="E1626" s="32" t="str">
        <f t="shared" si="1"/>
        <v/>
      </c>
      <c r="F1626" s="32" t="str">
        <f>IFERROR(__xludf.DUMMYFUNCTION("IF(C1626="""","""", OR(REGEXMATCH(LOWER(C1626),""cuota""), REGEXMATCH(C1626,""\d+\s*/\s*\d+"")))"),"")</f>
        <v/>
      </c>
      <c r="G1626" s="32" t="str">
        <f>IFERROR(__xludf.DUMMYFUNCTION("IFERROR(VALUE(REGEXEXTRACT(C1626,""(\d+)\s*/\s*\d+"")),"""")"),"")</f>
        <v/>
      </c>
      <c r="H1626" s="32" t="str">
        <f>IFERROR(__xludf.DUMMYFUNCTION("IFERROR(VALUE(REGEXEXTRACT(C1626,""\d+\s*/\s*(\d+)"")),"""")"),"")</f>
        <v/>
      </c>
      <c r="I1626" s="32" t="str">
        <f t="shared" si="2"/>
        <v/>
      </c>
      <c r="J1626" s="33" t="str">
        <f t="shared" si="3"/>
        <v/>
      </c>
    </row>
    <row r="1627" ht="15.75" customHeight="1">
      <c r="A1627" s="22" t="s">
        <v>113</v>
      </c>
      <c r="B1627" s="22" t="str">
        <f>IF(MOV_CC_NACIONAL!A1627="","",MOV_CC_NACIONAL!A1627)</f>
        <v/>
      </c>
      <c r="C1627" s="22" t="str">
        <f>IF(MOV_CC_NACIONAL!B1627="","",MOV_CC_NACIONAL!B1627)</f>
        <v/>
      </c>
      <c r="D1627" s="34" t="str">
        <f>IF(MOV_CC_NACIONAL!C1627="","",MOV_CC_NACIONAL!C1627)</f>
        <v/>
      </c>
      <c r="E1627" s="22" t="str">
        <f t="shared" si="1"/>
        <v/>
      </c>
      <c r="F1627" s="22" t="str">
        <f>IFERROR(__xludf.DUMMYFUNCTION("IF(C1627="""","""", OR(REGEXMATCH(LOWER(C1627),""cuota""), REGEXMATCH(C1627,""\d+\s*/\s*\d+"")))"),"")</f>
        <v/>
      </c>
      <c r="G1627" s="22" t="str">
        <f>IFERROR(__xludf.DUMMYFUNCTION("IFERROR(VALUE(REGEXEXTRACT(C1627,""(\d+)\s*/\s*\d+"")),"""")"),"")</f>
        <v/>
      </c>
      <c r="H1627" s="22" t="str">
        <f>IFERROR(__xludf.DUMMYFUNCTION("IFERROR(VALUE(REGEXEXTRACT(C1627,""\d+\s*/\s*(\d+)"")),"""")"),"")</f>
        <v/>
      </c>
      <c r="I1627" s="22" t="str">
        <f t="shared" si="2"/>
        <v/>
      </c>
      <c r="J1627" s="34" t="str">
        <f t="shared" si="3"/>
        <v/>
      </c>
    </row>
    <row r="1628" ht="15.75" customHeight="1">
      <c r="A1628" s="32" t="s">
        <v>113</v>
      </c>
      <c r="B1628" s="32" t="str">
        <f>IF(MOV_CC_NACIONAL!A1628="","",MOV_CC_NACIONAL!A1628)</f>
        <v/>
      </c>
      <c r="C1628" s="32" t="str">
        <f>IF(MOV_CC_NACIONAL!B1628="","",MOV_CC_NACIONAL!B1628)</f>
        <v/>
      </c>
      <c r="D1628" s="33" t="str">
        <f>IF(MOV_CC_NACIONAL!C1628="","",MOV_CC_NACIONAL!C1628)</f>
        <v/>
      </c>
      <c r="E1628" s="32" t="str">
        <f t="shared" si="1"/>
        <v/>
      </c>
      <c r="F1628" s="32" t="str">
        <f>IFERROR(__xludf.DUMMYFUNCTION("IF(C1628="""","""", OR(REGEXMATCH(LOWER(C1628),""cuota""), REGEXMATCH(C1628,""\d+\s*/\s*\d+"")))"),"")</f>
        <v/>
      </c>
      <c r="G1628" s="32" t="str">
        <f>IFERROR(__xludf.DUMMYFUNCTION("IFERROR(VALUE(REGEXEXTRACT(C1628,""(\d+)\s*/\s*\d+"")),"""")"),"")</f>
        <v/>
      </c>
      <c r="H1628" s="32" t="str">
        <f>IFERROR(__xludf.DUMMYFUNCTION("IFERROR(VALUE(REGEXEXTRACT(C1628,""\d+\s*/\s*(\d+)"")),"""")"),"")</f>
        <v/>
      </c>
      <c r="I1628" s="32" t="str">
        <f t="shared" si="2"/>
        <v/>
      </c>
      <c r="J1628" s="33" t="str">
        <f t="shared" si="3"/>
        <v/>
      </c>
    </row>
    <row r="1629" ht="15.75" customHeight="1">
      <c r="A1629" s="22" t="s">
        <v>113</v>
      </c>
      <c r="B1629" s="22" t="str">
        <f>IF(MOV_CC_NACIONAL!A1629="","",MOV_CC_NACIONAL!A1629)</f>
        <v/>
      </c>
      <c r="C1629" s="22" t="str">
        <f>IF(MOV_CC_NACIONAL!B1629="","",MOV_CC_NACIONAL!B1629)</f>
        <v/>
      </c>
      <c r="D1629" s="34" t="str">
        <f>IF(MOV_CC_NACIONAL!C1629="","",MOV_CC_NACIONAL!C1629)</f>
        <v/>
      </c>
      <c r="E1629" s="22" t="str">
        <f t="shared" si="1"/>
        <v/>
      </c>
      <c r="F1629" s="22" t="str">
        <f>IFERROR(__xludf.DUMMYFUNCTION("IF(C1629="""","""", OR(REGEXMATCH(LOWER(C1629),""cuota""), REGEXMATCH(C1629,""\d+\s*/\s*\d+"")))"),"")</f>
        <v/>
      </c>
      <c r="G1629" s="22" t="str">
        <f>IFERROR(__xludf.DUMMYFUNCTION("IFERROR(VALUE(REGEXEXTRACT(C1629,""(\d+)\s*/\s*\d+"")),"""")"),"")</f>
        <v/>
      </c>
      <c r="H1629" s="22" t="str">
        <f>IFERROR(__xludf.DUMMYFUNCTION("IFERROR(VALUE(REGEXEXTRACT(C1629,""\d+\s*/\s*(\d+)"")),"""")"),"")</f>
        <v/>
      </c>
      <c r="I1629" s="22" t="str">
        <f t="shared" si="2"/>
        <v/>
      </c>
      <c r="J1629" s="34" t="str">
        <f t="shared" si="3"/>
        <v/>
      </c>
    </row>
    <row r="1630" ht="15.75" customHeight="1">
      <c r="A1630" s="32" t="s">
        <v>113</v>
      </c>
      <c r="B1630" s="32" t="str">
        <f>IF(MOV_CC_NACIONAL!A1630="","",MOV_CC_NACIONAL!A1630)</f>
        <v/>
      </c>
      <c r="C1630" s="32" t="str">
        <f>IF(MOV_CC_NACIONAL!B1630="","",MOV_CC_NACIONAL!B1630)</f>
        <v/>
      </c>
      <c r="D1630" s="33" t="str">
        <f>IF(MOV_CC_NACIONAL!C1630="","",MOV_CC_NACIONAL!C1630)</f>
        <v/>
      </c>
      <c r="E1630" s="32" t="str">
        <f t="shared" si="1"/>
        <v/>
      </c>
      <c r="F1630" s="32" t="str">
        <f>IFERROR(__xludf.DUMMYFUNCTION("IF(C1630="""","""", OR(REGEXMATCH(LOWER(C1630),""cuota""), REGEXMATCH(C1630,""\d+\s*/\s*\d+"")))"),"")</f>
        <v/>
      </c>
      <c r="G1630" s="32" t="str">
        <f>IFERROR(__xludf.DUMMYFUNCTION("IFERROR(VALUE(REGEXEXTRACT(C1630,""(\d+)\s*/\s*\d+"")),"""")"),"")</f>
        <v/>
      </c>
      <c r="H1630" s="32" t="str">
        <f>IFERROR(__xludf.DUMMYFUNCTION("IFERROR(VALUE(REGEXEXTRACT(C1630,""\d+\s*/\s*(\d+)"")),"""")"),"")</f>
        <v/>
      </c>
      <c r="I1630" s="32" t="str">
        <f t="shared" si="2"/>
        <v/>
      </c>
      <c r="J1630" s="33" t="str">
        <f t="shared" si="3"/>
        <v/>
      </c>
    </row>
    <row r="1631" ht="15.75" customHeight="1">
      <c r="A1631" s="22" t="s">
        <v>113</v>
      </c>
      <c r="B1631" s="22" t="str">
        <f>IF(MOV_CC_NACIONAL!A1631="","",MOV_CC_NACIONAL!A1631)</f>
        <v/>
      </c>
      <c r="C1631" s="22" t="str">
        <f>IF(MOV_CC_NACIONAL!B1631="","",MOV_CC_NACIONAL!B1631)</f>
        <v/>
      </c>
      <c r="D1631" s="34" t="str">
        <f>IF(MOV_CC_NACIONAL!C1631="","",MOV_CC_NACIONAL!C1631)</f>
        <v/>
      </c>
      <c r="E1631" s="22" t="str">
        <f t="shared" si="1"/>
        <v/>
      </c>
      <c r="F1631" s="22" t="str">
        <f>IFERROR(__xludf.DUMMYFUNCTION("IF(C1631="""","""", OR(REGEXMATCH(LOWER(C1631),""cuota""), REGEXMATCH(C1631,""\d+\s*/\s*\d+"")))"),"")</f>
        <v/>
      </c>
      <c r="G1631" s="22" t="str">
        <f>IFERROR(__xludf.DUMMYFUNCTION("IFERROR(VALUE(REGEXEXTRACT(C1631,""(\d+)\s*/\s*\d+"")),"""")"),"")</f>
        <v/>
      </c>
      <c r="H1631" s="22" t="str">
        <f>IFERROR(__xludf.DUMMYFUNCTION("IFERROR(VALUE(REGEXEXTRACT(C1631,""\d+\s*/\s*(\d+)"")),"""")"),"")</f>
        <v/>
      </c>
      <c r="I1631" s="22" t="str">
        <f t="shared" si="2"/>
        <v/>
      </c>
      <c r="J1631" s="34" t="str">
        <f t="shared" si="3"/>
        <v/>
      </c>
    </row>
    <row r="1632" ht="15.75" customHeight="1">
      <c r="A1632" s="32" t="s">
        <v>113</v>
      </c>
      <c r="B1632" s="32" t="str">
        <f>IF(MOV_CC_NACIONAL!A1632="","",MOV_CC_NACIONAL!A1632)</f>
        <v/>
      </c>
      <c r="C1632" s="32" t="str">
        <f>IF(MOV_CC_NACIONAL!B1632="","",MOV_CC_NACIONAL!B1632)</f>
        <v/>
      </c>
      <c r="D1632" s="33" t="str">
        <f>IF(MOV_CC_NACIONAL!C1632="","",MOV_CC_NACIONAL!C1632)</f>
        <v/>
      </c>
      <c r="E1632" s="32" t="str">
        <f t="shared" si="1"/>
        <v/>
      </c>
      <c r="F1632" s="32" t="str">
        <f>IFERROR(__xludf.DUMMYFUNCTION("IF(C1632="""","""", OR(REGEXMATCH(LOWER(C1632),""cuota""), REGEXMATCH(C1632,""\d+\s*/\s*\d+"")))"),"")</f>
        <v/>
      </c>
      <c r="G1632" s="32" t="str">
        <f>IFERROR(__xludf.DUMMYFUNCTION("IFERROR(VALUE(REGEXEXTRACT(C1632,""(\d+)\s*/\s*\d+"")),"""")"),"")</f>
        <v/>
      </c>
      <c r="H1632" s="32" t="str">
        <f>IFERROR(__xludf.DUMMYFUNCTION("IFERROR(VALUE(REGEXEXTRACT(C1632,""\d+\s*/\s*(\d+)"")),"""")"),"")</f>
        <v/>
      </c>
      <c r="I1632" s="32" t="str">
        <f t="shared" si="2"/>
        <v/>
      </c>
      <c r="J1632" s="33" t="str">
        <f t="shared" si="3"/>
        <v/>
      </c>
    </row>
    <row r="1633" ht="15.75" customHeight="1">
      <c r="A1633" s="22" t="s">
        <v>113</v>
      </c>
      <c r="B1633" s="22" t="str">
        <f>IF(MOV_CC_NACIONAL!A1633="","",MOV_CC_NACIONAL!A1633)</f>
        <v/>
      </c>
      <c r="C1633" s="22" t="str">
        <f>IF(MOV_CC_NACIONAL!B1633="","",MOV_CC_NACIONAL!B1633)</f>
        <v/>
      </c>
      <c r="D1633" s="34" t="str">
        <f>IF(MOV_CC_NACIONAL!C1633="","",MOV_CC_NACIONAL!C1633)</f>
        <v/>
      </c>
      <c r="E1633" s="22" t="str">
        <f t="shared" si="1"/>
        <v/>
      </c>
      <c r="F1633" s="22" t="str">
        <f>IFERROR(__xludf.DUMMYFUNCTION("IF(C1633="""","""", OR(REGEXMATCH(LOWER(C1633),""cuota""), REGEXMATCH(C1633,""\d+\s*/\s*\d+"")))"),"")</f>
        <v/>
      </c>
      <c r="G1633" s="22" t="str">
        <f>IFERROR(__xludf.DUMMYFUNCTION("IFERROR(VALUE(REGEXEXTRACT(C1633,""(\d+)\s*/\s*\d+"")),"""")"),"")</f>
        <v/>
      </c>
      <c r="H1633" s="22" t="str">
        <f>IFERROR(__xludf.DUMMYFUNCTION("IFERROR(VALUE(REGEXEXTRACT(C1633,""\d+\s*/\s*(\d+)"")),"""")"),"")</f>
        <v/>
      </c>
      <c r="I1633" s="22" t="str">
        <f t="shared" si="2"/>
        <v/>
      </c>
      <c r="J1633" s="34" t="str">
        <f t="shared" si="3"/>
        <v/>
      </c>
    </row>
    <row r="1634" ht="15.75" customHeight="1">
      <c r="A1634" s="32" t="s">
        <v>113</v>
      </c>
      <c r="B1634" s="32" t="str">
        <f>IF(MOV_CC_NACIONAL!A1634="","",MOV_CC_NACIONAL!A1634)</f>
        <v/>
      </c>
      <c r="C1634" s="32" t="str">
        <f>IF(MOV_CC_NACIONAL!B1634="","",MOV_CC_NACIONAL!B1634)</f>
        <v/>
      </c>
      <c r="D1634" s="33" t="str">
        <f>IF(MOV_CC_NACIONAL!C1634="","",MOV_CC_NACIONAL!C1634)</f>
        <v/>
      </c>
      <c r="E1634" s="32" t="str">
        <f t="shared" si="1"/>
        <v/>
      </c>
      <c r="F1634" s="32" t="str">
        <f>IFERROR(__xludf.DUMMYFUNCTION("IF(C1634="""","""", OR(REGEXMATCH(LOWER(C1634),""cuota""), REGEXMATCH(C1634,""\d+\s*/\s*\d+"")))"),"")</f>
        <v/>
      </c>
      <c r="G1634" s="32" t="str">
        <f>IFERROR(__xludf.DUMMYFUNCTION("IFERROR(VALUE(REGEXEXTRACT(C1634,""(\d+)\s*/\s*\d+"")),"""")"),"")</f>
        <v/>
      </c>
      <c r="H1634" s="32" t="str">
        <f>IFERROR(__xludf.DUMMYFUNCTION("IFERROR(VALUE(REGEXEXTRACT(C1634,""\d+\s*/\s*(\d+)"")),"""")"),"")</f>
        <v/>
      </c>
      <c r="I1634" s="32" t="str">
        <f t="shared" si="2"/>
        <v/>
      </c>
      <c r="J1634" s="33" t="str">
        <f t="shared" si="3"/>
        <v/>
      </c>
    </row>
    <row r="1635" ht="15.75" customHeight="1">
      <c r="A1635" s="22" t="s">
        <v>113</v>
      </c>
      <c r="B1635" s="22" t="str">
        <f>IF(MOV_CC_NACIONAL!A1635="","",MOV_CC_NACIONAL!A1635)</f>
        <v/>
      </c>
      <c r="C1635" s="22" t="str">
        <f>IF(MOV_CC_NACIONAL!B1635="","",MOV_CC_NACIONAL!B1635)</f>
        <v/>
      </c>
      <c r="D1635" s="34" t="str">
        <f>IF(MOV_CC_NACIONAL!C1635="","",MOV_CC_NACIONAL!C1635)</f>
        <v/>
      </c>
      <c r="E1635" s="22" t="str">
        <f t="shared" si="1"/>
        <v/>
      </c>
      <c r="F1635" s="22" t="str">
        <f>IFERROR(__xludf.DUMMYFUNCTION("IF(C1635="""","""", OR(REGEXMATCH(LOWER(C1635),""cuota""), REGEXMATCH(C1635,""\d+\s*/\s*\d+"")))"),"")</f>
        <v/>
      </c>
      <c r="G1635" s="22" t="str">
        <f>IFERROR(__xludf.DUMMYFUNCTION("IFERROR(VALUE(REGEXEXTRACT(C1635,""(\d+)\s*/\s*\d+"")),"""")"),"")</f>
        <v/>
      </c>
      <c r="H1635" s="22" t="str">
        <f>IFERROR(__xludf.DUMMYFUNCTION("IFERROR(VALUE(REGEXEXTRACT(C1635,""\d+\s*/\s*(\d+)"")),"""")"),"")</f>
        <v/>
      </c>
      <c r="I1635" s="22" t="str">
        <f t="shared" si="2"/>
        <v/>
      </c>
      <c r="J1635" s="34" t="str">
        <f t="shared" si="3"/>
        <v/>
      </c>
    </row>
    <row r="1636" ht="15.75" customHeight="1">
      <c r="A1636" s="32" t="s">
        <v>113</v>
      </c>
      <c r="B1636" s="32" t="str">
        <f>IF(MOV_CC_NACIONAL!A1636="","",MOV_CC_NACIONAL!A1636)</f>
        <v/>
      </c>
      <c r="C1636" s="32" t="str">
        <f>IF(MOV_CC_NACIONAL!B1636="","",MOV_CC_NACIONAL!B1636)</f>
        <v/>
      </c>
      <c r="D1636" s="33" t="str">
        <f>IF(MOV_CC_NACIONAL!C1636="","",MOV_CC_NACIONAL!C1636)</f>
        <v/>
      </c>
      <c r="E1636" s="32" t="str">
        <f t="shared" si="1"/>
        <v/>
      </c>
      <c r="F1636" s="32" t="str">
        <f>IFERROR(__xludf.DUMMYFUNCTION("IF(C1636="""","""", OR(REGEXMATCH(LOWER(C1636),""cuota""), REGEXMATCH(C1636,""\d+\s*/\s*\d+"")))"),"")</f>
        <v/>
      </c>
      <c r="G1636" s="32" t="str">
        <f>IFERROR(__xludf.DUMMYFUNCTION("IFERROR(VALUE(REGEXEXTRACT(C1636,""(\d+)\s*/\s*\d+"")),"""")"),"")</f>
        <v/>
      </c>
      <c r="H1636" s="32" t="str">
        <f>IFERROR(__xludf.DUMMYFUNCTION("IFERROR(VALUE(REGEXEXTRACT(C1636,""\d+\s*/\s*(\d+)"")),"""")"),"")</f>
        <v/>
      </c>
      <c r="I1636" s="32" t="str">
        <f t="shared" si="2"/>
        <v/>
      </c>
      <c r="J1636" s="33" t="str">
        <f t="shared" si="3"/>
        <v/>
      </c>
    </row>
    <row r="1637" ht="15.75" customHeight="1">
      <c r="A1637" s="22" t="s">
        <v>113</v>
      </c>
      <c r="B1637" s="22" t="str">
        <f>IF(MOV_CC_NACIONAL!A1637="","",MOV_CC_NACIONAL!A1637)</f>
        <v/>
      </c>
      <c r="C1637" s="22" t="str">
        <f>IF(MOV_CC_NACIONAL!B1637="","",MOV_CC_NACIONAL!B1637)</f>
        <v/>
      </c>
      <c r="D1637" s="34" t="str">
        <f>IF(MOV_CC_NACIONAL!C1637="","",MOV_CC_NACIONAL!C1637)</f>
        <v/>
      </c>
      <c r="E1637" s="22" t="str">
        <f t="shared" si="1"/>
        <v/>
      </c>
      <c r="F1637" s="22" t="str">
        <f>IFERROR(__xludf.DUMMYFUNCTION("IF(C1637="""","""", OR(REGEXMATCH(LOWER(C1637),""cuota""), REGEXMATCH(C1637,""\d+\s*/\s*\d+"")))"),"")</f>
        <v/>
      </c>
      <c r="G1637" s="22" t="str">
        <f>IFERROR(__xludf.DUMMYFUNCTION("IFERROR(VALUE(REGEXEXTRACT(C1637,""(\d+)\s*/\s*\d+"")),"""")"),"")</f>
        <v/>
      </c>
      <c r="H1637" s="22" t="str">
        <f>IFERROR(__xludf.DUMMYFUNCTION("IFERROR(VALUE(REGEXEXTRACT(C1637,""\d+\s*/\s*(\d+)"")),"""")"),"")</f>
        <v/>
      </c>
      <c r="I1637" s="22" t="str">
        <f t="shared" si="2"/>
        <v/>
      </c>
      <c r="J1637" s="34" t="str">
        <f t="shared" si="3"/>
        <v/>
      </c>
    </row>
    <row r="1638" ht="15.75" customHeight="1">
      <c r="A1638" s="32" t="s">
        <v>113</v>
      </c>
      <c r="B1638" s="32" t="str">
        <f>IF(MOV_CC_NACIONAL!A1638="","",MOV_CC_NACIONAL!A1638)</f>
        <v/>
      </c>
      <c r="C1638" s="32" t="str">
        <f>IF(MOV_CC_NACIONAL!B1638="","",MOV_CC_NACIONAL!B1638)</f>
        <v/>
      </c>
      <c r="D1638" s="33" t="str">
        <f>IF(MOV_CC_NACIONAL!C1638="","",MOV_CC_NACIONAL!C1638)</f>
        <v/>
      </c>
      <c r="E1638" s="32" t="str">
        <f t="shared" si="1"/>
        <v/>
      </c>
      <c r="F1638" s="32" t="str">
        <f>IFERROR(__xludf.DUMMYFUNCTION("IF(C1638="""","""", OR(REGEXMATCH(LOWER(C1638),""cuota""), REGEXMATCH(C1638,""\d+\s*/\s*\d+"")))"),"")</f>
        <v/>
      </c>
      <c r="G1638" s="32" t="str">
        <f>IFERROR(__xludf.DUMMYFUNCTION("IFERROR(VALUE(REGEXEXTRACT(C1638,""(\d+)\s*/\s*\d+"")),"""")"),"")</f>
        <v/>
      </c>
      <c r="H1638" s="32" t="str">
        <f>IFERROR(__xludf.DUMMYFUNCTION("IFERROR(VALUE(REGEXEXTRACT(C1638,""\d+\s*/\s*(\d+)"")),"""")"),"")</f>
        <v/>
      </c>
      <c r="I1638" s="32" t="str">
        <f t="shared" si="2"/>
        <v/>
      </c>
      <c r="J1638" s="33" t="str">
        <f t="shared" si="3"/>
        <v/>
      </c>
    </row>
    <row r="1639" ht="15.75" customHeight="1">
      <c r="A1639" s="22" t="s">
        <v>113</v>
      </c>
      <c r="B1639" s="22" t="str">
        <f>IF(MOV_CC_NACIONAL!A1639="","",MOV_CC_NACIONAL!A1639)</f>
        <v/>
      </c>
      <c r="C1639" s="22" t="str">
        <f>IF(MOV_CC_NACIONAL!B1639="","",MOV_CC_NACIONAL!B1639)</f>
        <v/>
      </c>
      <c r="D1639" s="34" t="str">
        <f>IF(MOV_CC_NACIONAL!C1639="","",MOV_CC_NACIONAL!C1639)</f>
        <v/>
      </c>
      <c r="E1639" s="22" t="str">
        <f t="shared" si="1"/>
        <v/>
      </c>
      <c r="F1639" s="22" t="str">
        <f>IFERROR(__xludf.DUMMYFUNCTION("IF(C1639="""","""", OR(REGEXMATCH(LOWER(C1639),""cuota""), REGEXMATCH(C1639,""\d+\s*/\s*\d+"")))"),"")</f>
        <v/>
      </c>
      <c r="G1639" s="22" t="str">
        <f>IFERROR(__xludf.DUMMYFUNCTION("IFERROR(VALUE(REGEXEXTRACT(C1639,""(\d+)\s*/\s*\d+"")),"""")"),"")</f>
        <v/>
      </c>
      <c r="H1639" s="22" t="str">
        <f>IFERROR(__xludf.DUMMYFUNCTION("IFERROR(VALUE(REGEXEXTRACT(C1639,""\d+\s*/\s*(\d+)"")),"""")"),"")</f>
        <v/>
      </c>
      <c r="I1639" s="22" t="str">
        <f t="shared" si="2"/>
        <v/>
      </c>
      <c r="J1639" s="34" t="str">
        <f t="shared" si="3"/>
        <v/>
      </c>
    </row>
    <row r="1640" ht="15.75" customHeight="1">
      <c r="A1640" s="32" t="s">
        <v>113</v>
      </c>
      <c r="B1640" s="32" t="str">
        <f>IF(MOV_CC_NACIONAL!A1640="","",MOV_CC_NACIONAL!A1640)</f>
        <v/>
      </c>
      <c r="C1640" s="32" t="str">
        <f>IF(MOV_CC_NACIONAL!B1640="","",MOV_CC_NACIONAL!B1640)</f>
        <v/>
      </c>
      <c r="D1640" s="33" t="str">
        <f>IF(MOV_CC_NACIONAL!C1640="","",MOV_CC_NACIONAL!C1640)</f>
        <v/>
      </c>
      <c r="E1640" s="32" t="str">
        <f t="shared" si="1"/>
        <v/>
      </c>
      <c r="F1640" s="32" t="str">
        <f>IFERROR(__xludf.DUMMYFUNCTION("IF(C1640="""","""", OR(REGEXMATCH(LOWER(C1640),""cuota""), REGEXMATCH(C1640,""\d+\s*/\s*\d+"")))"),"")</f>
        <v/>
      </c>
      <c r="G1640" s="32" t="str">
        <f>IFERROR(__xludf.DUMMYFUNCTION("IFERROR(VALUE(REGEXEXTRACT(C1640,""(\d+)\s*/\s*\d+"")),"""")"),"")</f>
        <v/>
      </c>
      <c r="H1640" s="32" t="str">
        <f>IFERROR(__xludf.DUMMYFUNCTION("IFERROR(VALUE(REGEXEXTRACT(C1640,""\d+\s*/\s*(\d+)"")),"""")"),"")</f>
        <v/>
      </c>
      <c r="I1640" s="32" t="str">
        <f t="shared" si="2"/>
        <v/>
      </c>
      <c r="J1640" s="33" t="str">
        <f t="shared" si="3"/>
        <v/>
      </c>
    </row>
    <row r="1641" ht="15.75" customHeight="1">
      <c r="A1641" s="22" t="s">
        <v>113</v>
      </c>
      <c r="B1641" s="22" t="str">
        <f>IF(MOV_CC_NACIONAL!A1641="","",MOV_CC_NACIONAL!A1641)</f>
        <v/>
      </c>
      <c r="C1641" s="22" t="str">
        <f>IF(MOV_CC_NACIONAL!B1641="","",MOV_CC_NACIONAL!B1641)</f>
        <v/>
      </c>
      <c r="D1641" s="34" t="str">
        <f>IF(MOV_CC_NACIONAL!C1641="","",MOV_CC_NACIONAL!C1641)</f>
        <v/>
      </c>
      <c r="E1641" s="22" t="str">
        <f t="shared" si="1"/>
        <v/>
      </c>
      <c r="F1641" s="22" t="str">
        <f>IFERROR(__xludf.DUMMYFUNCTION("IF(C1641="""","""", OR(REGEXMATCH(LOWER(C1641),""cuota""), REGEXMATCH(C1641,""\d+\s*/\s*\d+"")))"),"")</f>
        <v/>
      </c>
      <c r="G1641" s="22" t="str">
        <f>IFERROR(__xludf.DUMMYFUNCTION("IFERROR(VALUE(REGEXEXTRACT(C1641,""(\d+)\s*/\s*\d+"")),"""")"),"")</f>
        <v/>
      </c>
      <c r="H1641" s="22" t="str">
        <f>IFERROR(__xludf.DUMMYFUNCTION("IFERROR(VALUE(REGEXEXTRACT(C1641,""\d+\s*/\s*(\d+)"")),"""")"),"")</f>
        <v/>
      </c>
      <c r="I1641" s="22" t="str">
        <f t="shared" si="2"/>
        <v/>
      </c>
      <c r="J1641" s="34" t="str">
        <f t="shared" si="3"/>
        <v/>
      </c>
    </row>
    <row r="1642" ht="15.75" customHeight="1">
      <c r="A1642" s="32" t="s">
        <v>113</v>
      </c>
      <c r="B1642" s="32" t="str">
        <f>IF(MOV_CC_NACIONAL!A1642="","",MOV_CC_NACIONAL!A1642)</f>
        <v/>
      </c>
      <c r="C1642" s="32" t="str">
        <f>IF(MOV_CC_NACIONAL!B1642="","",MOV_CC_NACIONAL!B1642)</f>
        <v/>
      </c>
      <c r="D1642" s="33" t="str">
        <f>IF(MOV_CC_NACIONAL!C1642="","",MOV_CC_NACIONAL!C1642)</f>
        <v/>
      </c>
      <c r="E1642" s="32" t="str">
        <f t="shared" si="1"/>
        <v/>
      </c>
      <c r="F1642" s="32" t="str">
        <f>IFERROR(__xludf.DUMMYFUNCTION("IF(C1642="""","""", OR(REGEXMATCH(LOWER(C1642),""cuota""), REGEXMATCH(C1642,""\d+\s*/\s*\d+"")))"),"")</f>
        <v/>
      </c>
      <c r="G1642" s="32" t="str">
        <f>IFERROR(__xludf.DUMMYFUNCTION("IFERROR(VALUE(REGEXEXTRACT(C1642,""(\d+)\s*/\s*\d+"")),"""")"),"")</f>
        <v/>
      </c>
      <c r="H1642" s="32" t="str">
        <f>IFERROR(__xludf.DUMMYFUNCTION("IFERROR(VALUE(REGEXEXTRACT(C1642,""\d+\s*/\s*(\d+)"")),"""")"),"")</f>
        <v/>
      </c>
      <c r="I1642" s="32" t="str">
        <f t="shared" si="2"/>
        <v/>
      </c>
      <c r="J1642" s="33" t="str">
        <f t="shared" si="3"/>
        <v/>
      </c>
    </row>
    <row r="1643" ht="15.75" customHeight="1">
      <c r="A1643" s="22" t="s">
        <v>113</v>
      </c>
      <c r="B1643" s="22" t="str">
        <f>IF(MOV_CC_NACIONAL!A1643="","",MOV_CC_NACIONAL!A1643)</f>
        <v/>
      </c>
      <c r="C1643" s="22" t="str">
        <f>IF(MOV_CC_NACIONAL!B1643="","",MOV_CC_NACIONAL!B1643)</f>
        <v/>
      </c>
      <c r="D1643" s="34" t="str">
        <f>IF(MOV_CC_NACIONAL!C1643="","",MOV_CC_NACIONAL!C1643)</f>
        <v/>
      </c>
      <c r="E1643" s="22" t="str">
        <f t="shared" si="1"/>
        <v/>
      </c>
      <c r="F1643" s="22" t="str">
        <f>IFERROR(__xludf.DUMMYFUNCTION("IF(C1643="""","""", OR(REGEXMATCH(LOWER(C1643),""cuota""), REGEXMATCH(C1643,""\d+\s*/\s*\d+"")))"),"")</f>
        <v/>
      </c>
      <c r="G1643" s="22" t="str">
        <f>IFERROR(__xludf.DUMMYFUNCTION("IFERROR(VALUE(REGEXEXTRACT(C1643,""(\d+)\s*/\s*\d+"")),"""")"),"")</f>
        <v/>
      </c>
      <c r="H1643" s="22" t="str">
        <f>IFERROR(__xludf.DUMMYFUNCTION("IFERROR(VALUE(REGEXEXTRACT(C1643,""\d+\s*/\s*(\d+)"")),"""")"),"")</f>
        <v/>
      </c>
      <c r="I1643" s="22" t="str">
        <f t="shared" si="2"/>
        <v/>
      </c>
      <c r="J1643" s="34" t="str">
        <f t="shared" si="3"/>
        <v/>
      </c>
    </row>
    <row r="1644" ht="15.75" customHeight="1">
      <c r="A1644" s="32" t="s">
        <v>113</v>
      </c>
      <c r="B1644" s="32" t="str">
        <f>IF(MOV_CC_NACIONAL!A1644="","",MOV_CC_NACIONAL!A1644)</f>
        <v/>
      </c>
      <c r="C1644" s="32" t="str">
        <f>IF(MOV_CC_NACIONAL!B1644="","",MOV_CC_NACIONAL!B1644)</f>
        <v/>
      </c>
      <c r="D1644" s="33" t="str">
        <f>IF(MOV_CC_NACIONAL!C1644="","",MOV_CC_NACIONAL!C1644)</f>
        <v/>
      </c>
      <c r="E1644" s="32" t="str">
        <f t="shared" si="1"/>
        <v/>
      </c>
      <c r="F1644" s="32" t="str">
        <f>IFERROR(__xludf.DUMMYFUNCTION("IF(C1644="""","""", OR(REGEXMATCH(LOWER(C1644),""cuota""), REGEXMATCH(C1644,""\d+\s*/\s*\d+"")))"),"")</f>
        <v/>
      </c>
      <c r="G1644" s="32" t="str">
        <f>IFERROR(__xludf.DUMMYFUNCTION("IFERROR(VALUE(REGEXEXTRACT(C1644,""(\d+)\s*/\s*\d+"")),"""")"),"")</f>
        <v/>
      </c>
      <c r="H1644" s="32" t="str">
        <f>IFERROR(__xludf.DUMMYFUNCTION("IFERROR(VALUE(REGEXEXTRACT(C1644,""\d+\s*/\s*(\d+)"")),"""")"),"")</f>
        <v/>
      </c>
      <c r="I1644" s="32" t="str">
        <f t="shared" si="2"/>
        <v/>
      </c>
      <c r="J1644" s="33" t="str">
        <f t="shared" si="3"/>
        <v/>
      </c>
    </row>
    <row r="1645" ht="15.75" customHeight="1">
      <c r="A1645" s="22" t="s">
        <v>113</v>
      </c>
      <c r="B1645" s="22" t="str">
        <f>IF(MOV_CC_NACIONAL!A1645="","",MOV_CC_NACIONAL!A1645)</f>
        <v/>
      </c>
      <c r="C1645" s="22" t="str">
        <f>IF(MOV_CC_NACIONAL!B1645="","",MOV_CC_NACIONAL!B1645)</f>
        <v/>
      </c>
      <c r="D1645" s="34" t="str">
        <f>IF(MOV_CC_NACIONAL!C1645="","",MOV_CC_NACIONAL!C1645)</f>
        <v/>
      </c>
      <c r="E1645" s="22" t="str">
        <f t="shared" si="1"/>
        <v/>
      </c>
      <c r="F1645" s="22" t="str">
        <f>IFERROR(__xludf.DUMMYFUNCTION("IF(C1645="""","""", OR(REGEXMATCH(LOWER(C1645),""cuota""), REGEXMATCH(C1645,""\d+\s*/\s*\d+"")))"),"")</f>
        <v/>
      </c>
      <c r="G1645" s="22" t="str">
        <f>IFERROR(__xludf.DUMMYFUNCTION("IFERROR(VALUE(REGEXEXTRACT(C1645,""(\d+)\s*/\s*\d+"")),"""")"),"")</f>
        <v/>
      </c>
      <c r="H1645" s="22" t="str">
        <f>IFERROR(__xludf.DUMMYFUNCTION("IFERROR(VALUE(REGEXEXTRACT(C1645,""\d+\s*/\s*(\d+)"")),"""")"),"")</f>
        <v/>
      </c>
      <c r="I1645" s="22" t="str">
        <f t="shared" si="2"/>
        <v/>
      </c>
      <c r="J1645" s="34" t="str">
        <f t="shared" si="3"/>
        <v/>
      </c>
    </row>
    <row r="1646" ht="15.75" customHeight="1">
      <c r="A1646" s="32" t="s">
        <v>113</v>
      </c>
      <c r="B1646" s="32" t="str">
        <f>IF(MOV_CC_NACIONAL!A1646="","",MOV_CC_NACIONAL!A1646)</f>
        <v/>
      </c>
      <c r="C1646" s="32" t="str">
        <f>IF(MOV_CC_NACIONAL!B1646="","",MOV_CC_NACIONAL!B1646)</f>
        <v/>
      </c>
      <c r="D1646" s="33" t="str">
        <f>IF(MOV_CC_NACIONAL!C1646="","",MOV_CC_NACIONAL!C1646)</f>
        <v/>
      </c>
      <c r="E1646" s="32" t="str">
        <f t="shared" si="1"/>
        <v/>
      </c>
      <c r="F1646" s="32" t="str">
        <f>IFERROR(__xludf.DUMMYFUNCTION("IF(C1646="""","""", OR(REGEXMATCH(LOWER(C1646),""cuota""), REGEXMATCH(C1646,""\d+\s*/\s*\d+"")))"),"")</f>
        <v/>
      </c>
      <c r="G1646" s="32" t="str">
        <f>IFERROR(__xludf.DUMMYFUNCTION("IFERROR(VALUE(REGEXEXTRACT(C1646,""(\d+)\s*/\s*\d+"")),"""")"),"")</f>
        <v/>
      </c>
      <c r="H1646" s="32" t="str">
        <f>IFERROR(__xludf.DUMMYFUNCTION("IFERROR(VALUE(REGEXEXTRACT(C1646,""\d+\s*/\s*(\d+)"")),"""")"),"")</f>
        <v/>
      </c>
      <c r="I1646" s="32" t="str">
        <f t="shared" si="2"/>
        <v/>
      </c>
      <c r="J1646" s="33" t="str">
        <f t="shared" si="3"/>
        <v/>
      </c>
    </row>
    <row r="1647" ht="15.75" customHeight="1">
      <c r="A1647" s="22" t="s">
        <v>113</v>
      </c>
      <c r="B1647" s="22" t="str">
        <f>IF(MOV_CC_NACIONAL!A1647="","",MOV_CC_NACIONAL!A1647)</f>
        <v/>
      </c>
      <c r="C1647" s="22" t="str">
        <f>IF(MOV_CC_NACIONAL!B1647="","",MOV_CC_NACIONAL!B1647)</f>
        <v/>
      </c>
      <c r="D1647" s="34" t="str">
        <f>IF(MOV_CC_NACIONAL!C1647="","",MOV_CC_NACIONAL!C1647)</f>
        <v/>
      </c>
      <c r="E1647" s="22" t="str">
        <f t="shared" si="1"/>
        <v/>
      </c>
      <c r="F1647" s="22" t="str">
        <f>IFERROR(__xludf.DUMMYFUNCTION("IF(C1647="""","""", OR(REGEXMATCH(LOWER(C1647),""cuota""), REGEXMATCH(C1647,""\d+\s*/\s*\d+"")))"),"")</f>
        <v/>
      </c>
      <c r="G1647" s="22" t="str">
        <f>IFERROR(__xludf.DUMMYFUNCTION("IFERROR(VALUE(REGEXEXTRACT(C1647,""(\d+)\s*/\s*\d+"")),"""")"),"")</f>
        <v/>
      </c>
      <c r="H1647" s="22" t="str">
        <f>IFERROR(__xludf.DUMMYFUNCTION("IFERROR(VALUE(REGEXEXTRACT(C1647,""\d+\s*/\s*(\d+)"")),"""")"),"")</f>
        <v/>
      </c>
      <c r="I1647" s="22" t="str">
        <f t="shared" si="2"/>
        <v/>
      </c>
      <c r="J1647" s="34" t="str">
        <f t="shared" si="3"/>
        <v/>
      </c>
    </row>
    <row r="1648" ht="15.75" customHeight="1">
      <c r="A1648" s="32" t="s">
        <v>113</v>
      </c>
      <c r="B1648" s="32" t="str">
        <f>IF(MOV_CC_NACIONAL!A1648="","",MOV_CC_NACIONAL!A1648)</f>
        <v/>
      </c>
      <c r="C1648" s="32" t="str">
        <f>IF(MOV_CC_NACIONAL!B1648="","",MOV_CC_NACIONAL!B1648)</f>
        <v/>
      </c>
      <c r="D1648" s="33" t="str">
        <f>IF(MOV_CC_NACIONAL!C1648="","",MOV_CC_NACIONAL!C1648)</f>
        <v/>
      </c>
      <c r="E1648" s="32" t="str">
        <f t="shared" si="1"/>
        <v/>
      </c>
      <c r="F1648" s="32" t="str">
        <f>IFERROR(__xludf.DUMMYFUNCTION("IF(C1648="""","""", OR(REGEXMATCH(LOWER(C1648),""cuota""), REGEXMATCH(C1648,""\d+\s*/\s*\d+"")))"),"")</f>
        <v/>
      </c>
      <c r="G1648" s="32" t="str">
        <f>IFERROR(__xludf.DUMMYFUNCTION("IFERROR(VALUE(REGEXEXTRACT(C1648,""(\d+)\s*/\s*\d+"")),"""")"),"")</f>
        <v/>
      </c>
      <c r="H1648" s="32" t="str">
        <f>IFERROR(__xludf.DUMMYFUNCTION("IFERROR(VALUE(REGEXEXTRACT(C1648,""\d+\s*/\s*(\d+)"")),"""")"),"")</f>
        <v/>
      </c>
      <c r="I1648" s="32" t="str">
        <f t="shared" si="2"/>
        <v/>
      </c>
      <c r="J1648" s="33" t="str">
        <f t="shared" si="3"/>
        <v/>
      </c>
    </row>
    <row r="1649" ht="15.75" customHeight="1">
      <c r="A1649" s="22" t="s">
        <v>113</v>
      </c>
      <c r="B1649" s="22" t="str">
        <f>IF(MOV_CC_NACIONAL!A1649="","",MOV_CC_NACIONAL!A1649)</f>
        <v/>
      </c>
      <c r="C1649" s="22" t="str">
        <f>IF(MOV_CC_NACIONAL!B1649="","",MOV_CC_NACIONAL!B1649)</f>
        <v/>
      </c>
      <c r="D1649" s="34" t="str">
        <f>IF(MOV_CC_NACIONAL!C1649="","",MOV_CC_NACIONAL!C1649)</f>
        <v/>
      </c>
      <c r="E1649" s="22" t="str">
        <f t="shared" si="1"/>
        <v/>
      </c>
      <c r="F1649" s="22" t="str">
        <f>IFERROR(__xludf.DUMMYFUNCTION("IF(C1649="""","""", OR(REGEXMATCH(LOWER(C1649),""cuota""), REGEXMATCH(C1649,""\d+\s*/\s*\d+"")))"),"")</f>
        <v/>
      </c>
      <c r="G1649" s="22" t="str">
        <f>IFERROR(__xludf.DUMMYFUNCTION("IFERROR(VALUE(REGEXEXTRACT(C1649,""(\d+)\s*/\s*\d+"")),"""")"),"")</f>
        <v/>
      </c>
      <c r="H1649" s="22" t="str">
        <f>IFERROR(__xludf.DUMMYFUNCTION("IFERROR(VALUE(REGEXEXTRACT(C1649,""\d+\s*/\s*(\d+)"")),"""")"),"")</f>
        <v/>
      </c>
      <c r="I1649" s="22" t="str">
        <f t="shared" si="2"/>
        <v/>
      </c>
      <c r="J1649" s="34" t="str">
        <f t="shared" si="3"/>
        <v/>
      </c>
    </row>
    <row r="1650" ht="15.75" customHeight="1">
      <c r="A1650" s="32" t="s">
        <v>113</v>
      </c>
      <c r="B1650" s="32" t="str">
        <f>IF(MOV_CC_NACIONAL!A1650="","",MOV_CC_NACIONAL!A1650)</f>
        <v/>
      </c>
      <c r="C1650" s="32" t="str">
        <f>IF(MOV_CC_NACIONAL!B1650="","",MOV_CC_NACIONAL!B1650)</f>
        <v/>
      </c>
      <c r="D1650" s="33" t="str">
        <f>IF(MOV_CC_NACIONAL!C1650="","",MOV_CC_NACIONAL!C1650)</f>
        <v/>
      </c>
      <c r="E1650" s="32" t="str">
        <f t="shared" si="1"/>
        <v/>
      </c>
      <c r="F1650" s="32" t="str">
        <f>IFERROR(__xludf.DUMMYFUNCTION("IF(C1650="""","""", OR(REGEXMATCH(LOWER(C1650),""cuota""), REGEXMATCH(C1650,""\d+\s*/\s*\d+"")))"),"")</f>
        <v/>
      </c>
      <c r="G1650" s="32" t="str">
        <f>IFERROR(__xludf.DUMMYFUNCTION("IFERROR(VALUE(REGEXEXTRACT(C1650,""(\d+)\s*/\s*\d+"")),"""")"),"")</f>
        <v/>
      </c>
      <c r="H1650" s="32" t="str">
        <f>IFERROR(__xludf.DUMMYFUNCTION("IFERROR(VALUE(REGEXEXTRACT(C1650,""\d+\s*/\s*(\d+)"")),"""")"),"")</f>
        <v/>
      </c>
      <c r="I1650" s="32" t="str">
        <f t="shared" si="2"/>
        <v/>
      </c>
      <c r="J1650" s="33" t="str">
        <f t="shared" si="3"/>
        <v/>
      </c>
    </row>
    <row r="1651" ht="15.75" customHeight="1">
      <c r="A1651" s="22" t="s">
        <v>113</v>
      </c>
      <c r="B1651" s="22" t="str">
        <f>IF(MOV_CC_NACIONAL!A1651="","",MOV_CC_NACIONAL!A1651)</f>
        <v/>
      </c>
      <c r="C1651" s="22" t="str">
        <f>IF(MOV_CC_NACIONAL!B1651="","",MOV_CC_NACIONAL!B1651)</f>
        <v/>
      </c>
      <c r="D1651" s="34" t="str">
        <f>IF(MOV_CC_NACIONAL!C1651="","",MOV_CC_NACIONAL!C1651)</f>
        <v/>
      </c>
      <c r="E1651" s="22" t="str">
        <f t="shared" si="1"/>
        <v/>
      </c>
      <c r="F1651" s="22" t="str">
        <f>IFERROR(__xludf.DUMMYFUNCTION("IF(C1651="""","""", OR(REGEXMATCH(LOWER(C1651),""cuota""), REGEXMATCH(C1651,""\d+\s*/\s*\d+"")))"),"")</f>
        <v/>
      </c>
      <c r="G1651" s="22" t="str">
        <f>IFERROR(__xludf.DUMMYFUNCTION("IFERROR(VALUE(REGEXEXTRACT(C1651,""(\d+)\s*/\s*\d+"")),"""")"),"")</f>
        <v/>
      </c>
      <c r="H1651" s="22" t="str">
        <f>IFERROR(__xludf.DUMMYFUNCTION("IFERROR(VALUE(REGEXEXTRACT(C1651,""\d+\s*/\s*(\d+)"")),"""")"),"")</f>
        <v/>
      </c>
      <c r="I1651" s="22" t="str">
        <f t="shared" si="2"/>
        <v/>
      </c>
      <c r="J1651" s="34" t="str">
        <f t="shared" si="3"/>
        <v/>
      </c>
    </row>
    <row r="1652" ht="15.75" customHeight="1">
      <c r="A1652" s="32" t="s">
        <v>113</v>
      </c>
      <c r="B1652" s="32" t="str">
        <f>IF(MOV_CC_NACIONAL!A1652="","",MOV_CC_NACIONAL!A1652)</f>
        <v/>
      </c>
      <c r="C1652" s="32" t="str">
        <f>IF(MOV_CC_NACIONAL!B1652="","",MOV_CC_NACIONAL!B1652)</f>
        <v/>
      </c>
      <c r="D1652" s="33" t="str">
        <f>IF(MOV_CC_NACIONAL!C1652="","",MOV_CC_NACIONAL!C1652)</f>
        <v/>
      </c>
      <c r="E1652" s="32" t="str">
        <f t="shared" si="1"/>
        <v/>
      </c>
      <c r="F1652" s="32" t="str">
        <f>IFERROR(__xludf.DUMMYFUNCTION("IF(C1652="""","""", OR(REGEXMATCH(LOWER(C1652),""cuota""), REGEXMATCH(C1652,""\d+\s*/\s*\d+"")))"),"")</f>
        <v/>
      </c>
      <c r="G1652" s="32" t="str">
        <f>IFERROR(__xludf.DUMMYFUNCTION("IFERROR(VALUE(REGEXEXTRACT(C1652,""(\d+)\s*/\s*\d+"")),"""")"),"")</f>
        <v/>
      </c>
      <c r="H1652" s="32" t="str">
        <f>IFERROR(__xludf.DUMMYFUNCTION("IFERROR(VALUE(REGEXEXTRACT(C1652,""\d+\s*/\s*(\d+)"")),"""")"),"")</f>
        <v/>
      </c>
      <c r="I1652" s="32" t="str">
        <f t="shared" si="2"/>
        <v/>
      </c>
      <c r="J1652" s="33" t="str">
        <f t="shared" si="3"/>
        <v/>
      </c>
    </row>
    <row r="1653" ht="15.75" customHeight="1">
      <c r="A1653" s="22" t="s">
        <v>113</v>
      </c>
      <c r="B1653" s="22" t="str">
        <f>IF(MOV_CC_NACIONAL!A1653="","",MOV_CC_NACIONAL!A1653)</f>
        <v/>
      </c>
      <c r="C1653" s="22" t="str">
        <f>IF(MOV_CC_NACIONAL!B1653="","",MOV_CC_NACIONAL!B1653)</f>
        <v/>
      </c>
      <c r="D1653" s="34" t="str">
        <f>IF(MOV_CC_NACIONAL!C1653="","",MOV_CC_NACIONAL!C1653)</f>
        <v/>
      </c>
      <c r="E1653" s="22" t="str">
        <f t="shared" si="1"/>
        <v/>
      </c>
      <c r="F1653" s="22" t="str">
        <f>IFERROR(__xludf.DUMMYFUNCTION("IF(C1653="""","""", OR(REGEXMATCH(LOWER(C1653),""cuota""), REGEXMATCH(C1653,""\d+\s*/\s*\d+"")))"),"")</f>
        <v/>
      </c>
      <c r="G1653" s="22" t="str">
        <f>IFERROR(__xludf.DUMMYFUNCTION("IFERROR(VALUE(REGEXEXTRACT(C1653,""(\d+)\s*/\s*\d+"")),"""")"),"")</f>
        <v/>
      </c>
      <c r="H1653" s="22" t="str">
        <f>IFERROR(__xludf.DUMMYFUNCTION("IFERROR(VALUE(REGEXEXTRACT(C1653,""\d+\s*/\s*(\d+)"")),"""")"),"")</f>
        <v/>
      </c>
      <c r="I1653" s="22" t="str">
        <f t="shared" si="2"/>
        <v/>
      </c>
      <c r="J1653" s="34" t="str">
        <f t="shared" si="3"/>
        <v/>
      </c>
    </row>
    <row r="1654" ht="15.75" customHeight="1">
      <c r="A1654" s="32" t="s">
        <v>113</v>
      </c>
      <c r="B1654" s="32" t="str">
        <f>IF(MOV_CC_NACIONAL!A1654="","",MOV_CC_NACIONAL!A1654)</f>
        <v/>
      </c>
      <c r="C1654" s="32" t="str">
        <f>IF(MOV_CC_NACIONAL!B1654="","",MOV_CC_NACIONAL!B1654)</f>
        <v/>
      </c>
      <c r="D1654" s="33" t="str">
        <f>IF(MOV_CC_NACIONAL!C1654="","",MOV_CC_NACIONAL!C1654)</f>
        <v/>
      </c>
      <c r="E1654" s="32" t="str">
        <f t="shared" si="1"/>
        <v/>
      </c>
      <c r="F1654" s="32" t="str">
        <f>IFERROR(__xludf.DUMMYFUNCTION("IF(C1654="""","""", OR(REGEXMATCH(LOWER(C1654),""cuota""), REGEXMATCH(C1654,""\d+\s*/\s*\d+"")))"),"")</f>
        <v/>
      </c>
      <c r="G1654" s="32" t="str">
        <f>IFERROR(__xludf.DUMMYFUNCTION("IFERROR(VALUE(REGEXEXTRACT(C1654,""(\d+)\s*/\s*\d+"")),"""")"),"")</f>
        <v/>
      </c>
      <c r="H1654" s="32" t="str">
        <f>IFERROR(__xludf.DUMMYFUNCTION("IFERROR(VALUE(REGEXEXTRACT(C1654,""\d+\s*/\s*(\d+)"")),"""")"),"")</f>
        <v/>
      </c>
      <c r="I1654" s="32" t="str">
        <f t="shared" si="2"/>
        <v/>
      </c>
      <c r="J1654" s="33" t="str">
        <f t="shared" si="3"/>
        <v/>
      </c>
    </row>
    <row r="1655" ht="15.75" customHeight="1">
      <c r="A1655" s="22" t="s">
        <v>113</v>
      </c>
      <c r="B1655" s="22" t="str">
        <f>IF(MOV_CC_NACIONAL!A1655="","",MOV_CC_NACIONAL!A1655)</f>
        <v/>
      </c>
      <c r="C1655" s="22" t="str">
        <f>IF(MOV_CC_NACIONAL!B1655="","",MOV_CC_NACIONAL!B1655)</f>
        <v/>
      </c>
      <c r="D1655" s="34" t="str">
        <f>IF(MOV_CC_NACIONAL!C1655="","",MOV_CC_NACIONAL!C1655)</f>
        <v/>
      </c>
      <c r="E1655" s="22" t="str">
        <f t="shared" si="1"/>
        <v/>
      </c>
      <c r="F1655" s="22" t="str">
        <f>IFERROR(__xludf.DUMMYFUNCTION("IF(C1655="""","""", OR(REGEXMATCH(LOWER(C1655),""cuota""), REGEXMATCH(C1655,""\d+\s*/\s*\d+"")))"),"")</f>
        <v/>
      </c>
      <c r="G1655" s="22" t="str">
        <f>IFERROR(__xludf.DUMMYFUNCTION("IFERROR(VALUE(REGEXEXTRACT(C1655,""(\d+)\s*/\s*\d+"")),"""")"),"")</f>
        <v/>
      </c>
      <c r="H1655" s="22" t="str">
        <f>IFERROR(__xludf.DUMMYFUNCTION("IFERROR(VALUE(REGEXEXTRACT(C1655,""\d+\s*/\s*(\d+)"")),"""")"),"")</f>
        <v/>
      </c>
      <c r="I1655" s="22" t="str">
        <f t="shared" si="2"/>
        <v/>
      </c>
      <c r="J1655" s="34" t="str">
        <f t="shared" si="3"/>
        <v/>
      </c>
    </row>
    <row r="1656" ht="15.75" customHeight="1">
      <c r="A1656" s="32" t="s">
        <v>113</v>
      </c>
      <c r="B1656" s="32" t="str">
        <f>IF(MOV_CC_NACIONAL!A1656="","",MOV_CC_NACIONAL!A1656)</f>
        <v/>
      </c>
      <c r="C1656" s="32" t="str">
        <f>IF(MOV_CC_NACIONAL!B1656="","",MOV_CC_NACIONAL!B1656)</f>
        <v/>
      </c>
      <c r="D1656" s="33" t="str">
        <f>IF(MOV_CC_NACIONAL!C1656="","",MOV_CC_NACIONAL!C1656)</f>
        <v/>
      </c>
      <c r="E1656" s="32" t="str">
        <f t="shared" si="1"/>
        <v/>
      </c>
      <c r="F1656" s="32" t="str">
        <f>IFERROR(__xludf.DUMMYFUNCTION("IF(C1656="""","""", OR(REGEXMATCH(LOWER(C1656),""cuota""), REGEXMATCH(C1656,""\d+\s*/\s*\d+"")))"),"")</f>
        <v/>
      </c>
      <c r="G1656" s="32" t="str">
        <f>IFERROR(__xludf.DUMMYFUNCTION("IFERROR(VALUE(REGEXEXTRACT(C1656,""(\d+)\s*/\s*\d+"")),"""")"),"")</f>
        <v/>
      </c>
      <c r="H1656" s="32" t="str">
        <f>IFERROR(__xludf.DUMMYFUNCTION("IFERROR(VALUE(REGEXEXTRACT(C1656,""\d+\s*/\s*(\d+)"")),"""")"),"")</f>
        <v/>
      </c>
      <c r="I1656" s="32" t="str">
        <f t="shared" si="2"/>
        <v/>
      </c>
      <c r="J1656" s="33" t="str">
        <f t="shared" si="3"/>
        <v/>
      </c>
    </row>
    <row r="1657" ht="15.75" customHeight="1">
      <c r="A1657" s="22" t="s">
        <v>113</v>
      </c>
      <c r="B1657" s="22" t="str">
        <f>IF(MOV_CC_NACIONAL!A1657="","",MOV_CC_NACIONAL!A1657)</f>
        <v/>
      </c>
      <c r="C1657" s="22" t="str">
        <f>IF(MOV_CC_NACIONAL!B1657="","",MOV_CC_NACIONAL!B1657)</f>
        <v/>
      </c>
      <c r="D1657" s="34" t="str">
        <f>IF(MOV_CC_NACIONAL!C1657="","",MOV_CC_NACIONAL!C1657)</f>
        <v/>
      </c>
      <c r="E1657" s="22" t="str">
        <f t="shared" si="1"/>
        <v/>
      </c>
      <c r="F1657" s="22" t="str">
        <f>IFERROR(__xludf.DUMMYFUNCTION("IF(C1657="""","""", OR(REGEXMATCH(LOWER(C1657),""cuota""), REGEXMATCH(C1657,""\d+\s*/\s*\d+"")))"),"")</f>
        <v/>
      </c>
      <c r="G1657" s="22" t="str">
        <f>IFERROR(__xludf.DUMMYFUNCTION("IFERROR(VALUE(REGEXEXTRACT(C1657,""(\d+)\s*/\s*\d+"")),"""")"),"")</f>
        <v/>
      </c>
      <c r="H1657" s="22" t="str">
        <f>IFERROR(__xludf.DUMMYFUNCTION("IFERROR(VALUE(REGEXEXTRACT(C1657,""\d+\s*/\s*(\d+)"")),"""")"),"")</f>
        <v/>
      </c>
      <c r="I1657" s="22" t="str">
        <f t="shared" si="2"/>
        <v/>
      </c>
      <c r="J1657" s="34" t="str">
        <f t="shared" si="3"/>
        <v/>
      </c>
    </row>
    <row r="1658" ht="15.75" customHeight="1">
      <c r="A1658" s="32" t="s">
        <v>113</v>
      </c>
      <c r="B1658" s="32" t="str">
        <f>IF(MOV_CC_NACIONAL!A1658="","",MOV_CC_NACIONAL!A1658)</f>
        <v/>
      </c>
      <c r="C1658" s="32" t="str">
        <f>IF(MOV_CC_NACIONAL!B1658="","",MOV_CC_NACIONAL!B1658)</f>
        <v/>
      </c>
      <c r="D1658" s="33" t="str">
        <f>IF(MOV_CC_NACIONAL!C1658="","",MOV_CC_NACIONAL!C1658)</f>
        <v/>
      </c>
      <c r="E1658" s="32" t="str">
        <f t="shared" si="1"/>
        <v/>
      </c>
      <c r="F1658" s="32" t="str">
        <f>IFERROR(__xludf.DUMMYFUNCTION("IF(C1658="""","""", OR(REGEXMATCH(LOWER(C1658),""cuota""), REGEXMATCH(C1658,""\d+\s*/\s*\d+"")))"),"")</f>
        <v/>
      </c>
      <c r="G1658" s="32" t="str">
        <f>IFERROR(__xludf.DUMMYFUNCTION("IFERROR(VALUE(REGEXEXTRACT(C1658,""(\d+)\s*/\s*\d+"")),"""")"),"")</f>
        <v/>
      </c>
      <c r="H1658" s="32" t="str">
        <f>IFERROR(__xludf.DUMMYFUNCTION("IFERROR(VALUE(REGEXEXTRACT(C1658,""\d+\s*/\s*(\d+)"")),"""")"),"")</f>
        <v/>
      </c>
      <c r="I1658" s="32" t="str">
        <f t="shared" si="2"/>
        <v/>
      </c>
      <c r="J1658" s="33" t="str">
        <f t="shared" si="3"/>
        <v/>
      </c>
    </row>
    <row r="1659" ht="15.75" customHeight="1">
      <c r="A1659" s="22" t="s">
        <v>113</v>
      </c>
      <c r="B1659" s="22" t="str">
        <f>IF(MOV_CC_NACIONAL!A1659="","",MOV_CC_NACIONAL!A1659)</f>
        <v/>
      </c>
      <c r="C1659" s="22" t="str">
        <f>IF(MOV_CC_NACIONAL!B1659="","",MOV_CC_NACIONAL!B1659)</f>
        <v/>
      </c>
      <c r="D1659" s="34" t="str">
        <f>IF(MOV_CC_NACIONAL!C1659="","",MOV_CC_NACIONAL!C1659)</f>
        <v/>
      </c>
      <c r="E1659" s="22" t="str">
        <f t="shared" si="1"/>
        <v/>
      </c>
      <c r="F1659" s="22" t="str">
        <f>IFERROR(__xludf.DUMMYFUNCTION("IF(C1659="""","""", OR(REGEXMATCH(LOWER(C1659),""cuota""), REGEXMATCH(C1659,""\d+\s*/\s*\d+"")))"),"")</f>
        <v/>
      </c>
      <c r="G1659" s="22" t="str">
        <f>IFERROR(__xludf.DUMMYFUNCTION("IFERROR(VALUE(REGEXEXTRACT(C1659,""(\d+)\s*/\s*\d+"")),"""")"),"")</f>
        <v/>
      </c>
      <c r="H1659" s="22" t="str">
        <f>IFERROR(__xludf.DUMMYFUNCTION("IFERROR(VALUE(REGEXEXTRACT(C1659,""\d+\s*/\s*(\d+)"")),"""")"),"")</f>
        <v/>
      </c>
      <c r="I1659" s="22" t="str">
        <f t="shared" si="2"/>
        <v/>
      </c>
      <c r="J1659" s="34" t="str">
        <f t="shared" si="3"/>
        <v/>
      </c>
    </row>
    <row r="1660" ht="15.75" customHeight="1">
      <c r="A1660" s="32" t="s">
        <v>113</v>
      </c>
      <c r="B1660" s="32" t="str">
        <f>IF(MOV_CC_NACIONAL!A1660="","",MOV_CC_NACIONAL!A1660)</f>
        <v/>
      </c>
      <c r="C1660" s="32" t="str">
        <f>IF(MOV_CC_NACIONAL!B1660="","",MOV_CC_NACIONAL!B1660)</f>
        <v/>
      </c>
      <c r="D1660" s="33" t="str">
        <f>IF(MOV_CC_NACIONAL!C1660="","",MOV_CC_NACIONAL!C1660)</f>
        <v/>
      </c>
      <c r="E1660" s="32" t="str">
        <f t="shared" si="1"/>
        <v/>
      </c>
      <c r="F1660" s="32" t="str">
        <f>IFERROR(__xludf.DUMMYFUNCTION("IF(C1660="""","""", OR(REGEXMATCH(LOWER(C1660),""cuota""), REGEXMATCH(C1660,""\d+\s*/\s*\d+"")))"),"")</f>
        <v/>
      </c>
      <c r="G1660" s="32" t="str">
        <f>IFERROR(__xludf.DUMMYFUNCTION("IFERROR(VALUE(REGEXEXTRACT(C1660,""(\d+)\s*/\s*\d+"")),"""")"),"")</f>
        <v/>
      </c>
      <c r="H1660" s="32" t="str">
        <f>IFERROR(__xludf.DUMMYFUNCTION("IFERROR(VALUE(REGEXEXTRACT(C1660,""\d+\s*/\s*(\d+)"")),"""")"),"")</f>
        <v/>
      </c>
      <c r="I1660" s="32" t="str">
        <f t="shared" si="2"/>
        <v/>
      </c>
      <c r="J1660" s="33" t="str">
        <f t="shared" si="3"/>
        <v/>
      </c>
    </row>
    <row r="1661" ht="15.75" customHeight="1">
      <c r="A1661" s="22" t="s">
        <v>113</v>
      </c>
      <c r="B1661" s="22" t="str">
        <f>IF(MOV_CC_NACIONAL!A1661="","",MOV_CC_NACIONAL!A1661)</f>
        <v/>
      </c>
      <c r="C1661" s="22" t="str">
        <f>IF(MOV_CC_NACIONAL!B1661="","",MOV_CC_NACIONAL!B1661)</f>
        <v/>
      </c>
      <c r="D1661" s="34" t="str">
        <f>IF(MOV_CC_NACIONAL!C1661="","",MOV_CC_NACIONAL!C1661)</f>
        <v/>
      </c>
      <c r="E1661" s="22" t="str">
        <f t="shared" si="1"/>
        <v/>
      </c>
      <c r="F1661" s="22" t="str">
        <f>IFERROR(__xludf.DUMMYFUNCTION("IF(C1661="""","""", OR(REGEXMATCH(LOWER(C1661),""cuota""), REGEXMATCH(C1661,""\d+\s*/\s*\d+"")))"),"")</f>
        <v/>
      </c>
      <c r="G1661" s="22" t="str">
        <f>IFERROR(__xludf.DUMMYFUNCTION("IFERROR(VALUE(REGEXEXTRACT(C1661,""(\d+)\s*/\s*\d+"")),"""")"),"")</f>
        <v/>
      </c>
      <c r="H1661" s="22" t="str">
        <f>IFERROR(__xludf.DUMMYFUNCTION("IFERROR(VALUE(REGEXEXTRACT(C1661,""\d+\s*/\s*(\d+)"")),"""")"),"")</f>
        <v/>
      </c>
      <c r="I1661" s="22" t="str">
        <f t="shared" si="2"/>
        <v/>
      </c>
      <c r="J1661" s="34" t="str">
        <f t="shared" si="3"/>
        <v/>
      </c>
    </row>
    <row r="1662" ht="15.75" customHeight="1">
      <c r="A1662" s="32" t="s">
        <v>113</v>
      </c>
      <c r="B1662" s="32" t="str">
        <f>IF(MOV_CC_NACIONAL!A1662="","",MOV_CC_NACIONAL!A1662)</f>
        <v/>
      </c>
      <c r="C1662" s="32" t="str">
        <f>IF(MOV_CC_NACIONAL!B1662="","",MOV_CC_NACIONAL!B1662)</f>
        <v/>
      </c>
      <c r="D1662" s="33" t="str">
        <f>IF(MOV_CC_NACIONAL!C1662="","",MOV_CC_NACIONAL!C1662)</f>
        <v/>
      </c>
      <c r="E1662" s="32" t="str">
        <f t="shared" si="1"/>
        <v/>
      </c>
      <c r="F1662" s="32" t="str">
        <f>IFERROR(__xludf.DUMMYFUNCTION("IF(C1662="""","""", OR(REGEXMATCH(LOWER(C1662),""cuota""), REGEXMATCH(C1662,""\d+\s*/\s*\d+"")))"),"")</f>
        <v/>
      </c>
      <c r="G1662" s="32" t="str">
        <f>IFERROR(__xludf.DUMMYFUNCTION("IFERROR(VALUE(REGEXEXTRACT(C1662,""(\d+)\s*/\s*\d+"")),"""")"),"")</f>
        <v/>
      </c>
      <c r="H1662" s="32" t="str">
        <f>IFERROR(__xludf.DUMMYFUNCTION("IFERROR(VALUE(REGEXEXTRACT(C1662,""\d+\s*/\s*(\d+)"")),"""")"),"")</f>
        <v/>
      </c>
      <c r="I1662" s="32" t="str">
        <f t="shared" si="2"/>
        <v/>
      </c>
      <c r="J1662" s="33" t="str">
        <f t="shared" si="3"/>
        <v/>
      </c>
    </row>
    <row r="1663" ht="15.75" customHeight="1">
      <c r="A1663" s="22" t="s">
        <v>113</v>
      </c>
      <c r="B1663" s="22" t="str">
        <f>IF(MOV_CC_NACIONAL!A1663="","",MOV_CC_NACIONAL!A1663)</f>
        <v/>
      </c>
      <c r="C1663" s="22" t="str">
        <f>IF(MOV_CC_NACIONAL!B1663="","",MOV_CC_NACIONAL!B1663)</f>
        <v/>
      </c>
      <c r="D1663" s="34" t="str">
        <f>IF(MOV_CC_NACIONAL!C1663="","",MOV_CC_NACIONAL!C1663)</f>
        <v/>
      </c>
      <c r="E1663" s="22" t="str">
        <f t="shared" si="1"/>
        <v/>
      </c>
      <c r="F1663" s="22" t="str">
        <f>IFERROR(__xludf.DUMMYFUNCTION("IF(C1663="""","""", OR(REGEXMATCH(LOWER(C1663),""cuota""), REGEXMATCH(C1663,""\d+\s*/\s*\d+"")))"),"")</f>
        <v/>
      </c>
      <c r="G1663" s="22" t="str">
        <f>IFERROR(__xludf.DUMMYFUNCTION("IFERROR(VALUE(REGEXEXTRACT(C1663,""(\d+)\s*/\s*\d+"")),"""")"),"")</f>
        <v/>
      </c>
      <c r="H1663" s="22" t="str">
        <f>IFERROR(__xludf.DUMMYFUNCTION("IFERROR(VALUE(REGEXEXTRACT(C1663,""\d+\s*/\s*(\d+)"")),"""")"),"")</f>
        <v/>
      </c>
      <c r="I1663" s="22" t="str">
        <f t="shared" si="2"/>
        <v/>
      </c>
      <c r="J1663" s="34" t="str">
        <f t="shared" si="3"/>
        <v/>
      </c>
    </row>
    <row r="1664" ht="15.75" customHeight="1">
      <c r="A1664" s="32" t="s">
        <v>113</v>
      </c>
      <c r="B1664" s="32" t="str">
        <f>IF(MOV_CC_NACIONAL!A1664="","",MOV_CC_NACIONAL!A1664)</f>
        <v/>
      </c>
      <c r="C1664" s="32" t="str">
        <f>IF(MOV_CC_NACIONAL!B1664="","",MOV_CC_NACIONAL!B1664)</f>
        <v/>
      </c>
      <c r="D1664" s="33" t="str">
        <f>IF(MOV_CC_NACIONAL!C1664="","",MOV_CC_NACIONAL!C1664)</f>
        <v/>
      </c>
      <c r="E1664" s="32" t="str">
        <f t="shared" si="1"/>
        <v/>
      </c>
      <c r="F1664" s="32" t="str">
        <f>IFERROR(__xludf.DUMMYFUNCTION("IF(C1664="""","""", OR(REGEXMATCH(LOWER(C1664),""cuota""), REGEXMATCH(C1664,""\d+\s*/\s*\d+"")))"),"")</f>
        <v/>
      </c>
      <c r="G1664" s="32" t="str">
        <f>IFERROR(__xludf.DUMMYFUNCTION("IFERROR(VALUE(REGEXEXTRACT(C1664,""(\d+)\s*/\s*\d+"")),"""")"),"")</f>
        <v/>
      </c>
      <c r="H1664" s="32" t="str">
        <f>IFERROR(__xludf.DUMMYFUNCTION("IFERROR(VALUE(REGEXEXTRACT(C1664,""\d+\s*/\s*(\d+)"")),"""")"),"")</f>
        <v/>
      </c>
      <c r="I1664" s="32" t="str">
        <f t="shared" si="2"/>
        <v/>
      </c>
      <c r="J1664" s="33" t="str">
        <f t="shared" si="3"/>
        <v/>
      </c>
    </row>
    <row r="1665" ht="15.75" customHeight="1">
      <c r="A1665" s="22" t="s">
        <v>113</v>
      </c>
      <c r="B1665" s="22" t="str">
        <f>IF(MOV_CC_NACIONAL!A1665="","",MOV_CC_NACIONAL!A1665)</f>
        <v/>
      </c>
      <c r="C1665" s="22" t="str">
        <f>IF(MOV_CC_NACIONAL!B1665="","",MOV_CC_NACIONAL!B1665)</f>
        <v/>
      </c>
      <c r="D1665" s="34" t="str">
        <f>IF(MOV_CC_NACIONAL!C1665="","",MOV_CC_NACIONAL!C1665)</f>
        <v/>
      </c>
      <c r="E1665" s="22" t="str">
        <f t="shared" si="1"/>
        <v/>
      </c>
      <c r="F1665" s="22" t="str">
        <f>IFERROR(__xludf.DUMMYFUNCTION("IF(C1665="""","""", OR(REGEXMATCH(LOWER(C1665),""cuota""), REGEXMATCH(C1665,""\d+\s*/\s*\d+"")))"),"")</f>
        <v/>
      </c>
      <c r="G1665" s="22" t="str">
        <f>IFERROR(__xludf.DUMMYFUNCTION("IFERROR(VALUE(REGEXEXTRACT(C1665,""(\d+)\s*/\s*\d+"")),"""")"),"")</f>
        <v/>
      </c>
      <c r="H1665" s="22" t="str">
        <f>IFERROR(__xludf.DUMMYFUNCTION("IFERROR(VALUE(REGEXEXTRACT(C1665,""\d+\s*/\s*(\d+)"")),"""")"),"")</f>
        <v/>
      </c>
      <c r="I1665" s="22" t="str">
        <f t="shared" si="2"/>
        <v/>
      </c>
      <c r="J1665" s="34" t="str">
        <f t="shared" si="3"/>
        <v/>
      </c>
    </row>
    <row r="1666" ht="15.75" customHeight="1">
      <c r="A1666" s="32" t="s">
        <v>113</v>
      </c>
      <c r="B1666" s="32" t="str">
        <f>IF(MOV_CC_NACIONAL!A1666="","",MOV_CC_NACIONAL!A1666)</f>
        <v/>
      </c>
      <c r="C1666" s="32" t="str">
        <f>IF(MOV_CC_NACIONAL!B1666="","",MOV_CC_NACIONAL!B1666)</f>
        <v/>
      </c>
      <c r="D1666" s="33" t="str">
        <f>IF(MOV_CC_NACIONAL!C1666="","",MOV_CC_NACIONAL!C1666)</f>
        <v/>
      </c>
      <c r="E1666" s="32" t="str">
        <f t="shared" si="1"/>
        <v/>
      </c>
      <c r="F1666" s="32" t="str">
        <f>IFERROR(__xludf.DUMMYFUNCTION("IF(C1666="""","""", OR(REGEXMATCH(LOWER(C1666),""cuota""), REGEXMATCH(C1666,""\d+\s*/\s*\d+"")))"),"")</f>
        <v/>
      </c>
      <c r="G1666" s="32" t="str">
        <f>IFERROR(__xludf.DUMMYFUNCTION("IFERROR(VALUE(REGEXEXTRACT(C1666,""(\d+)\s*/\s*\d+"")),"""")"),"")</f>
        <v/>
      </c>
      <c r="H1666" s="32" t="str">
        <f>IFERROR(__xludf.DUMMYFUNCTION("IFERROR(VALUE(REGEXEXTRACT(C1666,""\d+\s*/\s*(\d+)"")),"""")"),"")</f>
        <v/>
      </c>
      <c r="I1666" s="32" t="str">
        <f t="shared" si="2"/>
        <v/>
      </c>
      <c r="J1666" s="33" t="str">
        <f t="shared" si="3"/>
        <v/>
      </c>
    </row>
    <row r="1667" ht="15.75" customHeight="1">
      <c r="A1667" s="22" t="s">
        <v>113</v>
      </c>
      <c r="B1667" s="22" t="str">
        <f>IF(MOV_CC_NACIONAL!A1667="","",MOV_CC_NACIONAL!A1667)</f>
        <v/>
      </c>
      <c r="C1667" s="22" t="str">
        <f>IF(MOV_CC_NACIONAL!B1667="","",MOV_CC_NACIONAL!B1667)</f>
        <v/>
      </c>
      <c r="D1667" s="34" t="str">
        <f>IF(MOV_CC_NACIONAL!C1667="","",MOV_CC_NACIONAL!C1667)</f>
        <v/>
      </c>
      <c r="E1667" s="22" t="str">
        <f t="shared" si="1"/>
        <v/>
      </c>
      <c r="F1667" s="22" t="str">
        <f>IFERROR(__xludf.DUMMYFUNCTION("IF(C1667="""","""", OR(REGEXMATCH(LOWER(C1667),""cuota""), REGEXMATCH(C1667,""\d+\s*/\s*\d+"")))"),"")</f>
        <v/>
      </c>
      <c r="G1667" s="22" t="str">
        <f>IFERROR(__xludf.DUMMYFUNCTION("IFERROR(VALUE(REGEXEXTRACT(C1667,""(\d+)\s*/\s*\d+"")),"""")"),"")</f>
        <v/>
      </c>
      <c r="H1667" s="22" t="str">
        <f>IFERROR(__xludf.DUMMYFUNCTION("IFERROR(VALUE(REGEXEXTRACT(C1667,""\d+\s*/\s*(\d+)"")),"""")"),"")</f>
        <v/>
      </c>
      <c r="I1667" s="22" t="str">
        <f t="shared" si="2"/>
        <v/>
      </c>
      <c r="J1667" s="34" t="str">
        <f t="shared" si="3"/>
        <v/>
      </c>
    </row>
    <row r="1668" ht="15.75" customHeight="1">
      <c r="A1668" s="32" t="s">
        <v>113</v>
      </c>
      <c r="B1668" s="32" t="str">
        <f>IF(MOV_CC_NACIONAL!A1668="","",MOV_CC_NACIONAL!A1668)</f>
        <v/>
      </c>
      <c r="C1668" s="32" t="str">
        <f>IF(MOV_CC_NACIONAL!B1668="","",MOV_CC_NACIONAL!B1668)</f>
        <v/>
      </c>
      <c r="D1668" s="33" t="str">
        <f>IF(MOV_CC_NACIONAL!C1668="","",MOV_CC_NACIONAL!C1668)</f>
        <v/>
      </c>
      <c r="E1668" s="32" t="str">
        <f t="shared" si="1"/>
        <v/>
      </c>
      <c r="F1668" s="32" t="str">
        <f>IFERROR(__xludf.DUMMYFUNCTION("IF(C1668="""","""", OR(REGEXMATCH(LOWER(C1668),""cuota""), REGEXMATCH(C1668,""\d+\s*/\s*\d+"")))"),"")</f>
        <v/>
      </c>
      <c r="G1668" s="32" t="str">
        <f>IFERROR(__xludf.DUMMYFUNCTION("IFERROR(VALUE(REGEXEXTRACT(C1668,""(\d+)\s*/\s*\d+"")),"""")"),"")</f>
        <v/>
      </c>
      <c r="H1668" s="32" t="str">
        <f>IFERROR(__xludf.DUMMYFUNCTION("IFERROR(VALUE(REGEXEXTRACT(C1668,""\d+\s*/\s*(\d+)"")),"""")"),"")</f>
        <v/>
      </c>
      <c r="I1668" s="32" t="str">
        <f t="shared" si="2"/>
        <v/>
      </c>
      <c r="J1668" s="33" t="str">
        <f t="shared" si="3"/>
        <v/>
      </c>
    </row>
    <row r="1669" ht="15.75" customHeight="1">
      <c r="A1669" s="22" t="s">
        <v>113</v>
      </c>
      <c r="B1669" s="22" t="str">
        <f>IF(MOV_CC_NACIONAL!A1669="","",MOV_CC_NACIONAL!A1669)</f>
        <v/>
      </c>
      <c r="C1669" s="22" t="str">
        <f>IF(MOV_CC_NACIONAL!B1669="","",MOV_CC_NACIONAL!B1669)</f>
        <v/>
      </c>
      <c r="D1669" s="34" t="str">
        <f>IF(MOV_CC_NACIONAL!C1669="","",MOV_CC_NACIONAL!C1669)</f>
        <v/>
      </c>
      <c r="E1669" s="22" t="str">
        <f t="shared" si="1"/>
        <v/>
      </c>
      <c r="F1669" s="22" t="str">
        <f>IFERROR(__xludf.DUMMYFUNCTION("IF(C1669="""","""", OR(REGEXMATCH(LOWER(C1669),""cuota""), REGEXMATCH(C1669,""\d+\s*/\s*\d+"")))"),"")</f>
        <v/>
      </c>
      <c r="G1669" s="22" t="str">
        <f>IFERROR(__xludf.DUMMYFUNCTION("IFERROR(VALUE(REGEXEXTRACT(C1669,""(\d+)\s*/\s*\d+"")),"""")"),"")</f>
        <v/>
      </c>
      <c r="H1669" s="22" t="str">
        <f>IFERROR(__xludf.DUMMYFUNCTION("IFERROR(VALUE(REGEXEXTRACT(C1669,""\d+\s*/\s*(\d+)"")),"""")"),"")</f>
        <v/>
      </c>
      <c r="I1669" s="22" t="str">
        <f t="shared" si="2"/>
        <v/>
      </c>
      <c r="J1669" s="34" t="str">
        <f t="shared" si="3"/>
        <v/>
      </c>
    </row>
    <row r="1670" ht="15.75" customHeight="1">
      <c r="A1670" s="32" t="s">
        <v>113</v>
      </c>
      <c r="B1670" s="32" t="str">
        <f>IF(MOV_CC_NACIONAL!A1670="","",MOV_CC_NACIONAL!A1670)</f>
        <v/>
      </c>
      <c r="C1670" s="32" t="str">
        <f>IF(MOV_CC_NACIONAL!B1670="","",MOV_CC_NACIONAL!B1670)</f>
        <v/>
      </c>
      <c r="D1670" s="33" t="str">
        <f>IF(MOV_CC_NACIONAL!C1670="","",MOV_CC_NACIONAL!C1670)</f>
        <v/>
      </c>
      <c r="E1670" s="32" t="str">
        <f t="shared" si="1"/>
        <v/>
      </c>
      <c r="F1670" s="32" t="str">
        <f>IFERROR(__xludf.DUMMYFUNCTION("IF(C1670="""","""", OR(REGEXMATCH(LOWER(C1670),""cuota""), REGEXMATCH(C1670,""\d+\s*/\s*\d+"")))"),"")</f>
        <v/>
      </c>
      <c r="G1670" s="32" t="str">
        <f>IFERROR(__xludf.DUMMYFUNCTION("IFERROR(VALUE(REGEXEXTRACT(C1670,""(\d+)\s*/\s*\d+"")),"""")"),"")</f>
        <v/>
      </c>
      <c r="H1670" s="32" t="str">
        <f>IFERROR(__xludf.DUMMYFUNCTION("IFERROR(VALUE(REGEXEXTRACT(C1670,""\d+\s*/\s*(\d+)"")),"""")"),"")</f>
        <v/>
      </c>
      <c r="I1670" s="32" t="str">
        <f t="shared" si="2"/>
        <v/>
      </c>
      <c r="J1670" s="33" t="str">
        <f t="shared" si="3"/>
        <v/>
      </c>
    </row>
    <row r="1671" ht="15.75" customHeight="1">
      <c r="A1671" s="22" t="s">
        <v>113</v>
      </c>
      <c r="B1671" s="22" t="str">
        <f>IF(MOV_CC_NACIONAL!A1671="","",MOV_CC_NACIONAL!A1671)</f>
        <v/>
      </c>
      <c r="C1671" s="22" t="str">
        <f>IF(MOV_CC_NACIONAL!B1671="","",MOV_CC_NACIONAL!B1671)</f>
        <v/>
      </c>
      <c r="D1671" s="34" t="str">
        <f>IF(MOV_CC_NACIONAL!C1671="","",MOV_CC_NACIONAL!C1671)</f>
        <v/>
      </c>
      <c r="E1671" s="22" t="str">
        <f t="shared" si="1"/>
        <v/>
      </c>
      <c r="F1671" s="22" t="str">
        <f>IFERROR(__xludf.DUMMYFUNCTION("IF(C1671="""","""", OR(REGEXMATCH(LOWER(C1671),""cuota""), REGEXMATCH(C1671,""\d+\s*/\s*\d+"")))"),"")</f>
        <v/>
      </c>
      <c r="G1671" s="22" t="str">
        <f>IFERROR(__xludf.DUMMYFUNCTION("IFERROR(VALUE(REGEXEXTRACT(C1671,""(\d+)\s*/\s*\d+"")),"""")"),"")</f>
        <v/>
      </c>
      <c r="H1671" s="22" t="str">
        <f>IFERROR(__xludf.DUMMYFUNCTION("IFERROR(VALUE(REGEXEXTRACT(C1671,""\d+\s*/\s*(\d+)"")),"""")"),"")</f>
        <v/>
      </c>
      <c r="I1671" s="22" t="str">
        <f t="shared" si="2"/>
        <v/>
      </c>
      <c r="J1671" s="34" t="str">
        <f t="shared" si="3"/>
        <v/>
      </c>
    </row>
    <row r="1672" ht="15.75" customHeight="1">
      <c r="A1672" s="32" t="s">
        <v>113</v>
      </c>
      <c r="B1672" s="32" t="str">
        <f>IF(MOV_CC_NACIONAL!A1672="","",MOV_CC_NACIONAL!A1672)</f>
        <v/>
      </c>
      <c r="C1672" s="32" t="str">
        <f>IF(MOV_CC_NACIONAL!B1672="","",MOV_CC_NACIONAL!B1672)</f>
        <v/>
      </c>
      <c r="D1672" s="33" t="str">
        <f>IF(MOV_CC_NACIONAL!C1672="","",MOV_CC_NACIONAL!C1672)</f>
        <v/>
      </c>
      <c r="E1672" s="32" t="str">
        <f t="shared" si="1"/>
        <v/>
      </c>
      <c r="F1672" s="32" t="str">
        <f>IFERROR(__xludf.DUMMYFUNCTION("IF(C1672="""","""", OR(REGEXMATCH(LOWER(C1672),""cuota""), REGEXMATCH(C1672,""\d+\s*/\s*\d+"")))"),"")</f>
        <v/>
      </c>
      <c r="G1672" s="32" t="str">
        <f>IFERROR(__xludf.DUMMYFUNCTION("IFERROR(VALUE(REGEXEXTRACT(C1672,""(\d+)\s*/\s*\d+"")),"""")"),"")</f>
        <v/>
      </c>
      <c r="H1672" s="32" t="str">
        <f>IFERROR(__xludf.DUMMYFUNCTION("IFERROR(VALUE(REGEXEXTRACT(C1672,""\d+\s*/\s*(\d+)"")),"""")"),"")</f>
        <v/>
      </c>
      <c r="I1672" s="32" t="str">
        <f t="shared" si="2"/>
        <v/>
      </c>
      <c r="J1672" s="33" t="str">
        <f t="shared" si="3"/>
        <v/>
      </c>
    </row>
    <row r="1673" ht="15.75" customHeight="1">
      <c r="A1673" s="22" t="s">
        <v>113</v>
      </c>
      <c r="B1673" s="22" t="str">
        <f>IF(MOV_CC_NACIONAL!A1673="","",MOV_CC_NACIONAL!A1673)</f>
        <v/>
      </c>
      <c r="C1673" s="22" t="str">
        <f>IF(MOV_CC_NACIONAL!B1673="","",MOV_CC_NACIONAL!B1673)</f>
        <v/>
      </c>
      <c r="D1673" s="34" t="str">
        <f>IF(MOV_CC_NACIONAL!C1673="","",MOV_CC_NACIONAL!C1673)</f>
        <v/>
      </c>
      <c r="E1673" s="22" t="str">
        <f t="shared" si="1"/>
        <v/>
      </c>
      <c r="F1673" s="22" t="str">
        <f>IFERROR(__xludf.DUMMYFUNCTION("IF(C1673="""","""", OR(REGEXMATCH(LOWER(C1673),""cuota""), REGEXMATCH(C1673,""\d+\s*/\s*\d+"")))"),"")</f>
        <v/>
      </c>
      <c r="G1673" s="22" t="str">
        <f>IFERROR(__xludf.DUMMYFUNCTION("IFERROR(VALUE(REGEXEXTRACT(C1673,""(\d+)\s*/\s*\d+"")),"""")"),"")</f>
        <v/>
      </c>
      <c r="H1673" s="22" t="str">
        <f>IFERROR(__xludf.DUMMYFUNCTION("IFERROR(VALUE(REGEXEXTRACT(C1673,""\d+\s*/\s*(\d+)"")),"""")"),"")</f>
        <v/>
      </c>
      <c r="I1673" s="22" t="str">
        <f t="shared" si="2"/>
        <v/>
      </c>
      <c r="J1673" s="34" t="str">
        <f t="shared" si="3"/>
        <v/>
      </c>
    </row>
    <row r="1674" ht="15.75" customHeight="1">
      <c r="A1674" s="32" t="s">
        <v>113</v>
      </c>
      <c r="B1674" s="32" t="str">
        <f>IF(MOV_CC_NACIONAL!A1674="","",MOV_CC_NACIONAL!A1674)</f>
        <v/>
      </c>
      <c r="C1674" s="32" t="str">
        <f>IF(MOV_CC_NACIONAL!B1674="","",MOV_CC_NACIONAL!B1674)</f>
        <v/>
      </c>
      <c r="D1674" s="33" t="str">
        <f>IF(MOV_CC_NACIONAL!C1674="","",MOV_CC_NACIONAL!C1674)</f>
        <v/>
      </c>
      <c r="E1674" s="32" t="str">
        <f t="shared" si="1"/>
        <v/>
      </c>
      <c r="F1674" s="32" t="str">
        <f>IFERROR(__xludf.DUMMYFUNCTION("IF(C1674="""","""", OR(REGEXMATCH(LOWER(C1674),""cuota""), REGEXMATCH(C1674,""\d+\s*/\s*\d+"")))"),"")</f>
        <v/>
      </c>
      <c r="G1674" s="32" t="str">
        <f>IFERROR(__xludf.DUMMYFUNCTION("IFERROR(VALUE(REGEXEXTRACT(C1674,""(\d+)\s*/\s*\d+"")),"""")"),"")</f>
        <v/>
      </c>
      <c r="H1674" s="32" t="str">
        <f>IFERROR(__xludf.DUMMYFUNCTION("IFERROR(VALUE(REGEXEXTRACT(C1674,""\d+\s*/\s*(\d+)"")),"""")"),"")</f>
        <v/>
      </c>
      <c r="I1674" s="32" t="str">
        <f t="shared" si="2"/>
        <v/>
      </c>
      <c r="J1674" s="33" t="str">
        <f t="shared" si="3"/>
        <v/>
      </c>
    </row>
    <row r="1675" ht="15.75" customHeight="1">
      <c r="A1675" s="22" t="s">
        <v>113</v>
      </c>
      <c r="B1675" s="22" t="str">
        <f>IF(MOV_CC_NACIONAL!A1675="","",MOV_CC_NACIONAL!A1675)</f>
        <v/>
      </c>
      <c r="C1675" s="22" t="str">
        <f>IF(MOV_CC_NACIONAL!B1675="","",MOV_CC_NACIONAL!B1675)</f>
        <v/>
      </c>
      <c r="D1675" s="34" t="str">
        <f>IF(MOV_CC_NACIONAL!C1675="","",MOV_CC_NACIONAL!C1675)</f>
        <v/>
      </c>
      <c r="E1675" s="22" t="str">
        <f t="shared" si="1"/>
        <v/>
      </c>
      <c r="F1675" s="22" t="str">
        <f>IFERROR(__xludf.DUMMYFUNCTION("IF(C1675="""","""", OR(REGEXMATCH(LOWER(C1675),""cuota""), REGEXMATCH(C1675,""\d+\s*/\s*\d+"")))"),"")</f>
        <v/>
      </c>
      <c r="G1675" s="22" t="str">
        <f>IFERROR(__xludf.DUMMYFUNCTION("IFERROR(VALUE(REGEXEXTRACT(C1675,""(\d+)\s*/\s*\d+"")),"""")"),"")</f>
        <v/>
      </c>
      <c r="H1675" s="22" t="str">
        <f>IFERROR(__xludf.DUMMYFUNCTION("IFERROR(VALUE(REGEXEXTRACT(C1675,""\d+\s*/\s*(\d+)"")),"""")"),"")</f>
        <v/>
      </c>
      <c r="I1675" s="22" t="str">
        <f t="shared" si="2"/>
        <v/>
      </c>
      <c r="J1675" s="34" t="str">
        <f t="shared" si="3"/>
        <v/>
      </c>
    </row>
    <row r="1676" ht="15.75" customHeight="1">
      <c r="A1676" s="32" t="s">
        <v>113</v>
      </c>
      <c r="B1676" s="32" t="str">
        <f>IF(MOV_CC_NACIONAL!A1676="","",MOV_CC_NACIONAL!A1676)</f>
        <v/>
      </c>
      <c r="C1676" s="32" t="str">
        <f>IF(MOV_CC_NACIONAL!B1676="","",MOV_CC_NACIONAL!B1676)</f>
        <v/>
      </c>
      <c r="D1676" s="33" t="str">
        <f>IF(MOV_CC_NACIONAL!C1676="","",MOV_CC_NACIONAL!C1676)</f>
        <v/>
      </c>
      <c r="E1676" s="32" t="str">
        <f t="shared" si="1"/>
        <v/>
      </c>
      <c r="F1676" s="32" t="str">
        <f>IFERROR(__xludf.DUMMYFUNCTION("IF(C1676="""","""", OR(REGEXMATCH(LOWER(C1676),""cuota""), REGEXMATCH(C1676,""\d+\s*/\s*\d+"")))"),"")</f>
        <v/>
      </c>
      <c r="G1676" s="32" t="str">
        <f>IFERROR(__xludf.DUMMYFUNCTION("IFERROR(VALUE(REGEXEXTRACT(C1676,""(\d+)\s*/\s*\d+"")),"""")"),"")</f>
        <v/>
      </c>
      <c r="H1676" s="32" t="str">
        <f>IFERROR(__xludf.DUMMYFUNCTION("IFERROR(VALUE(REGEXEXTRACT(C1676,""\d+\s*/\s*(\d+)"")),"""")"),"")</f>
        <v/>
      </c>
      <c r="I1676" s="32" t="str">
        <f t="shared" si="2"/>
        <v/>
      </c>
      <c r="J1676" s="33" t="str">
        <f t="shared" si="3"/>
        <v/>
      </c>
    </row>
    <row r="1677" ht="15.75" customHeight="1">
      <c r="A1677" s="22" t="s">
        <v>113</v>
      </c>
      <c r="B1677" s="22" t="str">
        <f>IF(MOV_CC_NACIONAL!A1677="","",MOV_CC_NACIONAL!A1677)</f>
        <v/>
      </c>
      <c r="C1677" s="22" t="str">
        <f>IF(MOV_CC_NACIONAL!B1677="","",MOV_CC_NACIONAL!B1677)</f>
        <v/>
      </c>
      <c r="D1677" s="34" t="str">
        <f>IF(MOV_CC_NACIONAL!C1677="","",MOV_CC_NACIONAL!C1677)</f>
        <v/>
      </c>
      <c r="E1677" s="22" t="str">
        <f t="shared" si="1"/>
        <v/>
      </c>
      <c r="F1677" s="22" t="str">
        <f>IFERROR(__xludf.DUMMYFUNCTION("IF(C1677="""","""", OR(REGEXMATCH(LOWER(C1677),""cuota""), REGEXMATCH(C1677,""\d+\s*/\s*\d+"")))"),"")</f>
        <v/>
      </c>
      <c r="G1677" s="22" t="str">
        <f>IFERROR(__xludf.DUMMYFUNCTION("IFERROR(VALUE(REGEXEXTRACT(C1677,""(\d+)\s*/\s*\d+"")),"""")"),"")</f>
        <v/>
      </c>
      <c r="H1677" s="22" t="str">
        <f>IFERROR(__xludf.DUMMYFUNCTION("IFERROR(VALUE(REGEXEXTRACT(C1677,""\d+\s*/\s*(\d+)"")),"""")"),"")</f>
        <v/>
      </c>
      <c r="I1677" s="22" t="str">
        <f t="shared" si="2"/>
        <v/>
      </c>
      <c r="J1677" s="34" t="str">
        <f t="shared" si="3"/>
        <v/>
      </c>
    </row>
    <row r="1678" ht="15.75" customHeight="1">
      <c r="A1678" s="32" t="s">
        <v>113</v>
      </c>
      <c r="B1678" s="32" t="str">
        <f>IF(MOV_CC_NACIONAL!A1678="","",MOV_CC_NACIONAL!A1678)</f>
        <v/>
      </c>
      <c r="C1678" s="32" t="str">
        <f>IF(MOV_CC_NACIONAL!B1678="","",MOV_CC_NACIONAL!B1678)</f>
        <v/>
      </c>
      <c r="D1678" s="33" t="str">
        <f>IF(MOV_CC_NACIONAL!C1678="","",MOV_CC_NACIONAL!C1678)</f>
        <v/>
      </c>
      <c r="E1678" s="32" t="str">
        <f t="shared" si="1"/>
        <v/>
      </c>
      <c r="F1678" s="32" t="str">
        <f>IFERROR(__xludf.DUMMYFUNCTION("IF(C1678="""","""", OR(REGEXMATCH(LOWER(C1678),""cuota""), REGEXMATCH(C1678,""\d+\s*/\s*\d+"")))"),"")</f>
        <v/>
      </c>
      <c r="G1678" s="32" t="str">
        <f>IFERROR(__xludf.DUMMYFUNCTION("IFERROR(VALUE(REGEXEXTRACT(C1678,""(\d+)\s*/\s*\d+"")),"""")"),"")</f>
        <v/>
      </c>
      <c r="H1678" s="32" t="str">
        <f>IFERROR(__xludf.DUMMYFUNCTION("IFERROR(VALUE(REGEXEXTRACT(C1678,""\d+\s*/\s*(\d+)"")),"""")"),"")</f>
        <v/>
      </c>
      <c r="I1678" s="32" t="str">
        <f t="shared" si="2"/>
        <v/>
      </c>
      <c r="J1678" s="33" t="str">
        <f t="shared" si="3"/>
        <v/>
      </c>
    </row>
    <row r="1679" ht="15.75" customHeight="1">
      <c r="A1679" s="22" t="s">
        <v>113</v>
      </c>
      <c r="B1679" s="22" t="str">
        <f>IF(MOV_CC_NACIONAL!A1679="","",MOV_CC_NACIONAL!A1679)</f>
        <v/>
      </c>
      <c r="C1679" s="22" t="str">
        <f>IF(MOV_CC_NACIONAL!B1679="","",MOV_CC_NACIONAL!B1679)</f>
        <v/>
      </c>
      <c r="D1679" s="34" t="str">
        <f>IF(MOV_CC_NACIONAL!C1679="","",MOV_CC_NACIONAL!C1679)</f>
        <v/>
      </c>
      <c r="E1679" s="22" t="str">
        <f t="shared" si="1"/>
        <v/>
      </c>
      <c r="F1679" s="22" t="str">
        <f>IFERROR(__xludf.DUMMYFUNCTION("IF(C1679="""","""", OR(REGEXMATCH(LOWER(C1679),""cuota""), REGEXMATCH(C1679,""\d+\s*/\s*\d+"")))"),"")</f>
        <v/>
      </c>
      <c r="G1679" s="22" t="str">
        <f>IFERROR(__xludf.DUMMYFUNCTION("IFERROR(VALUE(REGEXEXTRACT(C1679,""(\d+)\s*/\s*\d+"")),"""")"),"")</f>
        <v/>
      </c>
      <c r="H1679" s="22" t="str">
        <f>IFERROR(__xludf.DUMMYFUNCTION("IFERROR(VALUE(REGEXEXTRACT(C1679,""\d+\s*/\s*(\d+)"")),"""")"),"")</f>
        <v/>
      </c>
      <c r="I1679" s="22" t="str">
        <f t="shared" si="2"/>
        <v/>
      </c>
      <c r="J1679" s="34" t="str">
        <f t="shared" si="3"/>
        <v/>
      </c>
    </row>
    <row r="1680" ht="15.75" customHeight="1">
      <c r="A1680" s="32" t="s">
        <v>113</v>
      </c>
      <c r="B1680" s="32" t="str">
        <f>IF(MOV_CC_NACIONAL!A1680="","",MOV_CC_NACIONAL!A1680)</f>
        <v/>
      </c>
      <c r="C1680" s="32" t="str">
        <f>IF(MOV_CC_NACIONAL!B1680="","",MOV_CC_NACIONAL!B1680)</f>
        <v/>
      </c>
      <c r="D1680" s="33" t="str">
        <f>IF(MOV_CC_NACIONAL!C1680="","",MOV_CC_NACIONAL!C1680)</f>
        <v/>
      </c>
      <c r="E1680" s="32" t="str">
        <f t="shared" si="1"/>
        <v/>
      </c>
      <c r="F1680" s="32" t="str">
        <f>IFERROR(__xludf.DUMMYFUNCTION("IF(C1680="""","""", OR(REGEXMATCH(LOWER(C1680),""cuota""), REGEXMATCH(C1680,""\d+\s*/\s*\d+"")))"),"")</f>
        <v/>
      </c>
      <c r="G1680" s="32" t="str">
        <f>IFERROR(__xludf.DUMMYFUNCTION("IFERROR(VALUE(REGEXEXTRACT(C1680,""(\d+)\s*/\s*\d+"")),"""")"),"")</f>
        <v/>
      </c>
      <c r="H1680" s="32" t="str">
        <f>IFERROR(__xludf.DUMMYFUNCTION("IFERROR(VALUE(REGEXEXTRACT(C1680,""\d+\s*/\s*(\d+)"")),"""")"),"")</f>
        <v/>
      </c>
      <c r="I1680" s="32" t="str">
        <f t="shared" si="2"/>
        <v/>
      </c>
      <c r="J1680" s="33" t="str">
        <f t="shared" si="3"/>
        <v/>
      </c>
    </row>
    <row r="1681" ht="15.75" customHeight="1">
      <c r="A1681" s="22" t="s">
        <v>113</v>
      </c>
      <c r="B1681" s="22" t="str">
        <f>IF(MOV_CC_NACIONAL!A1681="","",MOV_CC_NACIONAL!A1681)</f>
        <v/>
      </c>
      <c r="C1681" s="22" t="str">
        <f>IF(MOV_CC_NACIONAL!B1681="","",MOV_CC_NACIONAL!B1681)</f>
        <v/>
      </c>
      <c r="D1681" s="34" t="str">
        <f>IF(MOV_CC_NACIONAL!C1681="","",MOV_CC_NACIONAL!C1681)</f>
        <v/>
      </c>
      <c r="E1681" s="22" t="str">
        <f t="shared" si="1"/>
        <v/>
      </c>
      <c r="F1681" s="22" t="str">
        <f>IFERROR(__xludf.DUMMYFUNCTION("IF(C1681="""","""", OR(REGEXMATCH(LOWER(C1681),""cuota""), REGEXMATCH(C1681,""\d+\s*/\s*\d+"")))"),"")</f>
        <v/>
      </c>
      <c r="G1681" s="22" t="str">
        <f>IFERROR(__xludf.DUMMYFUNCTION("IFERROR(VALUE(REGEXEXTRACT(C1681,""(\d+)\s*/\s*\d+"")),"""")"),"")</f>
        <v/>
      </c>
      <c r="H1681" s="22" t="str">
        <f>IFERROR(__xludf.DUMMYFUNCTION("IFERROR(VALUE(REGEXEXTRACT(C1681,""\d+\s*/\s*(\d+)"")),"""")"),"")</f>
        <v/>
      </c>
      <c r="I1681" s="22" t="str">
        <f t="shared" si="2"/>
        <v/>
      </c>
      <c r="J1681" s="34" t="str">
        <f t="shared" si="3"/>
        <v/>
      </c>
    </row>
    <row r="1682" ht="15.75" customHeight="1">
      <c r="A1682" s="32" t="s">
        <v>113</v>
      </c>
      <c r="B1682" s="32" t="str">
        <f>IF(MOV_CC_NACIONAL!A1682="","",MOV_CC_NACIONAL!A1682)</f>
        <v/>
      </c>
      <c r="C1682" s="32" t="str">
        <f>IF(MOV_CC_NACIONAL!B1682="","",MOV_CC_NACIONAL!B1682)</f>
        <v/>
      </c>
      <c r="D1682" s="33" t="str">
        <f>IF(MOV_CC_NACIONAL!C1682="","",MOV_CC_NACIONAL!C1682)</f>
        <v/>
      </c>
      <c r="E1682" s="32" t="str">
        <f t="shared" si="1"/>
        <v/>
      </c>
      <c r="F1682" s="32" t="str">
        <f>IFERROR(__xludf.DUMMYFUNCTION("IF(C1682="""","""", OR(REGEXMATCH(LOWER(C1682),""cuota""), REGEXMATCH(C1682,""\d+\s*/\s*\d+"")))"),"")</f>
        <v/>
      </c>
      <c r="G1682" s="32" t="str">
        <f>IFERROR(__xludf.DUMMYFUNCTION("IFERROR(VALUE(REGEXEXTRACT(C1682,""(\d+)\s*/\s*\d+"")),"""")"),"")</f>
        <v/>
      </c>
      <c r="H1682" s="32" t="str">
        <f>IFERROR(__xludf.DUMMYFUNCTION("IFERROR(VALUE(REGEXEXTRACT(C1682,""\d+\s*/\s*(\d+)"")),"""")"),"")</f>
        <v/>
      </c>
      <c r="I1682" s="32" t="str">
        <f t="shared" si="2"/>
        <v/>
      </c>
      <c r="J1682" s="33" t="str">
        <f t="shared" si="3"/>
        <v/>
      </c>
    </row>
    <row r="1683" ht="15.75" customHeight="1">
      <c r="A1683" s="22" t="s">
        <v>113</v>
      </c>
      <c r="B1683" s="22" t="str">
        <f>IF(MOV_CC_NACIONAL!A1683="","",MOV_CC_NACIONAL!A1683)</f>
        <v/>
      </c>
      <c r="C1683" s="22" t="str">
        <f>IF(MOV_CC_NACIONAL!B1683="","",MOV_CC_NACIONAL!B1683)</f>
        <v/>
      </c>
      <c r="D1683" s="34" t="str">
        <f>IF(MOV_CC_NACIONAL!C1683="","",MOV_CC_NACIONAL!C1683)</f>
        <v/>
      </c>
      <c r="E1683" s="22" t="str">
        <f t="shared" si="1"/>
        <v/>
      </c>
      <c r="F1683" s="22" t="str">
        <f>IFERROR(__xludf.DUMMYFUNCTION("IF(C1683="""","""", OR(REGEXMATCH(LOWER(C1683),""cuota""), REGEXMATCH(C1683,""\d+\s*/\s*\d+"")))"),"")</f>
        <v/>
      </c>
      <c r="G1683" s="22" t="str">
        <f>IFERROR(__xludf.DUMMYFUNCTION("IFERROR(VALUE(REGEXEXTRACT(C1683,""(\d+)\s*/\s*\d+"")),"""")"),"")</f>
        <v/>
      </c>
      <c r="H1683" s="22" t="str">
        <f>IFERROR(__xludf.DUMMYFUNCTION("IFERROR(VALUE(REGEXEXTRACT(C1683,""\d+\s*/\s*(\d+)"")),"""")"),"")</f>
        <v/>
      </c>
      <c r="I1683" s="22" t="str">
        <f t="shared" si="2"/>
        <v/>
      </c>
      <c r="J1683" s="34" t="str">
        <f t="shared" si="3"/>
        <v/>
      </c>
    </row>
    <row r="1684" ht="15.75" customHeight="1">
      <c r="A1684" s="32" t="s">
        <v>113</v>
      </c>
      <c r="B1684" s="32" t="str">
        <f>IF(MOV_CC_NACIONAL!A1684="","",MOV_CC_NACIONAL!A1684)</f>
        <v/>
      </c>
      <c r="C1684" s="32" t="str">
        <f>IF(MOV_CC_NACIONAL!B1684="","",MOV_CC_NACIONAL!B1684)</f>
        <v/>
      </c>
      <c r="D1684" s="33" t="str">
        <f>IF(MOV_CC_NACIONAL!C1684="","",MOV_CC_NACIONAL!C1684)</f>
        <v/>
      </c>
      <c r="E1684" s="32" t="str">
        <f t="shared" si="1"/>
        <v/>
      </c>
      <c r="F1684" s="32" t="str">
        <f>IFERROR(__xludf.DUMMYFUNCTION("IF(C1684="""","""", OR(REGEXMATCH(LOWER(C1684),""cuota""), REGEXMATCH(C1684,""\d+\s*/\s*\d+"")))"),"")</f>
        <v/>
      </c>
      <c r="G1684" s="32" t="str">
        <f>IFERROR(__xludf.DUMMYFUNCTION("IFERROR(VALUE(REGEXEXTRACT(C1684,""(\d+)\s*/\s*\d+"")),"""")"),"")</f>
        <v/>
      </c>
      <c r="H1684" s="32" t="str">
        <f>IFERROR(__xludf.DUMMYFUNCTION("IFERROR(VALUE(REGEXEXTRACT(C1684,""\d+\s*/\s*(\d+)"")),"""")"),"")</f>
        <v/>
      </c>
      <c r="I1684" s="32" t="str">
        <f t="shared" si="2"/>
        <v/>
      </c>
      <c r="J1684" s="33" t="str">
        <f t="shared" si="3"/>
        <v/>
      </c>
    </row>
    <row r="1685" ht="15.75" customHeight="1">
      <c r="A1685" s="22" t="s">
        <v>113</v>
      </c>
      <c r="B1685" s="22" t="str">
        <f>IF(MOV_CC_NACIONAL!A1685="","",MOV_CC_NACIONAL!A1685)</f>
        <v/>
      </c>
      <c r="C1685" s="22" t="str">
        <f>IF(MOV_CC_NACIONAL!B1685="","",MOV_CC_NACIONAL!B1685)</f>
        <v/>
      </c>
      <c r="D1685" s="34" t="str">
        <f>IF(MOV_CC_NACIONAL!C1685="","",MOV_CC_NACIONAL!C1685)</f>
        <v/>
      </c>
      <c r="E1685" s="22" t="str">
        <f t="shared" si="1"/>
        <v/>
      </c>
      <c r="F1685" s="22" t="str">
        <f>IFERROR(__xludf.DUMMYFUNCTION("IF(C1685="""","""", OR(REGEXMATCH(LOWER(C1685),""cuota""), REGEXMATCH(C1685,""\d+\s*/\s*\d+"")))"),"")</f>
        <v/>
      </c>
      <c r="G1685" s="22" t="str">
        <f>IFERROR(__xludf.DUMMYFUNCTION("IFERROR(VALUE(REGEXEXTRACT(C1685,""(\d+)\s*/\s*\d+"")),"""")"),"")</f>
        <v/>
      </c>
      <c r="H1685" s="22" t="str">
        <f>IFERROR(__xludf.DUMMYFUNCTION("IFERROR(VALUE(REGEXEXTRACT(C1685,""\d+\s*/\s*(\d+)"")),"""")"),"")</f>
        <v/>
      </c>
      <c r="I1685" s="22" t="str">
        <f t="shared" si="2"/>
        <v/>
      </c>
      <c r="J1685" s="34" t="str">
        <f t="shared" si="3"/>
        <v/>
      </c>
    </row>
    <row r="1686" ht="15.75" customHeight="1">
      <c r="A1686" s="32" t="s">
        <v>113</v>
      </c>
      <c r="B1686" s="32" t="str">
        <f>IF(MOV_CC_NACIONAL!A1686="","",MOV_CC_NACIONAL!A1686)</f>
        <v/>
      </c>
      <c r="C1686" s="32" t="str">
        <f>IF(MOV_CC_NACIONAL!B1686="","",MOV_CC_NACIONAL!B1686)</f>
        <v/>
      </c>
      <c r="D1686" s="33" t="str">
        <f>IF(MOV_CC_NACIONAL!C1686="","",MOV_CC_NACIONAL!C1686)</f>
        <v/>
      </c>
      <c r="E1686" s="32" t="str">
        <f t="shared" si="1"/>
        <v/>
      </c>
      <c r="F1686" s="32" t="str">
        <f>IFERROR(__xludf.DUMMYFUNCTION("IF(C1686="""","""", OR(REGEXMATCH(LOWER(C1686),""cuota""), REGEXMATCH(C1686,""\d+\s*/\s*\d+"")))"),"")</f>
        <v/>
      </c>
      <c r="G1686" s="32" t="str">
        <f>IFERROR(__xludf.DUMMYFUNCTION("IFERROR(VALUE(REGEXEXTRACT(C1686,""(\d+)\s*/\s*\d+"")),"""")"),"")</f>
        <v/>
      </c>
      <c r="H1686" s="32" t="str">
        <f>IFERROR(__xludf.DUMMYFUNCTION("IFERROR(VALUE(REGEXEXTRACT(C1686,""\d+\s*/\s*(\d+)"")),"""")"),"")</f>
        <v/>
      </c>
      <c r="I1686" s="32" t="str">
        <f t="shared" si="2"/>
        <v/>
      </c>
      <c r="J1686" s="33" t="str">
        <f t="shared" si="3"/>
        <v/>
      </c>
    </row>
    <row r="1687" ht="15.75" customHeight="1">
      <c r="A1687" s="22" t="s">
        <v>113</v>
      </c>
      <c r="B1687" s="22" t="str">
        <f>IF(MOV_CC_NACIONAL!A1687="","",MOV_CC_NACIONAL!A1687)</f>
        <v/>
      </c>
      <c r="C1687" s="22" t="str">
        <f>IF(MOV_CC_NACIONAL!B1687="","",MOV_CC_NACIONAL!B1687)</f>
        <v/>
      </c>
      <c r="D1687" s="34" t="str">
        <f>IF(MOV_CC_NACIONAL!C1687="","",MOV_CC_NACIONAL!C1687)</f>
        <v/>
      </c>
      <c r="E1687" s="22" t="str">
        <f t="shared" si="1"/>
        <v/>
      </c>
      <c r="F1687" s="22" t="str">
        <f>IFERROR(__xludf.DUMMYFUNCTION("IF(C1687="""","""", OR(REGEXMATCH(LOWER(C1687),""cuota""), REGEXMATCH(C1687,""\d+\s*/\s*\d+"")))"),"")</f>
        <v/>
      </c>
      <c r="G1687" s="22" t="str">
        <f>IFERROR(__xludf.DUMMYFUNCTION("IFERROR(VALUE(REGEXEXTRACT(C1687,""(\d+)\s*/\s*\d+"")),"""")"),"")</f>
        <v/>
      </c>
      <c r="H1687" s="22" t="str">
        <f>IFERROR(__xludf.DUMMYFUNCTION("IFERROR(VALUE(REGEXEXTRACT(C1687,""\d+\s*/\s*(\d+)"")),"""")"),"")</f>
        <v/>
      </c>
      <c r="I1687" s="22" t="str">
        <f t="shared" si="2"/>
        <v/>
      </c>
      <c r="J1687" s="34" t="str">
        <f t="shared" si="3"/>
        <v/>
      </c>
    </row>
    <row r="1688" ht="15.75" customHeight="1">
      <c r="A1688" s="32" t="s">
        <v>113</v>
      </c>
      <c r="B1688" s="32" t="str">
        <f>IF(MOV_CC_NACIONAL!A1688="","",MOV_CC_NACIONAL!A1688)</f>
        <v/>
      </c>
      <c r="C1688" s="32" t="str">
        <f>IF(MOV_CC_NACIONAL!B1688="","",MOV_CC_NACIONAL!B1688)</f>
        <v/>
      </c>
      <c r="D1688" s="33" t="str">
        <f>IF(MOV_CC_NACIONAL!C1688="","",MOV_CC_NACIONAL!C1688)</f>
        <v/>
      </c>
      <c r="E1688" s="32" t="str">
        <f t="shared" si="1"/>
        <v/>
      </c>
      <c r="F1688" s="32" t="str">
        <f>IFERROR(__xludf.DUMMYFUNCTION("IF(C1688="""","""", OR(REGEXMATCH(LOWER(C1688),""cuota""), REGEXMATCH(C1688,""\d+\s*/\s*\d+"")))"),"")</f>
        <v/>
      </c>
      <c r="G1688" s="32" t="str">
        <f>IFERROR(__xludf.DUMMYFUNCTION("IFERROR(VALUE(REGEXEXTRACT(C1688,""(\d+)\s*/\s*\d+"")),"""")"),"")</f>
        <v/>
      </c>
      <c r="H1688" s="32" t="str">
        <f>IFERROR(__xludf.DUMMYFUNCTION("IFERROR(VALUE(REGEXEXTRACT(C1688,""\d+\s*/\s*(\d+)"")),"""")"),"")</f>
        <v/>
      </c>
      <c r="I1688" s="32" t="str">
        <f t="shared" si="2"/>
        <v/>
      </c>
      <c r="J1688" s="33" t="str">
        <f t="shared" si="3"/>
        <v/>
      </c>
    </row>
    <row r="1689" ht="15.75" customHeight="1">
      <c r="A1689" s="22" t="s">
        <v>113</v>
      </c>
      <c r="B1689" s="22" t="str">
        <f>IF(MOV_CC_NACIONAL!A1689="","",MOV_CC_NACIONAL!A1689)</f>
        <v/>
      </c>
      <c r="C1689" s="22" t="str">
        <f>IF(MOV_CC_NACIONAL!B1689="","",MOV_CC_NACIONAL!B1689)</f>
        <v/>
      </c>
      <c r="D1689" s="34" t="str">
        <f>IF(MOV_CC_NACIONAL!C1689="","",MOV_CC_NACIONAL!C1689)</f>
        <v/>
      </c>
      <c r="E1689" s="22" t="str">
        <f t="shared" si="1"/>
        <v/>
      </c>
      <c r="F1689" s="22" t="str">
        <f>IFERROR(__xludf.DUMMYFUNCTION("IF(C1689="""","""", OR(REGEXMATCH(LOWER(C1689),""cuota""), REGEXMATCH(C1689,""\d+\s*/\s*\d+"")))"),"")</f>
        <v/>
      </c>
      <c r="G1689" s="22" t="str">
        <f>IFERROR(__xludf.DUMMYFUNCTION("IFERROR(VALUE(REGEXEXTRACT(C1689,""(\d+)\s*/\s*\d+"")),"""")"),"")</f>
        <v/>
      </c>
      <c r="H1689" s="22" t="str">
        <f>IFERROR(__xludf.DUMMYFUNCTION("IFERROR(VALUE(REGEXEXTRACT(C1689,""\d+\s*/\s*(\d+)"")),"""")"),"")</f>
        <v/>
      </c>
      <c r="I1689" s="22" t="str">
        <f t="shared" si="2"/>
        <v/>
      </c>
      <c r="J1689" s="34" t="str">
        <f t="shared" si="3"/>
        <v/>
      </c>
    </row>
    <row r="1690" ht="15.75" customHeight="1">
      <c r="A1690" s="32" t="s">
        <v>113</v>
      </c>
      <c r="B1690" s="32" t="str">
        <f>IF(MOV_CC_NACIONAL!A1690="","",MOV_CC_NACIONAL!A1690)</f>
        <v/>
      </c>
      <c r="C1690" s="32" t="str">
        <f>IF(MOV_CC_NACIONAL!B1690="","",MOV_CC_NACIONAL!B1690)</f>
        <v/>
      </c>
      <c r="D1690" s="33" t="str">
        <f>IF(MOV_CC_NACIONAL!C1690="","",MOV_CC_NACIONAL!C1690)</f>
        <v/>
      </c>
      <c r="E1690" s="32" t="str">
        <f t="shared" si="1"/>
        <v/>
      </c>
      <c r="F1690" s="32" t="str">
        <f>IFERROR(__xludf.DUMMYFUNCTION("IF(C1690="""","""", OR(REGEXMATCH(LOWER(C1690),""cuota""), REGEXMATCH(C1690,""\d+\s*/\s*\d+"")))"),"")</f>
        <v/>
      </c>
      <c r="G1690" s="32" t="str">
        <f>IFERROR(__xludf.DUMMYFUNCTION("IFERROR(VALUE(REGEXEXTRACT(C1690,""(\d+)\s*/\s*\d+"")),"""")"),"")</f>
        <v/>
      </c>
      <c r="H1690" s="32" t="str">
        <f>IFERROR(__xludf.DUMMYFUNCTION("IFERROR(VALUE(REGEXEXTRACT(C1690,""\d+\s*/\s*(\d+)"")),"""")"),"")</f>
        <v/>
      </c>
      <c r="I1690" s="32" t="str">
        <f t="shared" si="2"/>
        <v/>
      </c>
      <c r="J1690" s="33" t="str">
        <f t="shared" si="3"/>
        <v/>
      </c>
    </row>
    <row r="1691" ht="15.75" customHeight="1">
      <c r="A1691" s="22" t="s">
        <v>113</v>
      </c>
      <c r="B1691" s="22" t="str">
        <f>IF(MOV_CC_NACIONAL!A1691="","",MOV_CC_NACIONAL!A1691)</f>
        <v/>
      </c>
      <c r="C1691" s="22" t="str">
        <f>IF(MOV_CC_NACIONAL!B1691="","",MOV_CC_NACIONAL!B1691)</f>
        <v/>
      </c>
      <c r="D1691" s="34" t="str">
        <f>IF(MOV_CC_NACIONAL!C1691="","",MOV_CC_NACIONAL!C1691)</f>
        <v/>
      </c>
      <c r="E1691" s="22" t="str">
        <f t="shared" si="1"/>
        <v/>
      </c>
      <c r="F1691" s="22" t="str">
        <f>IFERROR(__xludf.DUMMYFUNCTION("IF(C1691="""","""", OR(REGEXMATCH(LOWER(C1691),""cuota""), REGEXMATCH(C1691,""\d+\s*/\s*\d+"")))"),"")</f>
        <v/>
      </c>
      <c r="G1691" s="22" t="str">
        <f>IFERROR(__xludf.DUMMYFUNCTION("IFERROR(VALUE(REGEXEXTRACT(C1691,""(\d+)\s*/\s*\d+"")),"""")"),"")</f>
        <v/>
      </c>
      <c r="H1691" s="22" t="str">
        <f>IFERROR(__xludf.DUMMYFUNCTION("IFERROR(VALUE(REGEXEXTRACT(C1691,""\d+\s*/\s*(\d+)"")),"""")"),"")</f>
        <v/>
      </c>
      <c r="I1691" s="22" t="str">
        <f t="shared" si="2"/>
        <v/>
      </c>
      <c r="J1691" s="34" t="str">
        <f t="shared" si="3"/>
        <v/>
      </c>
    </row>
    <row r="1692" ht="15.75" customHeight="1">
      <c r="A1692" s="32" t="s">
        <v>113</v>
      </c>
      <c r="B1692" s="32" t="str">
        <f>IF(MOV_CC_NACIONAL!A1692="","",MOV_CC_NACIONAL!A1692)</f>
        <v/>
      </c>
      <c r="C1692" s="32" t="str">
        <f>IF(MOV_CC_NACIONAL!B1692="","",MOV_CC_NACIONAL!B1692)</f>
        <v/>
      </c>
      <c r="D1692" s="33" t="str">
        <f>IF(MOV_CC_NACIONAL!C1692="","",MOV_CC_NACIONAL!C1692)</f>
        <v/>
      </c>
      <c r="E1692" s="32" t="str">
        <f t="shared" si="1"/>
        <v/>
      </c>
      <c r="F1692" s="32" t="str">
        <f>IFERROR(__xludf.DUMMYFUNCTION("IF(C1692="""","""", OR(REGEXMATCH(LOWER(C1692),""cuota""), REGEXMATCH(C1692,""\d+\s*/\s*\d+"")))"),"")</f>
        <v/>
      </c>
      <c r="G1692" s="32" t="str">
        <f>IFERROR(__xludf.DUMMYFUNCTION("IFERROR(VALUE(REGEXEXTRACT(C1692,""(\d+)\s*/\s*\d+"")),"""")"),"")</f>
        <v/>
      </c>
      <c r="H1692" s="32" t="str">
        <f>IFERROR(__xludf.DUMMYFUNCTION("IFERROR(VALUE(REGEXEXTRACT(C1692,""\d+\s*/\s*(\d+)"")),"""")"),"")</f>
        <v/>
      </c>
      <c r="I1692" s="32" t="str">
        <f t="shared" si="2"/>
        <v/>
      </c>
      <c r="J1692" s="33" t="str">
        <f t="shared" si="3"/>
        <v/>
      </c>
    </row>
    <row r="1693" ht="15.75" customHeight="1">
      <c r="A1693" s="22" t="s">
        <v>113</v>
      </c>
      <c r="B1693" s="22" t="str">
        <f>IF(MOV_CC_NACIONAL!A1693="","",MOV_CC_NACIONAL!A1693)</f>
        <v/>
      </c>
      <c r="C1693" s="22" t="str">
        <f>IF(MOV_CC_NACIONAL!B1693="","",MOV_CC_NACIONAL!B1693)</f>
        <v/>
      </c>
      <c r="D1693" s="34" t="str">
        <f>IF(MOV_CC_NACIONAL!C1693="","",MOV_CC_NACIONAL!C1693)</f>
        <v/>
      </c>
      <c r="E1693" s="22" t="str">
        <f t="shared" si="1"/>
        <v/>
      </c>
      <c r="F1693" s="22" t="str">
        <f>IFERROR(__xludf.DUMMYFUNCTION("IF(C1693="""","""", OR(REGEXMATCH(LOWER(C1693),""cuota""), REGEXMATCH(C1693,""\d+\s*/\s*\d+"")))"),"")</f>
        <v/>
      </c>
      <c r="G1693" s="22" t="str">
        <f>IFERROR(__xludf.DUMMYFUNCTION("IFERROR(VALUE(REGEXEXTRACT(C1693,""(\d+)\s*/\s*\d+"")),"""")"),"")</f>
        <v/>
      </c>
      <c r="H1693" s="22" t="str">
        <f>IFERROR(__xludf.DUMMYFUNCTION("IFERROR(VALUE(REGEXEXTRACT(C1693,""\d+\s*/\s*(\d+)"")),"""")"),"")</f>
        <v/>
      </c>
      <c r="I1693" s="22" t="str">
        <f t="shared" si="2"/>
        <v/>
      </c>
      <c r="J1693" s="34" t="str">
        <f t="shared" si="3"/>
        <v/>
      </c>
    </row>
    <row r="1694" ht="15.75" customHeight="1">
      <c r="A1694" s="32" t="s">
        <v>113</v>
      </c>
      <c r="B1694" s="32" t="str">
        <f>IF(MOV_CC_NACIONAL!A1694="","",MOV_CC_NACIONAL!A1694)</f>
        <v/>
      </c>
      <c r="C1694" s="32" t="str">
        <f>IF(MOV_CC_NACIONAL!B1694="","",MOV_CC_NACIONAL!B1694)</f>
        <v/>
      </c>
      <c r="D1694" s="33" t="str">
        <f>IF(MOV_CC_NACIONAL!C1694="","",MOV_CC_NACIONAL!C1694)</f>
        <v/>
      </c>
      <c r="E1694" s="32" t="str">
        <f t="shared" si="1"/>
        <v/>
      </c>
      <c r="F1694" s="32" t="str">
        <f>IFERROR(__xludf.DUMMYFUNCTION("IF(C1694="""","""", OR(REGEXMATCH(LOWER(C1694),""cuota""), REGEXMATCH(C1694,""\d+\s*/\s*\d+"")))"),"")</f>
        <v/>
      </c>
      <c r="G1694" s="32" t="str">
        <f>IFERROR(__xludf.DUMMYFUNCTION("IFERROR(VALUE(REGEXEXTRACT(C1694,""(\d+)\s*/\s*\d+"")),"""")"),"")</f>
        <v/>
      </c>
      <c r="H1694" s="32" t="str">
        <f>IFERROR(__xludf.DUMMYFUNCTION("IFERROR(VALUE(REGEXEXTRACT(C1694,""\d+\s*/\s*(\d+)"")),"""")"),"")</f>
        <v/>
      </c>
      <c r="I1694" s="32" t="str">
        <f t="shared" si="2"/>
        <v/>
      </c>
      <c r="J1694" s="33" t="str">
        <f t="shared" si="3"/>
        <v/>
      </c>
    </row>
    <row r="1695" ht="15.75" customHeight="1">
      <c r="A1695" s="22" t="s">
        <v>113</v>
      </c>
      <c r="B1695" s="22" t="str">
        <f>IF(MOV_CC_NACIONAL!A1695="","",MOV_CC_NACIONAL!A1695)</f>
        <v/>
      </c>
      <c r="C1695" s="22" t="str">
        <f>IF(MOV_CC_NACIONAL!B1695="","",MOV_CC_NACIONAL!B1695)</f>
        <v/>
      </c>
      <c r="D1695" s="34" t="str">
        <f>IF(MOV_CC_NACIONAL!C1695="","",MOV_CC_NACIONAL!C1695)</f>
        <v/>
      </c>
      <c r="E1695" s="22" t="str">
        <f t="shared" si="1"/>
        <v/>
      </c>
      <c r="F1695" s="22" t="str">
        <f>IFERROR(__xludf.DUMMYFUNCTION("IF(C1695="""","""", OR(REGEXMATCH(LOWER(C1695),""cuota""), REGEXMATCH(C1695,""\d+\s*/\s*\d+"")))"),"")</f>
        <v/>
      </c>
      <c r="G1695" s="22" t="str">
        <f>IFERROR(__xludf.DUMMYFUNCTION("IFERROR(VALUE(REGEXEXTRACT(C1695,""(\d+)\s*/\s*\d+"")),"""")"),"")</f>
        <v/>
      </c>
      <c r="H1695" s="22" t="str">
        <f>IFERROR(__xludf.DUMMYFUNCTION("IFERROR(VALUE(REGEXEXTRACT(C1695,""\d+\s*/\s*(\d+)"")),"""")"),"")</f>
        <v/>
      </c>
      <c r="I1695" s="22" t="str">
        <f t="shared" si="2"/>
        <v/>
      </c>
      <c r="J1695" s="34" t="str">
        <f t="shared" si="3"/>
        <v/>
      </c>
    </row>
    <row r="1696" ht="15.75" customHeight="1">
      <c r="A1696" s="32" t="s">
        <v>113</v>
      </c>
      <c r="B1696" s="32" t="str">
        <f>IF(MOV_CC_NACIONAL!A1696="","",MOV_CC_NACIONAL!A1696)</f>
        <v/>
      </c>
      <c r="C1696" s="32" t="str">
        <f>IF(MOV_CC_NACIONAL!B1696="","",MOV_CC_NACIONAL!B1696)</f>
        <v/>
      </c>
      <c r="D1696" s="33" t="str">
        <f>IF(MOV_CC_NACIONAL!C1696="","",MOV_CC_NACIONAL!C1696)</f>
        <v/>
      </c>
      <c r="E1696" s="32" t="str">
        <f t="shared" si="1"/>
        <v/>
      </c>
      <c r="F1696" s="32" t="str">
        <f>IFERROR(__xludf.DUMMYFUNCTION("IF(C1696="""","""", OR(REGEXMATCH(LOWER(C1696),""cuota""), REGEXMATCH(C1696,""\d+\s*/\s*\d+"")))"),"")</f>
        <v/>
      </c>
      <c r="G1696" s="32" t="str">
        <f>IFERROR(__xludf.DUMMYFUNCTION("IFERROR(VALUE(REGEXEXTRACT(C1696,""(\d+)\s*/\s*\d+"")),"""")"),"")</f>
        <v/>
      </c>
      <c r="H1696" s="32" t="str">
        <f>IFERROR(__xludf.DUMMYFUNCTION("IFERROR(VALUE(REGEXEXTRACT(C1696,""\d+\s*/\s*(\d+)"")),"""")"),"")</f>
        <v/>
      </c>
      <c r="I1696" s="32" t="str">
        <f t="shared" si="2"/>
        <v/>
      </c>
      <c r="J1696" s="33" t="str">
        <f t="shared" si="3"/>
        <v/>
      </c>
    </row>
    <row r="1697" ht="15.75" customHeight="1">
      <c r="A1697" s="22" t="s">
        <v>113</v>
      </c>
      <c r="B1697" s="22" t="str">
        <f>IF(MOV_CC_NACIONAL!A1697="","",MOV_CC_NACIONAL!A1697)</f>
        <v/>
      </c>
      <c r="C1697" s="22" t="str">
        <f>IF(MOV_CC_NACIONAL!B1697="","",MOV_CC_NACIONAL!B1697)</f>
        <v/>
      </c>
      <c r="D1697" s="34" t="str">
        <f>IF(MOV_CC_NACIONAL!C1697="","",MOV_CC_NACIONAL!C1697)</f>
        <v/>
      </c>
      <c r="E1697" s="22" t="str">
        <f t="shared" si="1"/>
        <v/>
      </c>
      <c r="F1697" s="22" t="str">
        <f>IFERROR(__xludf.DUMMYFUNCTION("IF(C1697="""","""", OR(REGEXMATCH(LOWER(C1697),""cuota""), REGEXMATCH(C1697,""\d+\s*/\s*\d+"")))"),"")</f>
        <v/>
      </c>
      <c r="G1697" s="22" t="str">
        <f>IFERROR(__xludf.DUMMYFUNCTION("IFERROR(VALUE(REGEXEXTRACT(C1697,""(\d+)\s*/\s*\d+"")),"""")"),"")</f>
        <v/>
      </c>
      <c r="H1697" s="22" t="str">
        <f>IFERROR(__xludf.DUMMYFUNCTION("IFERROR(VALUE(REGEXEXTRACT(C1697,""\d+\s*/\s*(\d+)"")),"""")"),"")</f>
        <v/>
      </c>
      <c r="I1697" s="22" t="str">
        <f t="shared" si="2"/>
        <v/>
      </c>
      <c r="J1697" s="34" t="str">
        <f t="shared" si="3"/>
        <v/>
      </c>
    </row>
    <row r="1698" ht="15.75" customHeight="1">
      <c r="A1698" s="32" t="s">
        <v>113</v>
      </c>
      <c r="B1698" s="32" t="str">
        <f>IF(MOV_CC_NACIONAL!A1698="","",MOV_CC_NACIONAL!A1698)</f>
        <v/>
      </c>
      <c r="C1698" s="32" t="str">
        <f>IF(MOV_CC_NACIONAL!B1698="","",MOV_CC_NACIONAL!B1698)</f>
        <v/>
      </c>
      <c r="D1698" s="33" t="str">
        <f>IF(MOV_CC_NACIONAL!C1698="","",MOV_CC_NACIONAL!C1698)</f>
        <v/>
      </c>
      <c r="E1698" s="32" t="str">
        <f t="shared" si="1"/>
        <v/>
      </c>
      <c r="F1698" s="32" t="str">
        <f>IFERROR(__xludf.DUMMYFUNCTION("IF(C1698="""","""", OR(REGEXMATCH(LOWER(C1698),""cuota""), REGEXMATCH(C1698,""\d+\s*/\s*\d+"")))"),"")</f>
        <v/>
      </c>
      <c r="G1698" s="32" t="str">
        <f>IFERROR(__xludf.DUMMYFUNCTION("IFERROR(VALUE(REGEXEXTRACT(C1698,""(\d+)\s*/\s*\d+"")),"""")"),"")</f>
        <v/>
      </c>
      <c r="H1698" s="32" t="str">
        <f>IFERROR(__xludf.DUMMYFUNCTION("IFERROR(VALUE(REGEXEXTRACT(C1698,""\d+\s*/\s*(\d+)"")),"""")"),"")</f>
        <v/>
      </c>
      <c r="I1698" s="32" t="str">
        <f t="shared" si="2"/>
        <v/>
      </c>
      <c r="J1698" s="33" t="str">
        <f t="shared" si="3"/>
        <v/>
      </c>
    </row>
    <row r="1699" ht="15.75" customHeight="1">
      <c r="A1699" s="22" t="s">
        <v>113</v>
      </c>
      <c r="B1699" s="22" t="str">
        <f>IF(MOV_CC_NACIONAL!A1699="","",MOV_CC_NACIONAL!A1699)</f>
        <v/>
      </c>
      <c r="C1699" s="22" t="str">
        <f>IF(MOV_CC_NACIONAL!B1699="","",MOV_CC_NACIONAL!B1699)</f>
        <v/>
      </c>
      <c r="D1699" s="34" t="str">
        <f>IF(MOV_CC_NACIONAL!C1699="","",MOV_CC_NACIONAL!C1699)</f>
        <v/>
      </c>
      <c r="E1699" s="22" t="str">
        <f t="shared" si="1"/>
        <v/>
      </c>
      <c r="F1699" s="22" t="str">
        <f>IFERROR(__xludf.DUMMYFUNCTION("IF(C1699="""","""", OR(REGEXMATCH(LOWER(C1699),""cuota""), REGEXMATCH(C1699,""\d+\s*/\s*\d+"")))"),"")</f>
        <v/>
      </c>
      <c r="G1699" s="22" t="str">
        <f>IFERROR(__xludf.DUMMYFUNCTION("IFERROR(VALUE(REGEXEXTRACT(C1699,""(\d+)\s*/\s*\d+"")),"""")"),"")</f>
        <v/>
      </c>
      <c r="H1699" s="22" t="str">
        <f>IFERROR(__xludf.DUMMYFUNCTION("IFERROR(VALUE(REGEXEXTRACT(C1699,""\d+\s*/\s*(\d+)"")),"""")"),"")</f>
        <v/>
      </c>
      <c r="I1699" s="22" t="str">
        <f t="shared" si="2"/>
        <v/>
      </c>
      <c r="J1699" s="34" t="str">
        <f t="shared" si="3"/>
        <v/>
      </c>
    </row>
    <row r="1700" ht="15.75" customHeight="1">
      <c r="A1700" s="32" t="s">
        <v>113</v>
      </c>
      <c r="B1700" s="32" t="str">
        <f>IF(MOV_CC_NACIONAL!A1700="","",MOV_CC_NACIONAL!A1700)</f>
        <v/>
      </c>
      <c r="C1700" s="32" t="str">
        <f>IF(MOV_CC_NACIONAL!B1700="","",MOV_CC_NACIONAL!B1700)</f>
        <v/>
      </c>
      <c r="D1700" s="33" t="str">
        <f>IF(MOV_CC_NACIONAL!C1700="","",MOV_CC_NACIONAL!C1700)</f>
        <v/>
      </c>
      <c r="E1700" s="32" t="str">
        <f t="shared" si="1"/>
        <v/>
      </c>
      <c r="F1700" s="32" t="str">
        <f>IFERROR(__xludf.DUMMYFUNCTION("IF(C1700="""","""", OR(REGEXMATCH(LOWER(C1700),""cuota""), REGEXMATCH(C1700,""\d+\s*/\s*\d+"")))"),"")</f>
        <v/>
      </c>
      <c r="G1700" s="32" t="str">
        <f>IFERROR(__xludf.DUMMYFUNCTION("IFERROR(VALUE(REGEXEXTRACT(C1700,""(\d+)\s*/\s*\d+"")),"""")"),"")</f>
        <v/>
      </c>
      <c r="H1700" s="32" t="str">
        <f>IFERROR(__xludf.DUMMYFUNCTION("IFERROR(VALUE(REGEXEXTRACT(C1700,""\d+\s*/\s*(\d+)"")),"""")"),"")</f>
        <v/>
      </c>
      <c r="I1700" s="32" t="str">
        <f t="shared" si="2"/>
        <v/>
      </c>
      <c r="J1700" s="33" t="str">
        <f t="shared" si="3"/>
        <v/>
      </c>
    </row>
    <row r="1701" ht="15.75" customHeight="1">
      <c r="A1701" s="22" t="s">
        <v>113</v>
      </c>
      <c r="B1701" s="22" t="str">
        <f>IF(MOV_CC_NACIONAL!A1701="","",MOV_CC_NACIONAL!A1701)</f>
        <v/>
      </c>
      <c r="C1701" s="22" t="str">
        <f>IF(MOV_CC_NACIONAL!B1701="","",MOV_CC_NACIONAL!B1701)</f>
        <v/>
      </c>
      <c r="D1701" s="34" t="str">
        <f>IF(MOV_CC_NACIONAL!C1701="","",MOV_CC_NACIONAL!C1701)</f>
        <v/>
      </c>
      <c r="E1701" s="22" t="str">
        <f t="shared" si="1"/>
        <v/>
      </c>
      <c r="F1701" s="22" t="str">
        <f>IFERROR(__xludf.DUMMYFUNCTION("IF(C1701="""","""", OR(REGEXMATCH(LOWER(C1701),""cuota""), REGEXMATCH(C1701,""\d+\s*/\s*\d+"")))"),"")</f>
        <v/>
      </c>
      <c r="G1701" s="22" t="str">
        <f>IFERROR(__xludf.DUMMYFUNCTION("IFERROR(VALUE(REGEXEXTRACT(C1701,""(\d+)\s*/\s*\d+"")),"""")"),"")</f>
        <v/>
      </c>
      <c r="H1701" s="22" t="str">
        <f>IFERROR(__xludf.DUMMYFUNCTION("IFERROR(VALUE(REGEXEXTRACT(C1701,""\d+\s*/\s*(\d+)"")),"""")"),"")</f>
        <v/>
      </c>
      <c r="I1701" s="22" t="str">
        <f t="shared" si="2"/>
        <v/>
      </c>
      <c r="J1701" s="34" t="str">
        <f t="shared" si="3"/>
        <v/>
      </c>
    </row>
    <row r="1702" ht="15.75" customHeight="1">
      <c r="A1702" s="32" t="s">
        <v>113</v>
      </c>
      <c r="B1702" s="32" t="str">
        <f>IF(MOV_CC_NACIONAL!A1702="","",MOV_CC_NACIONAL!A1702)</f>
        <v/>
      </c>
      <c r="C1702" s="32" t="str">
        <f>IF(MOV_CC_NACIONAL!B1702="","",MOV_CC_NACIONAL!B1702)</f>
        <v/>
      </c>
      <c r="D1702" s="33" t="str">
        <f>IF(MOV_CC_NACIONAL!C1702="","",MOV_CC_NACIONAL!C1702)</f>
        <v/>
      </c>
      <c r="E1702" s="32" t="str">
        <f t="shared" si="1"/>
        <v/>
      </c>
      <c r="F1702" s="32" t="str">
        <f>IFERROR(__xludf.DUMMYFUNCTION("IF(C1702="""","""", OR(REGEXMATCH(LOWER(C1702),""cuota""), REGEXMATCH(C1702,""\d+\s*/\s*\d+"")))"),"")</f>
        <v/>
      </c>
      <c r="G1702" s="32" t="str">
        <f>IFERROR(__xludf.DUMMYFUNCTION("IFERROR(VALUE(REGEXEXTRACT(C1702,""(\d+)\s*/\s*\d+"")),"""")"),"")</f>
        <v/>
      </c>
      <c r="H1702" s="32" t="str">
        <f>IFERROR(__xludf.DUMMYFUNCTION("IFERROR(VALUE(REGEXEXTRACT(C1702,""\d+\s*/\s*(\d+)"")),"""")"),"")</f>
        <v/>
      </c>
      <c r="I1702" s="32" t="str">
        <f t="shared" si="2"/>
        <v/>
      </c>
      <c r="J1702" s="33" t="str">
        <f t="shared" si="3"/>
        <v/>
      </c>
    </row>
    <row r="1703" ht="15.75" customHeight="1">
      <c r="A1703" s="22" t="s">
        <v>113</v>
      </c>
      <c r="B1703" s="22" t="str">
        <f>IF(MOV_CC_NACIONAL!A1703="","",MOV_CC_NACIONAL!A1703)</f>
        <v/>
      </c>
      <c r="C1703" s="22" t="str">
        <f>IF(MOV_CC_NACIONAL!B1703="","",MOV_CC_NACIONAL!B1703)</f>
        <v/>
      </c>
      <c r="D1703" s="34" t="str">
        <f>IF(MOV_CC_NACIONAL!C1703="","",MOV_CC_NACIONAL!C1703)</f>
        <v/>
      </c>
      <c r="E1703" s="22" t="str">
        <f t="shared" si="1"/>
        <v/>
      </c>
      <c r="F1703" s="22" t="str">
        <f>IFERROR(__xludf.DUMMYFUNCTION("IF(C1703="""","""", OR(REGEXMATCH(LOWER(C1703),""cuota""), REGEXMATCH(C1703,""\d+\s*/\s*\d+"")))"),"")</f>
        <v/>
      </c>
      <c r="G1703" s="22" t="str">
        <f>IFERROR(__xludf.DUMMYFUNCTION("IFERROR(VALUE(REGEXEXTRACT(C1703,""(\d+)\s*/\s*\d+"")),"""")"),"")</f>
        <v/>
      </c>
      <c r="H1703" s="22" t="str">
        <f>IFERROR(__xludf.DUMMYFUNCTION("IFERROR(VALUE(REGEXEXTRACT(C1703,""\d+\s*/\s*(\d+)"")),"""")"),"")</f>
        <v/>
      </c>
      <c r="I1703" s="22" t="str">
        <f t="shared" si="2"/>
        <v/>
      </c>
      <c r="J1703" s="34" t="str">
        <f t="shared" si="3"/>
        <v/>
      </c>
    </row>
    <row r="1704" ht="15.75" customHeight="1">
      <c r="A1704" s="32" t="s">
        <v>113</v>
      </c>
      <c r="B1704" s="32" t="str">
        <f>IF(MOV_CC_NACIONAL!A1704="","",MOV_CC_NACIONAL!A1704)</f>
        <v/>
      </c>
      <c r="C1704" s="32" t="str">
        <f>IF(MOV_CC_NACIONAL!B1704="","",MOV_CC_NACIONAL!B1704)</f>
        <v/>
      </c>
      <c r="D1704" s="33" t="str">
        <f>IF(MOV_CC_NACIONAL!C1704="","",MOV_CC_NACIONAL!C1704)</f>
        <v/>
      </c>
      <c r="E1704" s="32" t="str">
        <f t="shared" si="1"/>
        <v/>
      </c>
      <c r="F1704" s="32" t="str">
        <f>IFERROR(__xludf.DUMMYFUNCTION("IF(C1704="""","""", OR(REGEXMATCH(LOWER(C1704),""cuota""), REGEXMATCH(C1704,""\d+\s*/\s*\d+"")))"),"")</f>
        <v/>
      </c>
      <c r="G1704" s="32" t="str">
        <f>IFERROR(__xludf.DUMMYFUNCTION("IFERROR(VALUE(REGEXEXTRACT(C1704,""(\d+)\s*/\s*\d+"")),"""")"),"")</f>
        <v/>
      </c>
      <c r="H1704" s="32" t="str">
        <f>IFERROR(__xludf.DUMMYFUNCTION("IFERROR(VALUE(REGEXEXTRACT(C1704,""\d+\s*/\s*(\d+)"")),"""")"),"")</f>
        <v/>
      </c>
      <c r="I1704" s="32" t="str">
        <f t="shared" si="2"/>
        <v/>
      </c>
      <c r="J1704" s="33" t="str">
        <f t="shared" si="3"/>
        <v/>
      </c>
    </row>
    <row r="1705" ht="15.75" customHeight="1">
      <c r="A1705" s="22" t="s">
        <v>113</v>
      </c>
      <c r="B1705" s="22" t="str">
        <f>IF(MOV_CC_NACIONAL!A1705="","",MOV_CC_NACIONAL!A1705)</f>
        <v/>
      </c>
      <c r="C1705" s="22" t="str">
        <f>IF(MOV_CC_NACIONAL!B1705="","",MOV_CC_NACIONAL!B1705)</f>
        <v/>
      </c>
      <c r="D1705" s="34" t="str">
        <f>IF(MOV_CC_NACIONAL!C1705="","",MOV_CC_NACIONAL!C1705)</f>
        <v/>
      </c>
      <c r="E1705" s="22" t="str">
        <f t="shared" si="1"/>
        <v/>
      </c>
      <c r="F1705" s="22" t="str">
        <f>IFERROR(__xludf.DUMMYFUNCTION("IF(C1705="""","""", OR(REGEXMATCH(LOWER(C1705),""cuota""), REGEXMATCH(C1705,""\d+\s*/\s*\d+"")))"),"")</f>
        <v/>
      </c>
      <c r="G1705" s="22" t="str">
        <f>IFERROR(__xludf.DUMMYFUNCTION("IFERROR(VALUE(REGEXEXTRACT(C1705,""(\d+)\s*/\s*\d+"")),"""")"),"")</f>
        <v/>
      </c>
      <c r="H1705" s="22" t="str">
        <f>IFERROR(__xludf.DUMMYFUNCTION("IFERROR(VALUE(REGEXEXTRACT(C1705,""\d+\s*/\s*(\d+)"")),"""")"),"")</f>
        <v/>
      </c>
      <c r="I1705" s="22" t="str">
        <f t="shared" si="2"/>
        <v/>
      </c>
      <c r="J1705" s="34" t="str">
        <f t="shared" si="3"/>
        <v/>
      </c>
    </row>
    <row r="1706" ht="15.75" customHeight="1">
      <c r="A1706" s="32" t="s">
        <v>113</v>
      </c>
      <c r="B1706" s="32" t="str">
        <f>IF(MOV_CC_NACIONAL!A1706="","",MOV_CC_NACIONAL!A1706)</f>
        <v/>
      </c>
      <c r="C1706" s="32" t="str">
        <f>IF(MOV_CC_NACIONAL!B1706="","",MOV_CC_NACIONAL!B1706)</f>
        <v/>
      </c>
      <c r="D1706" s="33" t="str">
        <f>IF(MOV_CC_NACIONAL!C1706="","",MOV_CC_NACIONAL!C1706)</f>
        <v/>
      </c>
      <c r="E1706" s="32" t="str">
        <f t="shared" si="1"/>
        <v/>
      </c>
      <c r="F1706" s="32" t="str">
        <f>IFERROR(__xludf.DUMMYFUNCTION("IF(C1706="""","""", OR(REGEXMATCH(LOWER(C1706),""cuota""), REGEXMATCH(C1706,""\d+\s*/\s*\d+"")))"),"")</f>
        <v/>
      </c>
      <c r="G1706" s="32" t="str">
        <f>IFERROR(__xludf.DUMMYFUNCTION("IFERROR(VALUE(REGEXEXTRACT(C1706,""(\d+)\s*/\s*\d+"")),"""")"),"")</f>
        <v/>
      </c>
      <c r="H1706" s="32" t="str">
        <f>IFERROR(__xludf.DUMMYFUNCTION("IFERROR(VALUE(REGEXEXTRACT(C1706,""\d+\s*/\s*(\d+)"")),"""")"),"")</f>
        <v/>
      </c>
      <c r="I1706" s="32" t="str">
        <f t="shared" si="2"/>
        <v/>
      </c>
      <c r="J1706" s="33" t="str">
        <f t="shared" si="3"/>
        <v/>
      </c>
    </row>
    <row r="1707" ht="15.75" customHeight="1">
      <c r="A1707" s="22" t="s">
        <v>113</v>
      </c>
      <c r="B1707" s="22" t="str">
        <f>IF(MOV_CC_NACIONAL!A1707="","",MOV_CC_NACIONAL!A1707)</f>
        <v/>
      </c>
      <c r="C1707" s="22" t="str">
        <f>IF(MOV_CC_NACIONAL!B1707="","",MOV_CC_NACIONAL!B1707)</f>
        <v/>
      </c>
      <c r="D1707" s="34" t="str">
        <f>IF(MOV_CC_NACIONAL!C1707="","",MOV_CC_NACIONAL!C1707)</f>
        <v/>
      </c>
      <c r="E1707" s="22" t="str">
        <f t="shared" si="1"/>
        <v/>
      </c>
      <c r="F1707" s="22" t="str">
        <f>IFERROR(__xludf.DUMMYFUNCTION("IF(C1707="""","""", OR(REGEXMATCH(LOWER(C1707),""cuota""), REGEXMATCH(C1707,""\d+\s*/\s*\d+"")))"),"")</f>
        <v/>
      </c>
      <c r="G1707" s="22" t="str">
        <f>IFERROR(__xludf.DUMMYFUNCTION("IFERROR(VALUE(REGEXEXTRACT(C1707,""(\d+)\s*/\s*\d+"")),"""")"),"")</f>
        <v/>
      </c>
      <c r="H1707" s="22" t="str">
        <f>IFERROR(__xludf.DUMMYFUNCTION("IFERROR(VALUE(REGEXEXTRACT(C1707,""\d+\s*/\s*(\d+)"")),"""")"),"")</f>
        <v/>
      </c>
      <c r="I1707" s="22" t="str">
        <f t="shared" si="2"/>
        <v/>
      </c>
      <c r="J1707" s="34" t="str">
        <f t="shared" si="3"/>
        <v/>
      </c>
    </row>
    <row r="1708" ht="15.75" customHeight="1">
      <c r="A1708" s="32" t="s">
        <v>113</v>
      </c>
      <c r="B1708" s="32" t="str">
        <f>IF(MOV_CC_NACIONAL!A1708="","",MOV_CC_NACIONAL!A1708)</f>
        <v/>
      </c>
      <c r="C1708" s="32" t="str">
        <f>IF(MOV_CC_NACIONAL!B1708="","",MOV_CC_NACIONAL!B1708)</f>
        <v/>
      </c>
      <c r="D1708" s="33" t="str">
        <f>IF(MOV_CC_NACIONAL!C1708="","",MOV_CC_NACIONAL!C1708)</f>
        <v/>
      </c>
      <c r="E1708" s="32" t="str">
        <f t="shared" si="1"/>
        <v/>
      </c>
      <c r="F1708" s="32" t="str">
        <f>IFERROR(__xludf.DUMMYFUNCTION("IF(C1708="""","""", OR(REGEXMATCH(LOWER(C1708),""cuota""), REGEXMATCH(C1708,""\d+\s*/\s*\d+"")))"),"")</f>
        <v/>
      </c>
      <c r="G1708" s="32" t="str">
        <f>IFERROR(__xludf.DUMMYFUNCTION("IFERROR(VALUE(REGEXEXTRACT(C1708,""(\d+)\s*/\s*\d+"")),"""")"),"")</f>
        <v/>
      </c>
      <c r="H1708" s="32" t="str">
        <f>IFERROR(__xludf.DUMMYFUNCTION("IFERROR(VALUE(REGEXEXTRACT(C1708,""\d+\s*/\s*(\d+)"")),"""")"),"")</f>
        <v/>
      </c>
      <c r="I1708" s="32" t="str">
        <f t="shared" si="2"/>
        <v/>
      </c>
      <c r="J1708" s="33" t="str">
        <f t="shared" si="3"/>
        <v/>
      </c>
    </row>
    <row r="1709" ht="15.75" customHeight="1">
      <c r="A1709" s="22" t="s">
        <v>113</v>
      </c>
      <c r="B1709" s="22" t="str">
        <f>IF(MOV_CC_NACIONAL!A1709="","",MOV_CC_NACIONAL!A1709)</f>
        <v/>
      </c>
      <c r="C1709" s="22" t="str">
        <f>IF(MOV_CC_NACIONAL!B1709="","",MOV_CC_NACIONAL!B1709)</f>
        <v/>
      </c>
      <c r="D1709" s="34" t="str">
        <f>IF(MOV_CC_NACIONAL!C1709="","",MOV_CC_NACIONAL!C1709)</f>
        <v/>
      </c>
      <c r="E1709" s="22" t="str">
        <f t="shared" si="1"/>
        <v/>
      </c>
      <c r="F1709" s="22" t="str">
        <f>IFERROR(__xludf.DUMMYFUNCTION("IF(C1709="""","""", OR(REGEXMATCH(LOWER(C1709),""cuota""), REGEXMATCH(C1709,""\d+\s*/\s*\d+"")))"),"")</f>
        <v/>
      </c>
      <c r="G1709" s="22" t="str">
        <f>IFERROR(__xludf.DUMMYFUNCTION("IFERROR(VALUE(REGEXEXTRACT(C1709,""(\d+)\s*/\s*\d+"")),"""")"),"")</f>
        <v/>
      </c>
      <c r="H1709" s="22" t="str">
        <f>IFERROR(__xludf.DUMMYFUNCTION("IFERROR(VALUE(REGEXEXTRACT(C1709,""\d+\s*/\s*(\d+)"")),"""")"),"")</f>
        <v/>
      </c>
      <c r="I1709" s="22" t="str">
        <f t="shared" si="2"/>
        <v/>
      </c>
      <c r="J1709" s="34" t="str">
        <f t="shared" si="3"/>
        <v/>
      </c>
    </row>
    <row r="1710" ht="15.75" customHeight="1">
      <c r="A1710" s="32" t="s">
        <v>113</v>
      </c>
      <c r="B1710" s="32" t="str">
        <f>IF(MOV_CC_NACIONAL!A1710="","",MOV_CC_NACIONAL!A1710)</f>
        <v/>
      </c>
      <c r="C1710" s="32" t="str">
        <f>IF(MOV_CC_NACIONAL!B1710="","",MOV_CC_NACIONAL!B1710)</f>
        <v/>
      </c>
      <c r="D1710" s="33" t="str">
        <f>IF(MOV_CC_NACIONAL!C1710="","",MOV_CC_NACIONAL!C1710)</f>
        <v/>
      </c>
      <c r="E1710" s="32" t="str">
        <f t="shared" si="1"/>
        <v/>
      </c>
      <c r="F1710" s="32" t="str">
        <f>IFERROR(__xludf.DUMMYFUNCTION("IF(C1710="""","""", OR(REGEXMATCH(LOWER(C1710),""cuota""), REGEXMATCH(C1710,""\d+\s*/\s*\d+"")))"),"")</f>
        <v/>
      </c>
      <c r="G1710" s="32" t="str">
        <f>IFERROR(__xludf.DUMMYFUNCTION("IFERROR(VALUE(REGEXEXTRACT(C1710,""(\d+)\s*/\s*\d+"")),"""")"),"")</f>
        <v/>
      </c>
      <c r="H1710" s="32" t="str">
        <f>IFERROR(__xludf.DUMMYFUNCTION("IFERROR(VALUE(REGEXEXTRACT(C1710,""\d+\s*/\s*(\d+)"")),"""")"),"")</f>
        <v/>
      </c>
      <c r="I1710" s="32" t="str">
        <f t="shared" si="2"/>
        <v/>
      </c>
      <c r="J1710" s="33" t="str">
        <f t="shared" si="3"/>
        <v/>
      </c>
    </row>
    <row r="1711" ht="15.75" customHeight="1">
      <c r="A1711" s="22" t="s">
        <v>113</v>
      </c>
      <c r="B1711" s="22" t="str">
        <f>IF(MOV_CC_NACIONAL!A1711="","",MOV_CC_NACIONAL!A1711)</f>
        <v/>
      </c>
      <c r="C1711" s="22" t="str">
        <f>IF(MOV_CC_NACIONAL!B1711="","",MOV_CC_NACIONAL!B1711)</f>
        <v/>
      </c>
      <c r="D1711" s="34" t="str">
        <f>IF(MOV_CC_NACIONAL!C1711="","",MOV_CC_NACIONAL!C1711)</f>
        <v/>
      </c>
      <c r="E1711" s="22" t="str">
        <f t="shared" si="1"/>
        <v/>
      </c>
      <c r="F1711" s="22" t="str">
        <f>IFERROR(__xludf.DUMMYFUNCTION("IF(C1711="""","""", OR(REGEXMATCH(LOWER(C1711),""cuota""), REGEXMATCH(C1711,""\d+\s*/\s*\d+"")))"),"")</f>
        <v/>
      </c>
      <c r="G1711" s="22" t="str">
        <f>IFERROR(__xludf.DUMMYFUNCTION("IFERROR(VALUE(REGEXEXTRACT(C1711,""(\d+)\s*/\s*\d+"")),"""")"),"")</f>
        <v/>
      </c>
      <c r="H1711" s="22" t="str">
        <f>IFERROR(__xludf.DUMMYFUNCTION("IFERROR(VALUE(REGEXEXTRACT(C1711,""\d+\s*/\s*(\d+)"")),"""")"),"")</f>
        <v/>
      </c>
      <c r="I1711" s="22" t="str">
        <f t="shared" si="2"/>
        <v/>
      </c>
      <c r="J1711" s="34" t="str">
        <f t="shared" si="3"/>
        <v/>
      </c>
    </row>
    <row r="1712" ht="15.75" customHeight="1">
      <c r="A1712" s="32" t="s">
        <v>113</v>
      </c>
      <c r="B1712" s="32" t="str">
        <f>IF(MOV_CC_NACIONAL!A1712="","",MOV_CC_NACIONAL!A1712)</f>
        <v/>
      </c>
      <c r="C1712" s="32" t="str">
        <f>IF(MOV_CC_NACIONAL!B1712="","",MOV_CC_NACIONAL!B1712)</f>
        <v/>
      </c>
      <c r="D1712" s="33" t="str">
        <f>IF(MOV_CC_NACIONAL!C1712="","",MOV_CC_NACIONAL!C1712)</f>
        <v/>
      </c>
      <c r="E1712" s="32" t="str">
        <f t="shared" si="1"/>
        <v/>
      </c>
      <c r="F1712" s="32" t="str">
        <f>IFERROR(__xludf.DUMMYFUNCTION("IF(C1712="""","""", OR(REGEXMATCH(LOWER(C1712),""cuota""), REGEXMATCH(C1712,""\d+\s*/\s*\d+"")))"),"")</f>
        <v/>
      </c>
      <c r="G1712" s="32" t="str">
        <f>IFERROR(__xludf.DUMMYFUNCTION("IFERROR(VALUE(REGEXEXTRACT(C1712,""(\d+)\s*/\s*\d+"")),"""")"),"")</f>
        <v/>
      </c>
      <c r="H1712" s="32" t="str">
        <f>IFERROR(__xludf.DUMMYFUNCTION("IFERROR(VALUE(REGEXEXTRACT(C1712,""\d+\s*/\s*(\d+)"")),"""")"),"")</f>
        <v/>
      </c>
      <c r="I1712" s="32" t="str">
        <f t="shared" si="2"/>
        <v/>
      </c>
      <c r="J1712" s="33" t="str">
        <f t="shared" si="3"/>
        <v/>
      </c>
    </row>
    <row r="1713" ht="15.75" customHeight="1">
      <c r="A1713" s="22" t="s">
        <v>113</v>
      </c>
      <c r="B1713" s="22" t="str">
        <f>IF(MOV_CC_NACIONAL!A1713="","",MOV_CC_NACIONAL!A1713)</f>
        <v/>
      </c>
      <c r="C1713" s="22" t="str">
        <f>IF(MOV_CC_NACIONAL!B1713="","",MOV_CC_NACIONAL!B1713)</f>
        <v/>
      </c>
      <c r="D1713" s="34" t="str">
        <f>IF(MOV_CC_NACIONAL!C1713="","",MOV_CC_NACIONAL!C1713)</f>
        <v/>
      </c>
      <c r="E1713" s="22" t="str">
        <f t="shared" si="1"/>
        <v/>
      </c>
      <c r="F1713" s="22" t="str">
        <f>IFERROR(__xludf.DUMMYFUNCTION("IF(C1713="""","""", OR(REGEXMATCH(LOWER(C1713),""cuota""), REGEXMATCH(C1713,""\d+\s*/\s*\d+"")))"),"")</f>
        <v/>
      </c>
      <c r="G1713" s="22" t="str">
        <f>IFERROR(__xludf.DUMMYFUNCTION("IFERROR(VALUE(REGEXEXTRACT(C1713,""(\d+)\s*/\s*\d+"")),"""")"),"")</f>
        <v/>
      </c>
      <c r="H1713" s="22" t="str">
        <f>IFERROR(__xludf.DUMMYFUNCTION("IFERROR(VALUE(REGEXEXTRACT(C1713,""\d+\s*/\s*(\d+)"")),"""")"),"")</f>
        <v/>
      </c>
      <c r="I1713" s="22" t="str">
        <f t="shared" si="2"/>
        <v/>
      </c>
      <c r="J1713" s="34" t="str">
        <f t="shared" si="3"/>
        <v/>
      </c>
    </row>
    <row r="1714" ht="15.75" customHeight="1">
      <c r="A1714" s="32" t="s">
        <v>113</v>
      </c>
      <c r="B1714" s="32" t="str">
        <f>IF(MOV_CC_NACIONAL!A1714="","",MOV_CC_NACIONAL!A1714)</f>
        <v/>
      </c>
      <c r="C1714" s="32" t="str">
        <f>IF(MOV_CC_NACIONAL!B1714="","",MOV_CC_NACIONAL!B1714)</f>
        <v/>
      </c>
      <c r="D1714" s="33" t="str">
        <f>IF(MOV_CC_NACIONAL!C1714="","",MOV_CC_NACIONAL!C1714)</f>
        <v/>
      </c>
      <c r="E1714" s="32" t="str">
        <f t="shared" si="1"/>
        <v/>
      </c>
      <c r="F1714" s="32" t="str">
        <f>IFERROR(__xludf.DUMMYFUNCTION("IF(C1714="""","""", OR(REGEXMATCH(LOWER(C1714),""cuota""), REGEXMATCH(C1714,""\d+\s*/\s*\d+"")))"),"")</f>
        <v/>
      </c>
      <c r="G1714" s="32" t="str">
        <f>IFERROR(__xludf.DUMMYFUNCTION("IFERROR(VALUE(REGEXEXTRACT(C1714,""(\d+)\s*/\s*\d+"")),"""")"),"")</f>
        <v/>
      </c>
      <c r="H1714" s="32" t="str">
        <f>IFERROR(__xludf.DUMMYFUNCTION("IFERROR(VALUE(REGEXEXTRACT(C1714,""\d+\s*/\s*(\d+)"")),"""")"),"")</f>
        <v/>
      </c>
      <c r="I1714" s="32" t="str">
        <f t="shared" si="2"/>
        <v/>
      </c>
      <c r="J1714" s="33" t="str">
        <f t="shared" si="3"/>
        <v/>
      </c>
    </row>
    <row r="1715" ht="15.75" customHeight="1">
      <c r="A1715" s="22" t="s">
        <v>113</v>
      </c>
      <c r="B1715" s="22" t="str">
        <f>IF(MOV_CC_NACIONAL!A1715="","",MOV_CC_NACIONAL!A1715)</f>
        <v/>
      </c>
      <c r="C1715" s="22" t="str">
        <f>IF(MOV_CC_NACIONAL!B1715="","",MOV_CC_NACIONAL!B1715)</f>
        <v/>
      </c>
      <c r="D1715" s="34" t="str">
        <f>IF(MOV_CC_NACIONAL!C1715="","",MOV_CC_NACIONAL!C1715)</f>
        <v/>
      </c>
      <c r="E1715" s="22" t="str">
        <f t="shared" si="1"/>
        <v/>
      </c>
      <c r="F1715" s="22" t="str">
        <f>IFERROR(__xludf.DUMMYFUNCTION("IF(C1715="""","""", OR(REGEXMATCH(LOWER(C1715),""cuota""), REGEXMATCH(C1715,""\d+\s*/\s*\d+"")))"),"")</f>
        <v/>
      </c>
      <c r="G1715" s="22" t="str">
        <f>IFERROR(__xludf.DUMMYFUNCTION("IFERROR(VALUE(REGEXEXTRACT(C1715,""(\d+)\s*/\s*\d+"")),"""")"),"")</f>
        <v/>
      </c>
      <c r="H1715" s="22" t="str">
        <f>IFERROR(__xludf.DUMMYFUNCTION("IFERROR(VALUE(REGEXEXTRACT(C1715,""\d+\s*/\s*(\d+)"")),"""")"),"")</f>
        <v/>
      </c>
      <c r="I1715" s="22" t="str">
        <f t="shared" si="2"/>
        <v/>
      </c>
      <c r="J1715" s="34" t="str">
        <f t="shared" si="3"/>
        <v/>
      </c>
    </row>
    <row r="1716" ht="15.75" customHeight="1">
      <c r="A1716" s="32" t="s">
        <v>113</v>
      </c>
      <c r="B1716" s="32" t="str">
        <f>IF(MOV_CC_NACIONAL!A1716="","",MOV_CC_NACIONAL!A1716)</f>
        <v/>
      </c>
      <c r="C1716" s="32" t="str">
        <f>IF(MOV_CC_NACIONAL!B1716="","",MOV_CC_NACIONAL!B1716)</f>
        <v/>
      </c>
      <c r="D1716" s="33" t="str">
        <f>IF(MOV_CC_NACIONAL!C1716="","",MOV_CC_NACIONAL!C1716)</f>
        <v/>
      </c>
      <c r="E1716" s="32" t="str">
        <f t="shared" si="1"/>
        <v/>
      </c>
      <c r="F1716" s="32" t="str">
        <f>IFERROR(__xludf.DUMMYFUNCTION("IF(C1716="""","""", OR(REGEXMATCH(LOWER(C1716),""cuota""), REGEXMATCH(C1716,""\d+\s*/\s*\d+"")))"),"")</f>
        <v/>
      </c>
      <c r="G1716" s="32" t="str">
        <f>IFERROR(__xludf.DUMMYFUNCTION("IFERROR(VALUE(REGEXEXTRACT(C1716,""(\d+)\s*/\s*\d+"")),"""")"),"")</f>
        <v/>
      </c>
      <c r="H1716" s="32" t="str">
        <f>IFERROR(__xludf.DUMMYFUNCTION("IFERROR(VALUE(REGEXEXTRACT(C1716,""\d+\s*/\s*(\d+)"")),"""")"),"")</f>
        <v/>
      </c>
      <c r="I1716" s="32" t="str">
        <f t="shared" si="2"/>
        <v/>
      </c>
      <c r="J1716" s="33" t="str">
        <f t="shared" si="3"/>
        <v/>
      </c>
    </row>
    <row r="1717" ht="15.75" customHeight="1">
      <c r="A1717" s="22" t="s">
        <v>113</v>
      </c>
      <c r="B1717" s="22" t="str">
        <f>IF(MOV_CC_NACIONAL!A1717="","",MOV_CC_NACIONAL!A1717)</f>
        <v/>
      </c>
      <c r="C1717" s="22" t="str">
        <f>IF(MOV_CC_NACIONAL!B1717="","",MOV_CC_NACIONAL!B1717)</f>
        <v/>
      </c>
      <c r="D1717" s="34" t="str">
        <f>IF(MOV_CC_NACIONAL!C1717="","",MOV_CC_NACIONAL!C1717)</f>
        <v/>
      </c>
      <c r="E1717" s="22" t="str">
        <f t="shared" si="1"/>
        <v/>
      </c>
      <c r="F1717" s="22" t="str">
        <f>IFERROR(__xludf.DUMMYFUNCTION("IF(C1717="""","""", OR(REGEXMATCH(LOWER(C1717),""cuota""), REGEXMATCH(C1717,""\d+\s*/\s*\d+"")))"),"")</f>
        <v/>
      </c>
      <c r="G1717" s="22" t="str">
        <f>IFERROR(__xludf.DUMMYFUNCTION("IFERROR(VALUE(REGEXEXTRACT(C1717,""(\d+)\s*/\s*\d+"")),"""")"),"")</f>
        <v/>
      </c>
      <c r="H1717" s="22" t="str">
        <f>IFERROR(__xludf.DUMMYFUNCTION("IFERROR(VALUE(REGEXEXTRACT(C1717,""\d+\s*/\s*(\d+)"")),"""")"),"")</f>
        <v/>
      </c>
      <c r="I1717" s="22" t="str">
        <f t="shared" si="2"/>
        <v/>
      </c>
      <c r="J1717" s="34" t="str">
        <f t="shared" si="3"/>
        <v/>
      </c>
    </row>
    <row r="1718" ht="15.75" customHeight="1">
      <c r="A1718" s="32" t="s">
        <v>113</v>
      </c>
      <c r="B1718" s="32" t="str">
        <f>IF(MOV_CC_NACIONAL!A1718="","",MOV_CC_NACIONAL!A1718)</f>
        <v/>
      </c>
      <c r="C1718" s="32" t="str">
        <f>IF(MOV_CC_NACIONAL!B1718="","",MOV_CC_NACIONAL!B1718)</f>
        <v/>
      </c>
      <c r="D1718" s="33" t="str">
        <f>IF(MOV_CC_NACIONAL!C1718="","",MOV_CC_NACIONAL!C1718)</f>
        <v/>
      </c>
      <c r="E1718" s="32" t="str">
        <f t="shared" si="1"/>
        <v/>
      </c>
      <c r="F1718" s="32" t="str">
        <f>IFERROR(__xludf.DUMMYFUNCTION("IF(C1718="""","""", OR(REGEXMATCH(LOWER(C1718),""cuota""), REGEXMATCH(C1718,""\d+\s*/\s*\d+"")))"),"")</f>
        <v/>
      </c>
      <c r="G1718" s="32" t="str">
        <f>IFERROR(__xludf.DUMMYFUNCTION("IFERROR(VALUE(REGEXEXTRACT(C1718,""(\d+)\s*/\s*\d+"")),"""")"),"")</f>
        <v/>
      </c>
      <c r="H1718" s="32" t="str">
        <f>IFERROR(__xludf.DUMMYFUNCTION("IFERROR(VALUE(REGEXEXTRACT(C1718,""\d+\s*/\s*(\d+)"")),"""")"),"")</f>
        <v/>
      </c>
      <c r="I1718" s="32" t="str">
        <f t="shared" si="2"/>
        <v/>
      </c>
      <c r="J1718" s="33" t="str">
        <f t="shared" si="3"/>
        <v/>
      </c>
    </row>
    <row r="1719" ht="15.75" customHeight="1">
      <c r="A1719" s="22" t="s">
        <v>113</v>
      </c>
      <c r="B1719" s="22" t="str">
        <f>IF(MOV_CC_NACIONAL!A1719="","",MOV_CC_NACIONAL!A1719)</f>
        <v/>
      </c>
      <c r="C1719" s="22" t="str">
        <f>IF(MOV_CC_NACIONAL!B1719="","",MOV_CC_NACIONAL!B1719)</f>
        <v/>
      </c>
      <c r="D1719" s="34" t="str">
        <f>IF(MOV_CC_NACIONAL!C1719="","",MOV_CC_NACIONAL!C1719)</f>
        <v/>
      </c>
      <c r="E1719" s="22" t="str">
        <f t="shared" si="1"/>
        <v/>
      </c>
      <c r="F1719" s="22" t="str">
        <f>IFERROR(__xludf.DUMMYFUNCTION("IF(C1719="""","""", OR(REGEXMATCH(LOWER(C1719),""cuota""), REGEXMATCH(C1719,""\d+\s*/\s*\d+"")))"),"")</f>
        <v/>
      </c>
      <c r="G1719" s="22" t="str">
        <f>IFERROR(__xludf.DUMMYFUNCTION("IFERROR(VALUE(REGEXEXTRACT(C1719,""(\d+)\s*/\s*\d+"")),"""")"),"")</f>
        <v/>
      </c>
      <c r="H1719" s="22" t="str">
        <f>IFERROR(__xludf.DUMMYFUNCTION("IFERROR(VALUE(REGEXEXTRACT(C1719,""\d+\s*/\s*(\d+)"")),"""")"),"")</f>
        <v/>
      </c>
      <c r="I1719" s="22" t="str">
        <f t="shared" si="2"/>
        <v/>
      </c>
      <c r="J1719" s="34" t="str">
        <f t="shared" si="3"/>
        <v/>
      </c>
    </row>
    <row r="1720" ht="15.75" customHeight="1">
      <c r="A1720" s="32" t="s">
        <v>113</v>
      </c>
      <c r="B1720" s="32" t="str">
        <f>IF(MOV_CC_NACIONAL!A1720="","",MOV_CC_NACIONAL!A1720)</f>
        <v/>
      </c>
      <c r="C1720" s="32" t="str">
        <f>IF(MOV_CC_NACIONAL!B1720="","",MOV_CC_NACIONAL!B1720)</f>
        <v/>
      </c>
      <c r="D1720" s="33" t="str">
        <f>IF(MOV_CC_NACIONAL!C1720="","",MOV_CC_NACIONAL!C1720)</f>
        <v/>
      </c>
      <c r="E1720" s="32" t="str">
        <f t="shared" si="1"/>
        <v/>
      </c>
      <c r="F1720" s="32" t="str">
        <f>IFERROR(__xludf.DUMMYFUNCTION("IF(C1720="""","""", OR(REGEXMATCH(LOWER(C1720),""cuota""), REGEXMATCH(C1720,""\d+\s*/\s*\d+"")))"),"")</f>
        <v/>
      </c>
      <c r="G1720" s="32" t="str">
        <f>IFERROR(__xludf.DUMMYFUNCTION("IFERROR(VALUE(REGEXEXTRACT(C1720,""(\d+)\s*/\s*\d+"")),"""")"),"")</f>
        <v/>
      </c>
      <c r="H1720" s="32" t="str">
        <f>IFERROR(__xludf.DUMMYFUNCTION("IFERROR(VALUE(REGEXEXTRACT(C1720,""\d+\s*/\s*(\d+)"")),"""")"),"")</f>
        <v/>
      </c>
      <c r="I1720" s="32" t="str">
        <f t="shared" si="2"/>
        <v/>
      </c>
      <c r="J1720" s="33" t="str">
        <f t="shared" si="3"/>
        <v/>
      </c>
    </row>
    <row r="1721" ht="15.75" customHeight="1">
      <c r="A1721" s="22" t="s">
        <v>113</v>
      </c>
      <c r="B1721" s="22" t="str">
        <f>IF(MOV_CC_NACIONAL!A1721="","",MOV_CC_NACIONAL!A1721)</f>
        <v/>
      </c>
      <c r="C1721" s="22" t="str">
        <f>IF(MOV_CC_NACIONAL!B1721="","",MOV_CC_NACIONAL!B1721)</f>
        <v/>
      </c>
      <c r="D1721" s="34" t="str">
        <f>IF(MOV_CC_NACIONAL!C1721="","",MOV_CC_NACIONAL!C1721)</f>
        <v/>
      </c>
      <c r="E1721" s="22" t="str">
        <f t="shared" si="1"/>
        <v/>
      </c>
      <c r="F1721" s="22" t="str">
        <f>IFERROR(__xludf.DUMMYFUNCTION("IF(C1721="""","""", OR(REGEXMATCH(LOWER(C1721),""cuota""), REGEXMATCH(C1721,""\d+\s*/\s*\d+"")))"),"")</f>
        <v/>
      </c>
      <c r="G1721" s="22" t="str">
        <f>IFERROR(__xludf.DUMMYFUNCTION("IFERROR(VALUE(REGEXEXTRACT(C1721,""(\d+)\s*/\s*\d+"")),"""")"),"")</f>
        <v/>
      </c>
      <c r="H1721" s="22" t="str">
        <f>IFERROR(__xludf.DUMMYFUNCTION("IFERROR(VALUE(REGEXEXTRACT(C1721,""\d+\s*/\s*(\d+)"")),"""")"),"")</f>
        <v/>
      </c>
      <c r="I1721" s="22" t="str">
        <f t="shared" si="2"/>
        <v/>
      </c>
      <c r="J1721" s="34" t="str">
        <f t="shared" si="3"/>
        <v/>
      </c>
    </row>
    <row r="1722" ht="15.75" customHeight="1">
      <c r="A1722" s="32" t="s">
        <v>113</v>
      </c>
      <c r="B1722" s="32" t="str">
        <f>IF(MOV_CC_NACIONAL!A1722="","",MOV_CC_NACIONAL!A1722)</f>
        <v/>
      </c>
      <c r="C1722" s="32" t="str">
        <f>IF(MOV_CC_NACIONAL!B1722="","",MOV_CC_NACIONAL!B1722)</f>
        <v/>
      </c>
      <c r="D1722" s="33" t="str">
        <f>IF(MOV_CC_NACIONAL!C1722="","",MOV_CC_NACIONAL!C1722)</f>
        <v/>
      </c>
      <c r="E1722" s="32" t="str">
        <f t="shared" si="1"/>
        <v/>
      </c>
      <c r="F1722" s="32" t="str">
        <f>IFERROR(__xludf.DUMMYFUNCTION("IF(C1722="""","""", OR(REGEXMATCH(LOWER(C1722),""cuota""), REGEXMATCH(C1722,""\d+\s*/\s*\d+"")))"),"")</f>
        <v/>
      </c>
      <c r="G1722" s="32" t="str">
        <f>IFERROR(__xludf.DUMMYFUNCTION("IFERROR(VALUE(REGEXEXTRACT(C1722,""(\d+)\s*/\s*\d+"")),"""")"),"")</f>
        <v/>
      </c>
      <c r="H1722" s="32" t="str">
        <f>IFERROR(__xludf.DUMMYFUNCTION("IFERROR(VALUE(REGEXEXTRACT(C1722,""\d+\s*/\s*(\d+)"")),"""")"),"")</f>
        <v/>
      </c>
      <c r="I1722" s="32" t="str">
        <f t="shared" si="2"/>
        <v/>
      </c>
      <c r="J1722" s="33" t="str">
        <f t="shared" si="3"/>
        <v/>
      </c>
    </row>
    <row r="1723" ht="15.75" customHeight="1">
      <c r="A1723" s="22" t="s">
        <v>113</v>
      </c>
      <c r="B1723" s="22" t="str">
        <f>IF(MOV_CC_NACIONAL!A1723="","",MOV_CC_NACIONAL!A1723)</f>
        <v/>
      </c>
      <c r="C1723" s="22" t="str">
        <f>IF(MOV_CC_NACIONAL!B1723="","",MOV_CC_NACIONAL!B1723)</f>
        <v/>
      </c>
      <c r="D1723" s="34" t="str">
        <f>IF(MOV_CC_NACIONAL!C1723="","",MOV_CC_NACIONAL!C1723)</f>
        <v/>
      </c>
      <c r="E1723" s="22" t="str">
        <f t="shared" si="1"/>
        <v/>
      </c>
      <c r="F1723" s="22" t="str">
        <f>IFERROR(__xludf.DUMMYFUNCTION("IF(C1723="""","""", OR(REGEXMATCH(LOWER(C1723),""cuota""), REGEXMATCH(C1723,""\d+\s*/\s*\d+"")))"),"")</f>
        <v/>
      </c>
      <c r="G1723" s="22" t="str">
        <f>IFERROR(__xludf.DUMMYFUNCTION("IFERROR(VALUE(REGEXEXTRACT(C1723,""(\d+)\s*/\s*\d+"")),"""")"),"")</f>
        <v/>
      </c>
      <c r="H1723" s="22" t="str">
        <f>IFERROR(__xludf.DUMMYFUNCTION("IFERROR(VALUE(REGEXEXTRACT(C1723,""\d+\s*/\s*(\d+)"")),"""")"),"")</f>
        <v/>
      </c>
      <c r="I1723" s="22" t="str">
        <f t="shared" si="2"/>
        <v/>
      </c>
      <c r="J1723" s="34" t="str">
        <f t="shared" si="3"/>
        <v/>
      </c>
    </row>
    <row r="1724" ht="15.75" customHeight="1">
      <c r="A1724" s="32" t="s">
        <v>113</v>
      </c>
      <c r="B1724" s="32" t="str">
        <f>IF(MOV_CC_NACIONAL!A1724="","",MOV_CC_NACIONAL!A1724)</f>
        <v/>
      </c>
      <c r="C1724" s="32" t="str">
        <f>IF(MOV_CC_NACIONAL!B1724="","",MOV_CC_NACIONAL!B1724)</f>
        <v/>
      </c>
      <c r="D1724" s="33" t="str">
        <f>IF(MOV_CC_NACIONAL!C1724="","",MOV_CC_NACIONAL!C1724)</f>
        <v/>
      </c>
      <c r="E1724" s="32" t="str">
        <f t="shared" si="1"/>
        <v/>
      </c>
      <c r="F1724" s="32" t="str">
        <f>IFERROR(__xludf.DUMMYFUNCTION("IF(C1724="""","""", OR(REGEXMATCH(LOWER(C1724),""cuota""), REGEXMATCH(C1724,""\d+\s*/\s*\d+"")))"),"")</f>
        <v/>
      </c>
      <c r="G1724" s="32" t="str">
        <f>IFERROR(__xludf.DUMMYFUNCTION("IFERROR(VALUE(REGEXEXTRACT(C1724,""(\d+)\s*/\s*\d+"")),"""")"),"")</f>
        <v/>
      </c>
      <c r="H1724" s="32" t="str">
        <f>IFERROR(__xludf.DUMMYFUNCTION("IFERROR(VALUE(REGEXEXTRACT(C1724,""\d+\s*/\s*(\d+)"")),"""")"),"")</f>
        <v/>
      </c>
      <c r="I1724" s="32" t="str">
        <f t="shared" si="2"/>
        <v/>
      </c>
      <c r="J1724" s="33" t="str">
        <f t="shared" si="3"/>
        <v/>
      </c>
    </row>
    <row r="1725" ht="15.75" customHeight="1">
      <c r="A1725" s="22" t="s">
        <v>113</v>
      </c>
      <c r="B1725" s="22" t="str">
        <f>IF(MOV_CC_NACIONAL!A1725="","",MOV_CC_NACIONAL!A1725)</f>
        <v/>
      </c>
      <c r="C1725" s="22" t="str">
        <f>IF(MOV_CC_NACIONAL!B1725="","",MOV_CC_NACIONAL!B1725)</f>
        <v/>
      </c>
      <c r="D1725" s="34" t="str">
        <f>IF(MOV_CC_NACIONAL!C1725="","",MOV_CC_NACIONAL!C1725)</f>
        <v/>
      </c>
      <c r="E1725" s="22" t="str">
        <f t="shared" si="1"/>
        <v/>
      </c>
      <c r="F1725" s="22" t="str">
        <f>IFERROR(__xludf.DUMMYFUNCTION("IF(C1725="""","""", OR(REGEXMATCH(LOWER(C1725),""cuota""), REGEXMATCH(C1725,""\d+\s*/\s*\d+"")))"),"")</f>
        <v/>
      </c>
      <c r="G1725" s="22" t="str">
        <f>IFERROR(__xludf.DUMMYFUNCTION("IFERROR(VALUE(REGEXEXTRACT(C1725,""(\d+)\s*/\s*\d+"")),"""")"),"")</f>
        <v/>
      </c>
      <c r="H1725" s="22" t="str">
        <f>IFERROR(__xludf.DUMMYFUNCTION("IFERROR(VALUE(REGEXEXTRACT(C1725,""\d+\s*/\s*(\d+)"")),"""")"),"")</f>
        <v/>
      </c>
      <c r="I1725" s="22" t="str">
        <f t="shared" si="2"/>
        <v/>
      </c>
      <c r="J1725" s="34" t="str">
        <f t="shared" si="3"/>
        <v/>
      </c>
    </row>
    <row r="1726" ht="15.75" customHeight="1">
      <c r="A1726" s="32" t="s">
        <v>113</v>
      </c>
      <c r="B1726" s="32" t="str">
        <f>IF(MOV_CC_NACIONAL!A1726="","",MOV_CC_NACIONAL!A1726)</f>
        <v/>
      </c>
      <c r="C1726" s="32" t="str">
        <f>IF(MOV_CC_NACIONAL!B1726="","",MOV_CC_NACIONAL!B1726)</f>
        <v/>
      </c>
      <c r="D1726" s="33" t="str">
        <f>IF(MOV_CC_NACIONAL!C1726="","",MOV_CC_NACIONAL!C1726)</f>
        <v/>
      </c>
      <c r="E1726" s="32" t="str">
        <f t="shared" si="1"/>
        <v/>
      </c>
      <c r="F1726" s="32" t="str">
        <f>IFERROR(__xludf.DUMMYFUNCTION("IF(C1726="""","""", OR(REGEXMATCH(LOWER(C1726),""cuota""), REGEXMATCH(C1726,""\d+\s*/\s*\d+"")))"),"")</f>
        <v/>
      </c>
      <c r="G1726" s="32" t="str">
        <f>IFERROR(__xludf.DUMMYFUNCTION("IFERROR(VALUE(REGEXEXTRACT(C1726,""(\d+)\s*/\s*\d+"")),"""")"),"")</f>
        <v/>
      </c>
      <c r="H1726" s="32" t="str">
        <f>IFERROR(__xludf.DUMMYFUNCTION("IFERROR(VALUE(REGEXEXTRACT(C1726,""\d+\s*/\s*(\d+)"")),"""")"),"")</f>
        <v/>
      </c>
      <c r="I1726" s="32" t="str">
        <f t="shared" si="2"/>
        <v/>
      </c>
      <c r="J1726" s="33" t="str">
        <f t="shared" si="3"/>
        <v/>
      </c>
    </row>
    <row r="1727" ht="15.75" customHeight="1">
      <c r="A1727" s="22" t="s">
        <v>113</v>
      </c>
      <c r="B1727" s="22" t="str">
        <f>IF(MOV_CC_NACIONAL!A1727="","",MOV_CC_NACIONAL!A1727)</f>
        <v/>
      </c>
      <c r="C1727" s="22" t="str">
        <f>IF(MOV_CC_NACIONAL!B1727="","",MOV_CC_NACIONAL!B1727)</f>
        <v/>
      </c>
      <c r="D1727" s="34" t="str">
        <f>IF(MOV_CC_NACIONAL!C1727="","",MOV_CC_NACIONAL!C1727)</f>
        <v/>
      </c>
      <c r="E1727" s="22" t="str">
        <f t="shared" si="1"/>
        <v/>
      </c>
      <c r="F1727" s="22" t="str">
        <f>IFERROR(__xludf.DUMMYFUNCTION("IF(C1727="""","""", OR(REGEXMATCH(LOWER(C1727),""cuota""), REGEXMATCH(C1727,""\d+\s*/\s*\d+"")))"),"")</f>
        <v/>
      </c>
      <c r="G1727" s="22" t="str">
        <f>IFERROR(__xludf.DUMMYFUNCTION("IFERROR(VALUE(REGEXEXTRACT(C1727,""(\d+)\s*/\s*\d+"")),"""")"),"")</f>
        <v/>
      </c>
      <c r="H1727" s="22" t="str">
        <f>IFERROR(__xludf.DUMMYFUNCTION("IFERROR(VALUE(REGEXEXTRACT(C1727,""\d+\s*/\s*(\d+)"")),"""")"),"")</f>
        <v/>
      </c>
      <c r="I1727" s="22" t="str">
        <f t="shared" si="2"/>
        <v/>
      </c>
      <c r="J1727" s="34" t="str">
        <f t="shared" si="3"/>
        <v/>
      </c>
    </row>
    <row r="1728" ht="15.75" customHeight="1">
      <c r="A1728" s="32" t="s">
        <v>113</v>
      </c>
      <c r="B1728" s="32" t="str">
        <f>IF(MOV_CC_NACIONAL!A1728="","",MOV_CC_NACIONAL!A1728)</f>
        <v/>
      </c>
      <c r="C1728" s="32" t="str">
        <f>IF(MOV_CC_NACIONAL!B1728="","",MOV_CC_NACIONAL!B1728)</f>
        <v/>
      </c>
      <c r="D1728" s="33" t="str">
        <f>IF(MOV_CC_NACIONAL!C1728="","",MOV_CC_NACIONAL!C1728)</f>
        <v/>
      </c>
      <c r="E1728" s="32" t="str">
        <f t="shared" si="1"/>
        <v/>
      </c>
      <c r="F1728" s="32" t="str">
        <f>IFERROR(__xludf.DUMMYFUNCTION("IF(C1728="""","""", OR(REGEXMATCH(LOWER(C1728),""cuota""), REGEXMATCH(C1728,""\d+\s*/\s*\d+"")))"),"")</f>
        <v/>
      </c>
      <c r="G1728" s="32" t="str">
        <f>IFERROR(__xludf.DUMMYFUNCTION("IFERROR(VALUE(REGEXEXTRACT(C1728,""(\d+)\s*/\s*\d+"")),"""")"),"")</f>
        <v/>
      </c>
      <c r="H1728" s="32" t="str">
        <f>IFERROR(__xludf.DUMMYFUNCTION("IFERROR(VALUE(REGEXEXTRACT(C1728,""\d+\s*/\s*(\d+)"")),"""")"),"")</f>
        <v/>
      </c>
      <c r="I1728" s="32" t="str">
        <f t="shared" si="2"/>
        <v/>
      </c>
      <c r="J1728" s="33" t="str">
        <f t="shared" si="3"/>
        <v/>
      </c>
    </row>
    <row r="1729" ht="15.75" customHeight="1">
      <c r="A1729" s="22" t="s">
        <v>113</v>
      </c>
      <c r="B1729" s="22" t="str">
        <f>IF(MOV_CC_NACIONAL!A1729="","",MOV_CC_NACIONAL!A1729)</f>
        <v/>
      </c>
      <c r="C1729" s="22" t="str">
        <f>IF(MOV_CC_NACIONAL!B1729="","",MOV_CC_NACIONAL!B1729)</f>
        <v/>
      </c>
      <c r="D1729" s="34" t="str">
        <f>IF(MOV_CC_NACIONAL!C1729="","",MOV_CC_NACIONAL!C1729)</f>
        <v/>
      </c>
      <c r="E1729" s="22" t="str">
        <f t="shared" si="1"/>
        <v/>
      </c>
      <c r="F1729" s="22" t="str">
        <f>IFERROR(__xludf.DUMMYFUNCTION("IF(C1729="""","""", OR(REGEXMATCH(LOWER(C1729),""cuota""), REGEXMATCH(C1729,""\d+\s*/\s*\d+"")))"),"")</f>
        <v/>
      </c>
      <c r="G1729" s="22" t="str">
        <f>IFERROR(__xludf.DUMMYFUNCTION("IFERROR(VALUE(REGEXEXTRACT(C1729,""(\d+)\s*/\s*\d+"")),"""")"),"")</f>
        <v/>
      </c>
      <c r="H1729" s="22" t="str">
        <f>IFERROR(__xludf.DUMMYFUNCTION("IFERROR(VALUE(REGEXEXTRACT(C1729,""\d+\s*/\s*(\d+)"")),"""")"),"")</f>
        <v/>
      </c>
      <c r="I1729" s="22" t="str">
        <f t="shared" si="2"/>
        <v/>
      </c>
      <c r="J1729" s="34" t="str">
        <f t="shared" si="3"/>
        <v/>
      </c>
    </row>
    <row r="1730" ht="15.75" customHeight="1">
      <c r="A1730" s="32" t="s">
        <v>113</v>
      </c>
      <c r="B1730" s="32" t="str">
        <f>IF(MOV_CC_NACIONAL!A1730="","",MOV_CC_NACIONAL!A1730)</f>
        <v/>
      </c>
      <c r="C1730" s="32" t="str">
        <f>IF(MOV_CC_NACIONAL!B1730="","",MOV_CC_NACIONAL!B1730)</f>
        <v/>
      </c>
      <c r="D1730" s="33" t="str">
        <f>IF(MOV_CC_NACIONAL!C1730="","",MOV_CC_NACIONAL!C1730)</f>
        <v/>
      </c>
      <c r="E1730" s="32" t="str">
        <f t="shared" si="1"/>
        <v/>
      </c>
      <c r="F1730" s="32" t="str">
        <f>IFERROR(__xludf.DUMMYFUNCTION("IF(C1730="""","""", OR(REGEXMATCH(LOWER(C1730),""cuota""), REGEXMATCH(C1730,""\d+\s*/\s*\d+"")))"),"")</f>
        <v/>
      </c>
      <c r="G1730" s="32" t="str">
        <f>IFERROR(__xludf.DUMMYFUNCTION("IFERROR(VALUE(REGEXEXTRACT(C1730,""(\d+)\s*/\s*\d+"")),"""")"),"")</f>
        <v/>
      </c>
      <c r="H1730" s="32" t="str">
        <f>IFERROR(__xludf.DUMMYFUNCTION("IFERROR(VALUE(REGEXEXTRACT(C1730,""\d+\s*/\s*(\d+)"")),"""")"),"")</f>
        <v/>
      </c>
      <c r="I1730" s="32" t="str">
        <f t="shared" si="2"/>
        <v/>
      </c>
      <c r="J1730" s="33" t="str">
        <f t="shared" si="3"/>
        <v/>
      </c>
    </row>
    <row r="1731" ht="15.75" customHeight="1">
      <c r="A1731" s="22" t="s">
        <v>113</v>
      </c>
      <c r="B1731" s="22" t="str">
        <f>IF(MOV_CC_NACIONAL!A1731="","",MOV_CC_NACIONAL!A1731)</f>
        <v/>
      </c>
      <c r="C1731" s="22" t="str">
        <f>IF(MOV_CC_NACIONAL!B1731="","",MOV_CC_NACIONAL!B1731)</f>
        <v/>
      </c>
      <c r="D1731" s="34" t="str">
        <f>IF(MOV_CC_NACIONAL!C1731="","",MOV_CC_NACIONAL!C1731)</f>
        <v/>
      </c>
      <c r="E1731" s="22" t="str">
        <f t="shared" si="1"/>
        <v/>
      </c>
      <c r="F1731" s="22" t="str">
        <f>IFERROR(__xludf.DUMMYFUNCTION("IF(C1731="""","""", OR(REGEXMATCH(LOWER(C1731),""cuota""), REGEXMATCH(C1731,""\d+\s*/\s*\d+"")))"),"")</f>
        <v/>
      </c>
      <c r="G1731" s="22" t="str">
        <f>IFERROR(__xludf.DUMMYFUNCTION("IFERROR(VALUE(REGEXEXTRACT(C1731,""(\d+)\s*/\s*\d+"")),"""")"),"")</f>
        <v/>
      </c>
      <c r="H1731" s="22" t="str">
        <f>IFERROR(__xludf.DUMMYFUNCTION("IFERROR(VALUE(REGEXEXTRACT(C1731,""\d+\s*/\s*(\d+)"")),"""")"),"")</f>
        <v/>
      </c>
      <c r="I1731" s="22" t="str">
        <f t="shared" si="2"/>
        <v/>
      </c>
      <c r="J1731" s="34" t="str">
        <f t="shared" si="3"/>
        <v/>
      </c>
    </row>
    <row r="1732" ht="15.75" customHeight="1">
      <c r="A1732" s="32" t="s">
        <v>113</v>
      </c>
      <c r="B1732" s="32" t="str">
        <f>IF(MOV_CC_NACIONAL!A1732="","",MOV_CC_NACIONAL!A1732)</f>
        <v/>
      </c>
      <c r="C1732" s="32" t="str">
        <f>IF(MOV_CC_NACIONAL!B1732="","",MOV_CC_NACIONAL!B1732)</f>
        <v/>
      </c>
      <c r="D1732" s="33" t="str">
        <f>IF(MOV_CC_NACIONAL!C1732="","",MOV_CC_NACIONAL!C1732)</f>
        <v/>
      </c>
      <c r="E1732" s="32" t="str">
        <f t="shared" si="1"/>
        <v/>
      </c>
      <c r="F1732" s="32" t="str">
        <f>IFERROR(__xludf.DUMMYFUNCTION("IF(C1732="""","""", OR(REGEXMATCH(LOWER(C1732),""cuota""), REGEXMATCH(C1732,""\d+\s*/\s*\d+"")))"),"")</f>
        <v/>
      </c>
      <c r="G1732" s="32" t="str">
        <f>IFERROR(__xludf.DUMMYFUNCTION("IFERROR(VALUE(REGEXEXTRACT(C1732,""(\d+)\s*/\s*\d+"")),"""")"),"")</f>
        <v/>
      </c>
      <c r="H1732" s="32" t="str">
        <f>IFERROR(__xludf.DUMMYFUNCTION("IFERROR(VALUE(REGEXEXTRACT(C1732,""\d+\s*/\s*(\d+)"")),"""")"),"")</f>
        <v/>
      </c>
      <c r="I1732" s="32" t="str">
        <f t="shared" si="2"/>
        <v/>
      </c>
      <c r="J1732" s="33" t="str">
        <f t="shared" si="3"/>
        <v/>
      </c>
    </row>
    <row r="1733" ht="15.75" customHeight="1">
      <c r="A1733" s="22" t="s">
        <v>113</v>
      </c>
      <c r="B1733" s="22" t="str">
        <f>IF(MOV_CC_NACIONAL!A1733="","",MOV_CC_NACIONAL!A1733)</f>
        <v/>
      </c>
      <c r="C1733" s="22" t="str">
        <f>IF(MOV_CC_NACIONAL!B1733="","",MOV_CC_NACIONAL!B1733)</f>
        <v/>
      </c>
      <c r="D1733" s="34" t="str">
        <f>IF(MOV_CC_NACIONAL!C1733="","",MOV_CC_NACIONAL!C1733)</f>
        <v/>
      </c>
      <c r="E1733" s="22" t="str">
        <f t="shared" si="1"/>
        <v/>
      </c>
      <c r="F1733" s="22" t="str">
        <f>IFERROR(__xludf.DUMMYFUNCTION("IF(C1733="""","""", OR(REGEXMATCH(LOWER(C1733),""cuota""), REGEXMATCH(C1733,""\d+\s*/\s*\d+"")))"),"")</f>
        <v/>
      </c>
      <c r="G1733" s="22" t="str">
        <f>IFERROR(__xludf.DUMMYFUNCTION("IFERROR(VALUE(REGEXEXTRACT(C1733,""(\d+)\s*/\s*\d+"")),"""")"),"")</f>
        <v/>
      </c>
      <c r="H1733" s="22" t="str">
        <f>IFERROR(__xludf.DUMMYFUNCTION("IFERROR(VALUE(REGEXEXTRACT(C1733,""\d+\s*/\s*(\d+)"")),"""")"),"")</f>
        <v/>
      </c>
      <c r="I1733" s="22" t="str">
        <f t="shared" si="2"/>
        <v/>
      </c>
      <c r="J1733" s="34" t="str">
        <f t="shared" si="3"/>
        <v/>
      </c>
    </row>
    <row r="1734" ht="15.75" customHeight="1">
      <c r="A1734" s="32" t="s">
        <v>113</v>
      </c>
      <c r="B1734" s="32" t="str">
        <f>IF(MOV_CC_NACIONAL!A1734="","",MOV_CC_NACIONAL!A1734)</f>
        <v/>
      </c>
      <c r="C1734" s="32" t="str">
        <f>IF(MOV_CC_NACIONAL!B1734="","",MOV_CC_NACIONAL!B1734)</f>
        <v/>
      </c>
      <c r="D1734" s="33" t="str">
        <f>IF(MOV_CC_NACIONAL!C1734="","",MOV_CC_NACIONAL!C1734)</f>
        <v/>
      </c>
      <c r="E1734" s="32" t="str">
        <f t="shared" si="1"/>
        <v/>
      </c>
      <c r="F1734" s="32" t="str">
        <f>IFERROR(__xludf.DUMMYFUNCTION("IF(C1734="""","""", OR(REGEXMATCH(LOWER(C1734),""cuota""), REGEXMATCH(C1734,""\d+\s*/\s*\d+"")))"),"")</f>
        <v/>
      </c>
      <c r="G1734" s="32" t="str">
        <f>IFERROR(__xludf.DUMMYFUNCTION("IFERROR(VALUE(REGEXEXTRACT(C1734,""(\d+)\s*/\s*\d+"")),"""")"),"")</f>
        <v/>
      </c>
      <c r="H1734" s="32" t="str">
        <f>IFERROR(__xludf.DUMMYFUNCTION("IFERROR(VALUE(REGEXEXTRACT(C1734,""\d+\s*/\s*(\d+)"")),"""")"),"")</f>
        <v/>
      </c>
      <c r="I1734" s="32" t="str">
        <f t="shared" si="2"/>
        <v/>
      </c>
      <c r="J1734" s="33" t="str">
        <f t="shared" si="3"/>
        <v/>
      </c>
    </row>
    <row r="1735" ht="15.75" customHeight="1">
      <c r="A1735" s="22" t="s">
        <v>113</v>
      </c>
      <c r="B1735" s="22" t="str">
        <f>IF(MOV_CC_NACIONAL!A1735="","",MOV_CC_NACIONAL!A1735)</f>
        <v/>
      </c>
      <c r="C1735" s="22" t="str">
        <f>IF(MOV_CC_NACIONAL!B1735="","",MOV_CC_NACIONAL!B1735)</f>
        <v/>
      </c>
      <c r="D1735" s="34" t="str">
        <f>IF(MOV_CC_NACIONAL!C1735="","",MOV_CC_NACIONAL!C1735)</f>
        <v/>
      </c>
      <c r="E1735" s="22" t="str">
        <f t="shared" si="1"/>
        <v/>
      </c>
      <c r="F1735" s="22" t="str">
        <f>IFERROR(__xludf.DUMMYFUNCTION("IF(C1735="""","""", OR(REGEXMATCH(LOWER(C1735),""cuota""), REGEXMATCH(C1735,""\d+\s*/\s*\d+"")))"),"")</f>
        <v/>
      </c>
      <c r="G1735" s="22" t="str">
        <f>IFERROR(__xludf.DUMMYFUNCTION("IFERROR(VALUE(REGEXEXTRACT(C1735,""(\d+)\s*/\s*\d+"")),"""")"),"")</f>
        <v/>
      </c>
      <c r="H1735" s="22" t="str">
        <f>IFERROR(__xludf.DUMMYFUNCTION("IFERROR(VALUE(REGEXEXTRACT(C1735,""\d+\s*/\s*(\d+)"")),"""")"),"")</f>
        <v/>
      </c>
      <c r="I1735" s="22" t="str">
        <f t="shared" si="2"/>
        <v/>
      </c>
      <c r="J1735" s="34" t="str">
        <f t="shared" si="3"/>
        <v/>
      </c>
    </row>
    <row r="1736" ht="15.75" customHeight="1">
      <c r="A1736" s="32" t="s">
        <v>113</v>
      </c>
      <c r="B1736" s="32" t="str">
        <f>IF(MOV_CC_NACIONAL!A1736="","",MOV_CC_NACIONAL!A1736)</f>
        <v/>
      </c>
      <c r="C1736" s="32" t="str">
        <f>IF(MOV_CC_NACIONAL!B1736="","",MOV_CC_NACIONAL!B1736)</f>
        <v/>
      </c>
      <c r="D1736" s="33" t="str">
        <f>IF(MOV_CC_NACIONAL!C1736="","",MOV_CC_NACIONAL!C1736)</f>
        <v/>
      </c>
      <c r="E1736" s="32" t="str">
        <f t="shared" si="1"/>
        <v/>
      </c>
      <c r="F1736" s="32" t="str">
        <f>IFERROR(__xludf.DUMMYFUNCTION("IF(C1736="""","""", OR(REGEXMATCH(LOWER(C1736),""cuota""), REGEXMATCH(C1736,""\d+\s*/\s*\d+"")))"),"")</f>
        <v/>
      </c>
      <c r="G1736" s="32" t="str">
        <f>IFERROR(__xludf.DUMMYFUNCTION("IFERROR(VALUE(REGEXEXTRACT(C1736,""(\d+)\s*/\s*\d+"")),"""")"),"")</f>
        <v/>
      </c>
      <c r="H1736" s="32" t="str">
        <f>IFERROR(__xludf.DUMMYFUNCTION("IFERROR(VALUE(REGEXEXTRACT(C1736,""\d+\s*/\s*(\d+)"")),"""")"),"")</f>
        <v/>
      </c>
      <c r="I1736" s="32" t="str">
        <f t="shared" si="2"/>
        <v/>
      </c>
      <c r="J1736" s="33" t="str">
        <f t="shared" si="3"/>
        <v/>
      </c>
    </row>
    <row r="1737" ht="15.75" customHeight="1">
      <c r="A1737" s="22" t="s">
        <v>113</v>
      </c>
      <c r="B1737" s="22" t="str">
        <f>IF(MOV_CC_NACIONAL!A1737="","",MOV_CC_NACIONAL!A1737)</f>
        <v/>
      </c>
      <c r="C1737" s="22" t="str">
        <f>IF(MOV_CC_NACIONAL!B1737="","",MOV_CC_NACIONAL!B1737)</f>
        <v/>
      </c>
      <c r="D1737" s="34" t="str">
        <f>IF(MOV_CC_NACIONAL!C1737="","",MOV_CC_NACIONAL!C1737)</f>
        <v/>
      </c>
      <c r="E1737" s="22" t="str">
        <f t="shared" si="1"/>
        <v/>
      </c>
      <c r="F1737" s="22" t="str">
        <f>IFERROR(__xludf.DUMMYFUNCTION("IF(C1737="""","""", OR(REGEXMATCH(LOWER(C1737),""cuota""), REGEXMATCH(C1737,""\d+\s*/\s*\d+"")))"),"")</f>
        <v/>
      </c>
      <c r="G1737" s="22" t="str">
        <f>IFERROR(__xludf.DUMMYFUNCTION("IFERROR(VALUE(REGEXEXTRACT(C1737,""(\d+)\s*/\s*\d+"")),"""")"),"")</f>
        <v/>
      </c>
      <c r="H1737" s="22" t="str">
        <f>IFERROR(__xludf.DUMMYFUNCTION("IFERROR(VALUE(REGEXEXTRACT(C1737,""\d+\s*/\s*(\d+)"")),"""")"),"")</f>
        <v/>
      </c>
      <c r="I1737" s="22" t="str">
        <f t="shared" si="2"/>
        <v/>
      </c>
      <c r="J1737" s="34" t="str">
        <f t="shared" si="3"/>
        <v/>
      </c>
    </row>
    <row r="1738" ht="15.75" customHeight="1">
      <c r="A1738" s="32" t="s">
        <v>113</v>
      </c>
      <c r="B1738" s="32" t="str">
        <f>IF(MOV_CC_NACIONAL!A1738="","",MOV_CC_NACIONAL!A1738)</f>
        <v/>
      </c>
      <c r="C1738" s="32" t="str">
        <f>IF(MOV_CC_NACIONAL!B1738="","",MOV_CC_NACIONAL!B1738)</f>
        <v/>
      </c>
      <c r="D1738" s="33" t="str">
        <f>IF(MOV_CC_NACIONAL!C1738="","",MOV_CC_NACIONAL!C1738)</f>
        <v/>
      </c>
      <c r="E1738" s="32" t="str">
        <f t="shared" si="1"/>
        <v/>
      </c>
      <c r="F1738" s="32" t="str">
        <f>IFERROR(__xludf.DUMMYFUNCTION("IF(C1738="""","""", OR(REGEXMATCH(LOWER(C1738),""cuota""), REGEXMATCH(C1738,""\d+\s*/\s*\d+"")))"),"")</f>
        <v/>
      </c>
      <c r="G1738" s="32" t="str">
        <f>IFERROR(__xludf.DUMMYFUNCTION("IFERROR(VALUE(REGEXEXTRACT(C1738,""(\d+)\s*/\s*\d+"")),"""")"),"")</f>
        <v/>
      </c>
      <c r="H1738" s="32" t="str">
        <f>IFERROR(__xludf.DUMMYFUNCTION("IFERROR(VALUE(REGEXEXTRACT(C1738,""\d+\s*/\s*(\d+)"")),"""")"),"")</f>
        <v/>
      </c>
      <c r="I1738" s="32" t="str">
        <f t="shared" si="2"/>
        <v/>
      </c>
      <c r="J1738" s="33" t="str">
        <f t="shared" si="3"/>
        <v/>
      </c>
    </row>
    <row r="1739" ht="15.75" customHeight="1">
      <c r="A1739" s="22" t="s">
        <v>113</v>
      </c>
      <c r="B1739" s="22" t="str">
        <f>IF(MOV_CC_NACIONAL!A1739="","",MOV_CC_NACIONAL!A1739)</f>
        <v/>
      </c>
      <c r="C1739" s="22" t="str">
        <f>IF(MOV_CC_NACIONAL!B1739="","",MOV_CC_NACIONAL!B1739)</f>
        <v/>
      </c>
      <c r="D1739" s="34" t="str">
        <f>IF(MOV_CC_NACIONAL!C1739="","",MOV_CC_NACIONAL!C1739)</f>
        <v/>
      </c>
      <c r="E1739" s="22" t="str">
        <f t="shared" si="1"/>
        <v/>
      </c>
      <c r="F1739" s="22" t="str">
        <f>IFERROR(__xludf.DUMMYFUNCTION("IF(C1739="""","""", OR(REGEXMATCH(LOWER(C1739),""cuota""), REGEXMATCH(C1739,""\d+\s*/\s*\d+"")))"),"")</f>
        <v/>
      </c>
      <c r="G1739" s="22" t="str">
        <f>IFERROR(__xludf.DUMMYFUNCTION("IFERROR(VALUE(REGEXEXTRACT(C1739,""(\d+)\s*/\s*\d+"")),"""")"),"")</f>
        <v/>
      </c>
      <c r="H1739" s="22" t="str">
        <f>IFERROR(__xludf.DUMMYFUNCTION("IFERROR(VALUE(REGEXEXTRACT(C1739,""\d+\s*/\s*(\d+)"")),"""")"),"")</f>
        <v/>
      </c>
      <c r="I1739" s="22" t="str">
        <f t="shared" si="2"/>
        <v/>
      </c>
      <c r="J1739" s="34" t="str">
        <f t="shared" si="3"/>
        <v/>
      </c>
    </row>
    <row r="1740" ht="15.75" customHeight="1">
      <c r="A1740" s="32" t="s">
        <v>113</v>
      </c>
      <c r="B1740" s="32" t="str">
        <f>IF(MOV_CC_NACIONAL!A1740="","",MOV_CC_NACIONAL!A1740)</f>
        <v/>
      </c>
      <c r="C1740" s="32" t="str">
        <f>IF(MOV_CC_NACIONAL!B1740="","",MOV_CC_NACIONAL!B1740)</f>
        <v/>
      </c>
      <c r="D1740" s="33" t="str">
        <f>IF(MOV_CC_NACIONAL!C1740="","",MOV_CC_NACIONAL!C1740)</f>
        <v/>
      </c>
      <c r="E1740" s="32" t="str">
        <f t="shared" si="1"/>
        <v/>
      </c>
      <c r="F1740" s="32" t="str">
        <f>IFERROR(__xludf.DUMMYFUNCTION("IF(C1740="""","""", OR(REGEXMATCH(LOWER(C1740),""cuota""), REGEXMATCH(C1740,""\d+\s*/\s*\d+"")))"),"")</f>
        <v/>
      </c>
      <c r="G1740" s="32" t="str">
        <f>IFERROR(__xludf.DUMMYFUNCTION("IFERROR(VALUE(REGEXEXTRACT(C1740,""(\d+)\s*/\s*\d+"")),"""")"),"")</f>
        <v/>
      </c>
      <c r="H1740" s="32" t="str">
        <f>IFERROR(__xludf.DUMMYFUNCTION("IFERROR(VALUE(REGEXEXTRACT(C1740,""\d+\s*/\s*(\d+)"")),"""")"),"")</f>
        <v/>
      </c>
      <c r="I1740" s="32" t="str">
        <f t="shared" si="2"/>
        <v/>
      </c>
      <c r="J1740" s="33" t="str">
        <f t="shared" si="3"/>
        <v/>
      </c>
    </row>
    <row r="1741" ht="15.75" customHeight="1">
      <c r="A1741" s="22" t="s">
        <v>113</v>
      </c>
      <c r="B1741" s="22" t="str">
        <f>IF(MOV_CC_NACIONAL!A1741="","",MOV_CC_NACIONAL!A1741)</f>
        <v/>
      </c>
      <c r="C1741" s="22" t="str">
        <f>IF(MOV_CC_NACIONAL!B1741="","",MOV_CC_NACIONAL!B1741)</f>
        <v/>
      </c>
      <c r="D1741" s="34" t="str">
        <f>IF(MOV_CC_NACIONAL!C1741="","",MOV_CC_NACIONAL!C1741)</f>
        <v/>
      </c>
      <c r="E1741" s="22" t="str">
        <f t="shared" si="1"/>
        <v/>
      </c>
      <c r="F1741" s="22" t="str">
        <f>IFERROR(__xludf.DUMMYFUNCTION("IF(C1741="""","""", OR(REGEXMATCH(LOWER(C1741),""cuota""), REGEXMATCH(C1741,""\d+\s*/\s*\d+"")))"),"")</f>
        <v/>
      </c>
      <c r="G1741" s="22" t="str">
        <f>IFERROR(__xludf.DUMMYFUNCTION("IFERROR(VALUE(REGEXEXTRACT(C1741,""(\d+)\s*/\s*\d+"")),"""")"),"")</f>
        <v/>
      </c>
      <c r="H1741" s="22" t="str">
        <f>IFERROR(__xludf.DUMMYFUNCTION("IFERROR(VALUE(REGEXEXTRACT(C1741,""\d+\s*/\s*(\d+)"")),"""")"),"")</f>
        <v/>
      </c>
      <c r="I1741" s="22" t="str">
        <f t="shared" si="2"/>
        <v/>
      </c>
      <c r="J1741" s="34" t="str">
        <f t="shared" si="3"/>
        <v/>
      </c>
    </row>
    <row r="1742" ht="15.75" customHeight="1">
      <c r="A1742" s="32" t="s">
        <v>113</v>
      </c>
      <c r="B1742" s="32" t="str">
        <f>IF(MOV_CC_NACIONAL!A1742="","",MOV_CC_NACIONAL!A1742)</f>
        <v/>
      </c>
      <c r="C1742" s="32" t="str">
        <f>IF(MOV_CC_NACIONAL!B1742="","",MOV_CC_NACIONAL!B1742)</f>
        <v/>
      </c>
      <c r="D1742" s="33" t="str">
        <f>IF(MOV_CC_NACIONAL!C1742="","",MOV_CC_NACIONAL!C1742)</f>
        <v/>
      </c>
      <c r="E1742" s="32" t="str">
        <f t="shared" si="1"/>
        <v/>
      </c>
      <c r="F1742" s="32" t="str">
        <f>IFERROR(__xludf.DUMMYFUNCTION("IF(C1742="""","""", OR(REGEXMATCH(LOWER(C1742),""cuota""), REGEXMATCH(C1742,""\d+\s*/\s*\d+"")))"),"")</f>
        <v/>
      </c>
      <c r="G1742" s="32" t="str">
        <f>IFERROR(__xludf.DUMMYFUNCTION("IFERROR(VALUE(REGEXEXTRACT(C1742,""(\d+)\s*/\s*\d+"")),"""")"),"")</f>
        <v/>
      </c>
      <c r="H1742" s="32" t="str">
        <f>IFERROR(__xludf.DUMMYFUNCTION("IFERROR(VALUE(REGEXEXTRACT(C1742,""\d+\s*/\s*(\d+)"")),"""")"),"")</f>
        <v/>
      </c>
      <c r="I1742" s="32" t="str">
        <f t="shared" si="2"/>
        <v/>
      </c>
      <c r="J1742" s="33" t="str">
        <f t="shared" si="3"/>
        <v/>
      </c>
    </row>
    <row r="1743" ht="15.75" customHeight="1">
      <c r="A1743" s="22" t="s">
        <v>113</v>
      </c>
      <c r="B1743" s="22" t="str">
        <f>IF(MOV_CC_NACIONAL!A1743="","",MOV_CC_NACIONAL!A1743)</f>
        <v/>
      </c>
      <c r="C1743" s="22" t="str">
        <f>IF(MOV_CC_NACIONAL!B1743="","",MOV_CC_NACIONAL!B1743)</f>
        <v/>
      </c>
      <c r="D1743" s="34" t="str">
        <f>IF(MOV_CC_NACIONAL!C1743="","",MOV_CC_NACIONAL!C1743)</f>
        <v/>
      </c>
      <c r="E1743" s="22" t="str">
        <f t="shared" si="1"/>
        <v/>
      </c>
      <c r="F1743" s="22" t="str">
        <f>IFERROR(__xludf.DUMMYFUNCTION("IF(C1743="""","""", OR(REGEXMATCH(LOWER(C1743),""cuota""), REGEXMATCH(C1743,""\d+\s*/\s*\d+"")))"),"")</f>
        <v/>
      </c>
      <c r="G1743" s="22" t="str">
        <f>IFERROR(__xludf.DUMMYFUNCTION("IFERROR(VALUE(REGEXEXTRACT(C1743,""(\d+)\s*/\s*\d+"")),"""")"),"")</f>
        <v/>
      </c>
      <c r="H1743" s="22" t="str">
        <f>IFERROR(__xludf.DUMMYFUNCTION("IFERROR(VALUE(REGEXEXTRACT(C1743,""\d+\s*/\s*(\d+)"")),"""")"),"")</f>
        <v/>
      </c>
      <c r="I1743" s="22" t="str">
        <f t="shared" si="2"/>
        <v/>
      </c>
      <c r="J1743" s="34" t="str">
        <f t="shared" si="3"/>
        <v/>
      </c>
    </row>
    <row r="1744" ht="15.75" customHeight="1">
      <c r="A1744" s="32" t="s">
        <v>113</v>
      </c>
      <c r="B1744" s="32" t="str">
        <f>IF(MOV_CC_NACIONAL!A1744="","",MOV_CC_NACIONAL!A1744)</f>
        <v/>
      </c>
      <c r="C1744" s="32" t="str">
        <f>IF(MOV_CC_NACIONAL!B1744="","",MOV_CC_NACIONAL!B1744)</f>
        <v/>
      </c>
      <c r="D1744" s="33" t="str">
        <f>IF(MOV_CC_NACIONAL!C1744="","",MOV_CC_NACIONAL!C1744)</f>
        <v/>
      </c>
      <c r="E1744" s="32" t="str">
        <f t="shared" si="1"/>
        <v/>
      </c>
      <c r="F1744" s="32" t="str">
        <f>IFERROR(__xludf.DUMMYFUNCTION("IF(C1744="""","""", OR(REGEXMATCH(LOWER(C1744),""cuota""), REGEXMATCH(C1744,""\d+\s*/\s*\d+"")))"),"")</f>
        <v/>
      </c>
      <c r="G1744" s="32" t="str">
        <f>IFERROR(__xludf.DUMMYFUNCTION("IFERROR(VALUE(REGEXEXTRACT(C1744,""(\d+)\s*/\s*\d+"")),"""")"),"")</f>
        <v/>
      </c>
      <c r="H1744" s="32" t="str">
        <f>IFERROR(__xludf.DUMMYFUNCTION("IFERROR(VALUE(REGEXEXTRACT(C1744,""\d+\s*/\s*(\d+)"")),"""")"),"")</f>
        <v/>
      </c>
      <c r="I1744" s="32" t="str">
        <f t="shared" si="2"/>
        <v/>
      </c>
      <c r="J1744" s="33" t="str">
        <f t="shared" si="3"/>
        <v/>
      </c>
    </row>
    <row r="1745" ht="15.75" customHeight="1">
      <c r="A1745" s="22" t="s">
        <v>113</v>
      </c>
      <c r="B1745" s="22" t="str">
        <f>IF(MOV_CC_NACIONAL!A1745="","",MOV_CC_NACIONAL!A1745)</f>
        <v/>
      </c>
      <c r="C1745" s="22" t="str">
        <f>IF(MOV_CC_NACIONAL!B1745="","",MOV_CC_NACIONAL!B1745)</f>
        <v/>
      </c>
      <c r="D1745" s="34" t="str">
        <f>IF(MOV_CC_NACIONAL!C1745="","",MOV_CC_NACIONAL!C1745)</f>
        <v/>
      </c>
      <c r="E1745" s="22" t="str">
        <f t="shared" si="1"/>
        <v/>
      </c>
      <c r="F1745" s="22" t="str">
        <f>IFERROR(__xludf.DUMMYFUNCTION("IF(C1745="""","""", OR(REGEXMATCH(LOWER(C1745),""cuota""), REGEXMATCH(C1745,""\d+\s*/\s*\d+"")))"),"")</f>
        <v/>
      </c>
      <c r="G1745" s="22" t="str">
        <f>IFERROR(__xludf.DUMMYFUNCTION("IFERROR(VALUE(REGEXEXTRACT(C1745,""(\d+)\s*/\s*\d+"")),"""")"),"")</f>
        <v/>
      </c>
      <c r="H1745" s="22" t="str">
        <f>IFERROR(__xludf.DUMMYFUNCTION("IFERROR(VALUE(REGEXEXTRACT(C1745,""\d+\s*/\s*(\d+)"")),"""")"),"")</f>
        <v/>
      </c>
      <c r="I1745" s="22" t="str">
        <f t="shared" si="2"/>
        <v/>
      </c>
      <c r="J1745" s="34" t="str">
        <f t="shared" si="3"/>
        <v/>
      </c>
    </row>
    <row r="1746" ht="15.75" customHeight="1">
      <c r="A1746" s="32" t="s">
        <v>113</v>
      </c>
      <c r="B1746" s="32" t="str">
        <f>IF(MOV_CC_NACIONAL!A1746="","",MOV_CC_NACIONAL!A1746)</f>
        <v/>
      </c>
      <c r="C1746" s="32" t="str">
        <f>IF(MOV_CC_NACIONAL!B1746="","",MOV_CC_NACIONAL!B1746)</f>
        <v/>
      </c>
      <c r="D1746" s="33" t="str">
        <f>IF(MOV_CC_NACIONAL!C1746="","",MOV_CC_NACIONAL!C1746)</f>
        <v/>
      </c>
      <c r="E1746" s="32" t="str">
        <f t="shared" si="1"/>
        <v/>
      </c>
      <c r="F1746" s="32" t="str">
        <f>IFERROR(__xludf.DUMMYFUNCTION("IF(C1746="""","""", OR(REGEXMATCH(LOWER(C1746),""cuota""), REGEXMATCH(C1746,""\d+\s*/\s*\d+"")))"),"")</f>
        <v/>
      </c>
      <c r="G1746" s="32" t="str">
        <f>IFERROR(__xludf.DUMMYFUNCTION("IFERROR(VALUE(REGEXEXTRACT(C1746,""(\d+)\s*/\s*\d+"")),"""")"),"")</f>
        <v/>
      </c>
      <c r="H1746" s="32" t="str">
        <f>IFERROR(__xludf.DUMMYFUNCTION("IFERROR(VALUE(REGEXEXTRACT(C1746,""\d+\s*/\s*(\d+)"")),"""")"),"")</f>
        <v/>
      </c>
      <c r="I1746" s="32" t="str">
        <f t="shared" si="2"/>
        <v/>
      </c>
      <c r="J1746" s="33" t="str">
        <f t="shared" si="3"/>
        <v/>
      </c>
    </row>
    <row r="1747" ht="15.75" customHeight="1">
      <c r="A1747" s="22" t="s">
        <v>113</v>
      </c>
      <c r="B1747" s="22" t="str">
        <f>IF(MOV_CC_NACIONAL!A1747="","",MOV_CC_NACIONAL!A1747)</f>
        <v/>
      </c>
      <c r="C1747" s="22" t="str">
        <f>IF(MOV_CC_NACIONAL!B1747="","",MOV_CC_NACIONAL!B1747)</f>
        <v/>
      </c>
      <c r="D1747" s="34" t="str">
        <f>IF(MOV_CC_NACIONAL!C1747="","",MOV_CC_NACIONAL!C1747)</f>
        <v/>
      </c>
      <c r="E1747" s="22" t="str">
        <f t="shared" si="1"/>
        <v/>
      </c>
      <c r="F1747" s="22" t="str">
        <f>IFERROR(__xludf.DUMMYFUNCTION("IF(C1747="""","""", OR(REGEXMATCH(LOWER(C1747),""cuota""), REGEXMATCH(C1747,""\d+\s*/\s*\d+"")))"),"")</f>
        <v/>
      </c>
      <c r="G1747" s="22" t="str">
        <f>IFERROR(__xludf.DUMMYFUNCTION("IFERROR(VALUE(REGEXEXTRACT(C1747,""(\d+)\s*/\s*\d+"")),"""")"),"")</f>
        <v/>
      </c>
      <c r="H1747" s="22" t="str">
        <f>IFERROR(__xludf.DUMMYFUNCTION("IFERROR(VALUE(REGEXEXTRACT(C1747,""\d+\s*/\s*(\d+)"")),"""")"),"")</f>
        <v/>
      </c>
      <c r="I1747" s="22" t="str">
        <f t="shared" si="2"/>
        <v/>
      </c>
      <c r="J1747" s="34" t="str">
        <f t="shared" si="3"/>
        <v/>
      </c>
    </row>
    <row r="1748" ht="15.75" customHeight="1">
      <c r="A1748" s="32" t="s">
        <v>113</v>
      </c>
      <c r="B1748" s="32" t="str">
        <f>IF(MOV_CC_NACIONAL!A1748="","",MOV_CC_NACIONAL!A1748)</f>
        <v/>
      </c>
      <c r="C1748" s="32" t="str">
        <f>IF(MOV_CC_NACIONAL!B1748="","",MOV_CC_NACIONAL!B1748)</f>
        <v/>
      </c>
      <c r="D1748" s="33" t="str">
        <f>IF(MOV_CC_NACIONAL!C1748="","",MOV_CC_NACIONAL!C1748)</f>
        <v/>
      </c>
      <c r="E1748" s="32" t="str">
        <f t="shared" si="1"/>
        <v/>
      </c>
      <c r="F1748" s="32" t="str">
        <f>IFERROR(__xludf.DUMMYFUNCTION("IF(C1748="""","""", OR(REGEXMATCH(LOWER(C1748),""cuota""), REGEXMATCH(C1748,""\d+\s*/\s*\d+"")))"),"")</f>
        <v/>
      </c>
      <c r="G1748" s="32" t="str">
        <f>IFERROR(__xludf.DUMMYFUNCTION("IFERROR(VALUE(REGEXEXTRACT(C1748,""(\d+)\s*/\s*\d+"")),"""")"),"")</f>
        <v/>
      </c>
      <c r="H1748" s="32" t="str">
        <f>IFERROR(__xludf.DUMMYFUNCTION("IFERROR(VALUE(REGEXEXTRACT(C1748,""\d+\s*/\s*(\d+)"")),"""")"),"")</f>
        <v/>
      </c>
      <c r="I1748" s="32" t="str">
        <f t="shared" si="2"/>
        <v/>
      </c>
      <c r="J1748" s="33" t="str">
        <f t="shared" si="3"/>
        <v/>
      </c>
    </row>
    <row r="1749" ht="15.75" customHeight="1">
      <c r="A1749" s="22" t="s">
        <v>113</v>
      </c>
      <c r="B1749" s="22" t="str">
        <f>IF(MOV_CC_NACIONAL!A1749="","",MOV_CC_NACIONAL!A1749)</f>
        <v/>
      </c>
      <c r="C1749" s="22" t="str">
        <f>IF(MOV_CC_NACIONAL!B1749="","",MOV_CC_NACIONAL!B1749)</f>
        <v/>
      </c>
      <c r="D1749" s="34" t="str">
        <f>IF(MOV_CC_NACIONAL!C1749="","",MOV_CC_NACIONAL!C1749)</f>
        <v/>
      </c>
      <c r="E1749" s="22" t="str">
        <f t="shared" si="1"/>
        <v/>
      </c>
      <c r="F1749" s="22" t="str">
        <f>IFERROR(__xludf.DUMMYFUNCTION("IF(C1749="""","""", OR(REGEXMATCH(LOWER(C1749),""cuota""), REGEXMATCH(C1749,""\d+\s*/\s*\d+"")))"),"")</f>
        <v/>
      </c>
      <c r="G1749" s="22" t="str">
        <f>IFERROR(__xludf.DUMMYFUNCTION("IFERROR(VALUE(REGEXEXTRACT(C1749,""(\d+)\s*/\s*\d+"")),"""")"),"")</f>
        <v/>
      </c>
      <c r="H1749" s="22" t="str">
        <f>IFERROR(__xludf.DUMMYFUNCTION("IFERROR(VALUE(REGEXEXTRACT(C1749,""\d+\s*/\s*(\d+)"")),"""")"),"")</f>
        <v/>
      </c>
      <c r="I1749" s="22" t="str">
        <f t="shared" si="2"/>
        <v/>
      </c>
      <c r="J1749" s="34" t="str">
        <f t="shared" si="3"/>
        <v/>
      </c>
    </row>
    <row r="1750" ht="15.75" customHeight="1">
      <c r="A1750" s="32" t="s">
        <v>113</v>
      </c>
      <c r="B1750" s="32" t="str">
        <f>IF(MOV_CC_NACIONAL!A1750="","",MOV_CC_NACIONAL!A1750)</f>
        <v/>
      </c>
      <c r="C1750" s="32" t="str">
        <f>IF(MOV_CC_NACIONAL!B1750="","",MOV_CC_NACIONAL!B1750)</f>
        <v/>
      </c>
      <c r="D1750" s="33" t="str">
        <f>IF(MOV_CC_NACIONAL!C1750="","",MOV_CC_NACIONAL!C1750)</f>
        <v/>
      </c>
      <c r="E1750" s="32" t="str">
        <f t="shared" si="1"/>
        <v/>
      </c>
      <c r="F1750" s="32" t="str">
        <f>IFERROR(__xludf.DUMMYFUNCTION("IF(C1750="""","""", OR(REGEXMATCH(LOWER(C1750),""cuota""), REGEXMATCH(C1750,""\d+\s*/\s*\d+"")))"),"")</f>
        <v/>
      </c>
      <c r="G1750" s="32" t="str">
        <f>IFERROR(__xludf.DUMMYFUNCTION("IFERROR(VALUE(REGEXEXTRACT(C1750,""(\d+)\s*/\s*\d+"")),"""")"),"")</f>
        <v/>
      </c>
      <c r="H1750" s="32" t="str">
        <f>IFERROR(__xludf.DUMMYFUNCTION("IFERROR(VALUE(REGEXEXTRACT(C1750,""\d+\s*/\s*(\d+)"")),"""")"),"")</f>
        <v/>
      </c>
      <c r="I1750" s="32" t="str">
        <f t="shared" si="2"/>
        <v/>
      </c>
      <c r="J1750" s="33" t="str">
        <f t="shared" si="3"/>
        <v/>
      </c>
    </row>
    <row r="1751" ht="15.75" customHeight="1">
      <c r="A1751" s="22" t="s">
        <v>113</v>
      </c>
      <c r="B1751" s="22" t="str">
        <f>IF(MOV_CC_NACIONAL!A1751="","",MOV_CC_NACIONAL!A1751)</f>
        <v/>
      </c>
      <c r="C1751" s="22" t="str">
        <f>IF(MOV_CC_NACIONAL!B1751="","",MOV_CC_NACIONAL!B1751)</f>
        <v/>
      </c>
      <c r="D1751" s="34" t="str">
        <f>IF(MOV_CC_NACIONAL!C1751="","",MOV_CC_NACIONAL!C1751)</f>
        <v/>
      </c>
      <c r="E1751" s="22" t="str">
        <f t="shared" si="1"/>
        <v/>
      </c>
      <c r="F1751" s="22" t="str">
        <f>IFERROR(__xludf.DUMMYFUNCTION("IF(C1751="""","""", OR(REGEXMATCH(LOWER(C1751),""cuota""), REGEXMATCH(C1751,""\d+\s*/\s*\d+"")))"),"")</f>
        <v/>
      </c>
      <c r="G1751" s="22" t="str">
        <f>IFERROR(__xludf.DUMMYFUNCTION("IFERROR(VALUE(REGEXEXTRACT(C1751,""(\d+)\s*/\s*\d+"")),"""")"),"")</f>
        <v/>
      </c>
      <c r="H1751" s="22" t="str">
        <f>IFERROR(__xludf.DUMMYFUNCTION("IFERROR(VALUE(REGEXEXTRACT(C1751,""\d+\s*/\s*(\d+)"")),"""")"),"")</f>
        <v/>
      </c>
      <c r="I1751" s="22" t="str">
        <f t="shared" si="2"/>
        <v/>
      </c>
      <c r="J1751" s="34" t="str">
        <f t="shared" si="3"/>
        <v/>
      </c>
    </row>
    <row r="1752" ht="15.75" customHeight="1">
      <c r="A1752" s="32" t="s">
        <v>113</v>
      </c>
      <c r="B1752" s="32" t="str">
        <f>IF(MOV_CC_NACIONAL!A1752="","",MOV_CC_NACIONAL!A1752)</f>
        <v/>
      </c>
      <c r="C1752" s="32" t="str">
        <f>IF(MOV_CC_NACIONAL!B1752="","",MOV_CC_NACIONAL!B1752)</f>
        <v/>
      </c>
      <c r="D1752" s="33" t="str">
        <f>IF(MOV_CC_NACIONAL!C1752="","",MOV_CC_NACIONAL!C1752)</f>
        <v/>
      </c>
      <c r="E1752" s="32" t="str">
        <f t="shared" si="1"/>
        <v/>
      </c>
      <c r="F1752" s="32" t="str">
        <f>IFERROR(__xludf.DUMMYFUNCTION("IF(C1752="""","""", OR(REGEXMATCH(LOWER(C1752),""cuota""), REGEXMATCH(C1752,""\d+\s*/\s*\d+"")))"),"")</f>
        <v/>
      </c>
      <c r="G1752" s="32" t="str">
        <f>IFERROR(__xludf.DUMMYFUNCTION("IFERROR(VALUE(REGEXEXTRACT(C1752,""(\d+)\s*/\s*\d+"")),"""")"),"")</f>
        <v/>
      </c>
      <c r="H1752" s="32" t="str">
        <f>IFERROR(__xludf.DUMMYFUNCTION("IFERROR(VALUE(REGEXEXTRACT(C1752,""\d+\s*/\s*(\d+)"")),"""")"),"")</f>
        <v/>
      </c>
      <c r="I1752" s="32" t="str">
        <f t="shared" si="2"/>
        <v/>
      </c>
      <c r="J1752" s="33" t="str">
        <f t="shared" si="3"/>
        <v/>
      </c>
    </row>
    <row r="1753" ht="15.75" customHeight="1">
      <c r="A1753" s="22" t="s">
        <v>113</v>
      </c>
      <c r="B1753" s="22" t="str">
        <f>IF(MOV_CC_NACIONAL!A1753="","",MOV_CC_NACIONAL!A1753)</f>
        <v/>
      </c>
      <c r="C1753" s="22" t="str">
        <f>IF(MOV_CC_NACIONAL!B1753="","",MOV_CC_NACIONAL!B1753)</f>
        <v/>
      </c>
      <c r="D1753" s="34" t="str">
        <f>IF(MOV_CC_NACIONAL!C1753="","",MOV_CC_NACIONAL!C1753)</f>
        <v/>
      </c>
      <c r="E1753" s="22" t="str">
        <f t="shared" si="1"/>
        <v/>
      </c>
      <c r="F1753" s="22" t="str">
        <f>IFERROR(__xludf.DUMMYFUNCTION("IF(C1753="""","""", OR(REGEXMATCH(LOWER(C1753),""cuota""), REGEXMATCH(C1753,""\d+\s*/\s*\d+"")))"),"")</f>
        <v/>
      </c>
      <c r="G1753" s="22" t="str">
        <f>IFERROR(__xludf.DUMMYFUNCTION("IFERROR(VALUE(REGEXEXTRACT(C1753,""(\d+)\s*/\s*\d+"")),"""")"),"")</f>
        <v/>
      </c>
      <c r="H1753" s="22" t="str">
        <f>IFERROR(__xludf.DUMMYFUNCTION("IFERROR(VALUE(REGEXEXTRACT(C1753,""\d+\s*/\s*(\d+)"")),"""")"),"")</f>
        <v/>
      </c>
      <c r="I1753" s="22" t="str">
        <f t="shared" si="2"/>
        <v/>
      </c>
      <c r="J1753" s="34" t="str">
        <f t="shared" si="3"/>
        <v/>
      </c>
    </row>
    <row r="1754" ht="15.75" customHeight="1">
      <c r="A1754" s="32" t="s">
        <v>113</v>
      </c>
      <c r="B1754" s="32" t="str">
        <f>IF(MOV_CC_NACIONAL!A1754="","",MOV_CC_NACIONAL!A1754)</f>
        <v/>
      </c>
      <c r="C1754" s="32" t="str">
        <f>IF(MOV_CC_NACIONAL!B1754="","",MOV_CC_NACIONAL!B1754)</f>
        <v/>
      </c>
      <c r="D1754" s="33" t="str">
        <f>IF(MOV_CC_NACIONAL!C1754="","",MOV_CC_NACIONAL!C1754)</f>
        <v/>
      </c>
      <c r="E1754" s="32" t="str">
        <f t="shared" si="1"/>
        <v/>
      </c>
      <c r="F1754" s="32" t="str">
        <f>IFERROR(__xludf.DUMMYFUNCTION("IF(C1754="""","""", OR(REGEXMATCH(LOWER(C1754),""cuota""), REGEXMATCH(C1754,""\d+\s*/\s*\d+"")))"),"")</f>
        <v/>
      </c>
      <c r="G1754" s="32" t="str">
        <f>IFERROR(__xludf.DUMMYFUNCTION("IFERROR(VALUE(REGEXEXTRACT(C1754,""(\d+)\s*/\s*\d+"")),"""")"),"")</f>
        <v/>
      </c>
      <c r="H1754" s="32" t="str">
        <f>IFERROR(__xludf.DUMMYFUNCTION("IFERROR(VALUE(REGEXEXTRACT(C1754,""\d+\s*/\s*(\d+)"")),"""")"),"")</f>
        <v/>
      </c>
      <c r="I1754" s="32" t="str">
        <f t="shared" si="2"/>
        <v/>
      </c>
      <c r="J1754" s="33" t="str">
        <f t="shared" si="3"/>
        <v/>
      </c>
    </row>
    <row r="1755" ht="15.75" customHeight="1">
      <c r="A1755" s="22" t="s">
        <v>113</v>
      </c>
      <c r="B1755" s="22" t="str">
        <f>IF(MOV_CC_NACIONAL!A1755="","",MOV_CC_NACIONAL!A1755)</f>
        <v/>
      </c>
      <c r="C1755" s="22" t="str">
        <f>IF(MOV_CC_NACIONAL!B1755="","",MOV_CC_NACIONAL!B1755)</f>
        <v/>
      </c>
      <c r="D1755" s="34" t="str">
        <f>IF(MOV_CC_NACIONAL!C1755="","",MOV_CC_NACIONAL!C1755)</f>
        <v/>
      </c>
      <c r="E1755" s="22" t="str">
        <f t="shared" si="1"/>
        <v/>
      </c>
      <c r="F1755" s="22" t="str">
        <f>IFERROR(__xludf.DUMMYFUNCTION("IF(C1755="""","""", OR(REGEXMATCH(LOWER(C1755),""cuota""), REGEXMATCH(C1755,""\d+\s*/\s*\d+"")))"),"")</f>
        <v/>
      </c>
      <c r="G1755" s="22" t="str">
        <f>IFERROR(__xludf.DUMMYFUNCTION("IFERROR(VALUE(REGEXEXTRACT(C1755,""(\d+)\s*/\s*\d+"")),"""")"),"")</f>
        <v/>
      </c>
      <c r="H1755" s="22" t="str">
        <f>IFERROR(__xludf.DUMMYFUNCTION("IFERROR(VALUE(REGEXEXTRACT(C1755,""\d+\s*/\s*(\d+)"")),"""")"),"")</f>
        <v/>
      </c>
      <c r="I1755" s="22" t="str">
        <f t="shared" si="2"/>
        <v/>
      </c>
      <c r="J1755" s="34" t="str">
        <f t="shared" si="3"/>
        <v/>
      </c>
    </row>
    <row r="1756" ht="15.75" customHeight="1">
      <c r="A1756" s="32" t="s">
        <v>113</v>
      </c>
      <c r="B1756" s="32" t="str">
        <f>IF(MOV_CC_NACIONAL!A1756="","",MOV_CC_NACIONAL!A1756)</f>
        <v/>
      </c>
      <c r="C1756" s="32" t="str">
        <f>IF(MOV_CC_NACIONAL!B1756="","",MOV_CC_NACIONAL!B1756)</f>
        <v/>
      </c>
      <c r="D1756" s="33" t="str">
        <f>IF(MOV_CC_NACIONAL!C1756="","",MOV_CC_NACIONAL!C1756)</f>
        <v/>
      </c>
      <c r="E1756" s="32" t="str">
        <f t="shared" si="1"/>
        <v/>
      </c>
      <c r="F1756" s="32" t="str">
        <f>IFERROR(__xludf.DUMMYFUNCTION("IF(C1756="""","""", OR(REGEXMATCH(LOWER(C1756),""cuota""), REGEXMATCH(C1756,""\d+\s*/\s*\d+"")))"),"")</f>
        <v/>
      </c>
      <c r="G1756" s="32" t="str">
        <f>IFERROR(__xludf.DUMMYFUNCTION("IFERROR(VALUE(REGEXEXTRACT(C1756,""(\d+)\s*/\s*\d+"")),"""")"),"")</f>
        <v/>
      </c>
      <c r="H1756" s="32" t="str">
        <f>IFERROR(__xludf.DUMMYFUNCTION("IFERROR(VALUE(REGEXEXTRACT(C1756,""\d+\s*/\s*(\d+)"")),"""")"),"")</f>
        <v/>
      </c>
      <c r="I1756" s="32" t="str">
        <f t="shared" si="2"/>
        <v/>
      </c>
      <c r="J1756" s="33" t="str">
        <f t="shared" si="3"/>
        <v/>
      </c>
    </row>
    <row r="1757" ht="15.75" customHeight="1">
      <c r="A1757" s="22" t="s">
        <v>113</v>
      </c>
      <c r="B1757" s="22" t="str">
        <f>IF(MOV_CC_NACIONAL!A1757="","",MOV_CC_NACIONAL!A1757)</f>
        <v/>
      </c>
      <c r="C1757" s="22" t="str">
        <f>IF(MOV_CC_NACIONAL!B1757="","",MOV_CC_NACIONAL!B1757)</f>
        <v/>
      </c>
      <c r="D1757" s="34" t="str">
        <f>IF(MOV_CC_NACIONAL!C1757="","",MOV_CC_NACIONAL!C1757)</f>
        <v/>
      </c>
      <c r="E1757" s="22" t="str">
        <f t="shared" si="1"/>
        <v/>
      </c>
      <c r="F1757" s="22" t="str">
        <f>IFERROR(__xludf.DUMMYFUNCTION("IF(C1757="""","""", OR(REGEXMATCH(LOWER(C1757),""cuota""), REGEXMATCH(C1757,""\d+\s*/\s*\d+"")))"),"")</f>
        <v/>
      </c>
      <c r="G1757" s="22" t="str">
        <f>IFERROR(__xludf.DUMMYFUNCTION("IFERROR(VALUE(REGEXEXTRACT(C1757,""(\d+)\s*/\s*\d+"")),"""")"),"")</f>
        <v/>
      </c>
      <c r="H1757" s="22" t="str">
        <f>IFERROR(__xludf.DUMMYFUNCTION("IFERROR(VALUE(REGEXEXTRACT(C1757,""\d+\s*/\s*(\d+)"")),"""")"),"")</f>
        <v/>
      </c>
      <c r="I1757" s="22" t="str">
        <f t="shared" si="2"/>
        <v/>
      </c>
      <c r="J1757" s="34" t="str">
        <f t="shared" si="3"/>
        <v/>
      </c>
    </row>
    <row r="1758" ht="15.75" customHeight="1">
      <c r="A1758" s="32" t="s">
        <v>113</v>
      </c>
      <c r="B1758" s="32" t="str">
        <f>IF(MOV_CC_NACIONAL!A1758="","",MOV_CC_NACIONAL!A1758)</f>
        <v/>
      </c>
      <c r="C1758" s="32" t="str">
        <f>IF(MOV_CC_NACIONAL!B1758="","",MOV_CC_NACIONAL!B1758)</f>
        <v/>
      </c>
      <c r="D1758" s="33" t="str">
        <f>IF(MOV_CC_NACIONAL!C1758="","",MOV_CC_NACIONAL!C1758)</f>
        <v/>
      </c>
      <c r="E1758" s="32" t="str">
        <f t="shared" si="1"/>
        <v/>
      </c>
      <c r="F1758" s="32" t="str">
        <f>IFERROR(__xludf.DUMMYFUNCTION("IF(C1758="""","""", OR(REGEXMATCH(LOWER(C1758),""cuota""), REGEXMATCH(C1758,""\d+\s*/\s*\d+"")))"),"")</f>
        <v/>
      </c>
      <c r="G1758" s="32" t="str">
        <f>IFERROR(__xludf.DUMMYFUNCTION("IFERROR(VALUE(REGEXEXTRACT(C1758,""(\d+)\s*/\s*\d+"")),"""")"),"")</f>
        <v/>
      </c>
      <c r="H1758" s="32" t="str">
        <f>IFERROR(__xludf.DUMMYFUNCTION("IFERROR(VALUE(REGEXEXTRACT(C1758,""\d+\s*/\s*(\d+)"")),"""")"),"")</f>
        <v/>
      </c>
      <c r="I1758" s="32" t="str">
        <f t="shared" si="2"/>
        <v/>
      </c>
      <c r="J1758" s="33" t="str">
        <f t="shared" si="3"/>
        <v/>
      </c>
    </row>
    <row r="1759" ht="15.75" customHeight="1">
      <c r="A1759" s="22" t="s">
        <v>113</v>
      </c>
      <c r="B1759" s="22" t="str">
        <f>IF(MOV_CC_NACIONAL!A1759="","",MOV_CC_NACIONAL!A1759)</f>
        <v/>
      </c>
      <c r="C1759" s="22" t="str">
        <f>IF(MOV_CC_NACIONAL!B1759="","",MOV_CC_NACIONAL!B1759)</f>
        <v/>
      </c>
      <c r="D1759" s="34" t="str">
        <f>IF(MOV_CC_NACIONAL!C1759="","",MOV_CC_NACIONAL!C1759)</f>
        <v/>
      </c>
      <c r="E1759" s="22" t="str">
        <f t="shared" si="1"/>
        <v/>
      </c>
      <c r="F1759" s="22" t="str">
        <f>IFERROR(__xludf.DUMMYFUNCTION("IF(C1759="""","""", OR(REGEXMATCH(LOWER(C1759),""cuota""), REGEXMATCH(C1759,""\d+\s*/\s*\d+"")))"),"")</f>
        <v/>
      </c>
      <c r="G1759" s="22" t="str">
        <f>IFERROR(__xludf.DUMMYFUNCTION("IFERROR(VALUE(REGEXEXTRACT(C1759,""(\d+)\s*/\s*\d+"")),"""")"),"")</f>
        <v/>
      </c>
      <c r="H1759" s="22" t="str">
        <f>IFERROR(__xludf.DUMMYFUNCTION("IFERROR(VALUE(REGEXEXTRACT(C1759,""\d+\s*/\s*(\d+)"")),"""")"),"")</f>
        <v/>
      </c>
      <c r="I1759" s="22" t="str">
        <f t="shared" si="2"/>
        <v/>
      </c>
      <c r="J1759" s="34" t="str">
        <f t="shared" si="3"/>
        <v/>
      </c>
    </row>
    <row r="1760" ht="15.75" customHeight="1">
      <c r="A1760" s="32" t="s">
        <v>113</v>
      </c>
      <c r="B1760" s="32" t="str">
        <f>IF(MOV_CC_NACIONAL!A1760="","",MOV_CC_NACIONAL!A1760)</f>
        <v/>
      </c>
      <c r="C1760" s="32" t="str">
        <f>IF(MOV_CC_NACIONAL!B1760="","",MOV_CC_NACIONAL!B1760)</f>
        <v/>
      </c>
      <c r="D1760" s="33" t="str">
        <f>IF(MOV_CC_NACIONAL!C1760="","",MOV_CC_NACIONAL!C1760)</f>
        <v/>
      </c>
      <c r="E1760" s="32" t="str">
        <f t="shared" si="1"/>
        <v/>
      </c>
      <c r="F1760" s="32" t="str">
        <f>IFERROR(__xludf.DUMMYFUNCTION("IF(C1760="""","""", OR(REGEXMATCH(LOWER(C1760),""cuota""), REGEXMATCH(C1760,""\d+\s*/\s*\d+"")))"),"")</f>
        <v/>
      </c>
      <c r="G1760" s="32" t="str">
        <f>IFERROR(__xludf.DUMMYFUNCTION("IFERROR(VALUE(REGEXEXTRACT(C1760,""(\d+)\s*/\s*\d+"")),"""")"),"")</f>
        <v/>
      </c>
      <c r="H1760" s="32" t="str">
        <f>IFERROR(__xludf.DUMMYFUNCTION("IFERROR(VALUE(REGEXEXTRACT(C1760,""\d+\s*/\s*(\d+)"")),"""")"),"")</f>
        <v/>
      </c>
      <c r="I1760" s="32" t="str">
        <f t="shared" si="2"/>
        <v/>
      </c>
      <c r="J1760" s="33" t="str">
        <f t="shared" si="3"/>
        <v/>
      </c>
    </row>
    <row r="1761" ht="15.75" customHeight="1">
      <c r="A1761" s="22" t="s">
        <v>113</v>
      </c>
      <c r="B1761" s="22" t="str">
        <f>IF(MOV_CC_NACIONAL!A1761="","",MOV_CC_NACIONAL!A1761)</f>
        <v/>
      </c>
      <c r="C1761" s="22" t="str">
        <f>IF(MOV_CC_NACIONAL!B1761="","",MOV_CC_NACIONAL!B1761)</f>
        <v/>
      </c>
      <c r="D1761" s="34" t="str">
        <f>IF(MOV_CC_NACIONAL!C1761="","",MOV_CC_NACIONAL!C1761)</f>
        <v/>
      </c>
      <c r="E1761" s="22" t="str">
        <f t="shared" si="1"/>
        <v/>
      </c>
      <c r="F1761" s="22" t="str">
        <f>IFERROR(__xludf.DUMMYFUNCTION("IF(C1761="""","""", OR(REGEXMATCH(LOWER(C1761),""cuota""), REGEXMATCH(C1761,""\d+\s*/\s*\d+"")))"),"")</f>
        <v/>
      </c>
      <c r="G1761" s="22" t="str">
        <f>IFERROR(__xludf.DUMMYFUNCTION("IFERROR(VALUE(REGEXEXTRACT(C1761,""(\d+)\s*/\s*\d+"")),"""")"),"")</f>
        <v/>
      </c>
      <c r="H1761" s="22" t="str">
        <f>IFERROR(__xludf.DUMMYFUNCTION("IFERROR(VALUE(REGEXEXTRACT(C1761,""\d+\s*/\s*(\d+)"")),"""")"),"")</f>
        <v/>
      </c>
      <c r="I1761" s="22" t="str">
        <f t="shared" si="2"/>
        <v/>
      </c>
      <c r="J1761" s="34" t="str">
        <f t="shared" si="3"/>
        <v/>
      </c>
    </row>
    <row r="1762" ht="15.75" customHeight="1">
      <c r="A1762" s="32" t="s">
        <v>113</v>
      </c>
      <c r="B1762" s="32" t="str">
        <f>IF(MOV_CC_NACIONAL!A1762="","",MOV_CC_NACIONAL!A1762)</f>
        <v/>
      </c>
      <c r="C1762" s="32" t="str">
        <f>IF(MOV_CC_NACIONAL!B1762="","",MOV_CC_NACIONAL!B1762)</f>
        <v/>
      </c>
      <c r="D1762" s="33" t="str">
        <f>IF(MOV_CC_NACIONAL!C1762="","",MOV_CC_NACIONAL!C1762)</f>
        <v/>
      </c>
      <c r="E1762" s="32" t="str">
        <f t="shared" si="1"/>
        <v/>
      </c>
      <c r="F1762" s="32" t="str">
        <f>IFERROR(__xludf.DUMMYFUNCTION("IF(C1762="""","""", OR(REGEXMATCH(LOWER(C1762),""cuota""), REGEXMATCH(C1762,""\d+\s*/\s*\d+"")))"),"")</f>
        <v/>
      </c>
      <c r="G1762" s="32" t="str">
        <f>IFERROR(__xludf.DUMMYFUNCTION("IFERROR(VALUE(REGEXEXTRACT(C1762,""(\d+)\s*/\s*\d+"")),"""")"),"")</f>
        <v/>
      </c>
      <c r="H1762" s="32" t="str">
        <f>IFERROR(__xludf.DUMMYFUNCTION("IFERROR(VALUE(REGEXEXTRACT(C1762,""\d+\s*/\s*(\d+)"")),"""")"),"")</f>
        <v/>
      </c>
      <c r="I1762" s="32" t="str">
        <f t="shared" si="2"/>
        <v/>
      </c>
      <c r="J1762" s="33" t="str">
        <f t="shared" si="3"/>
        <v/>
      </c>
    </row>
    <row r="1763" ht="15.75" customHeight="1">
      <c r="A1763" s="22" t="s">
        <v>113</v>
      </c>
      <c r="B1763" s="22" t="str">
        <f>IF(MOV_CC_NACIONAL!A1763="","",MOV_CC_NACIONAL!A1763)</f>
        <v/>
      </c>
      <c r="C1763" s="22" t="str">
        <f>IF(MOV_CC_NACIONAL!B1763="","",MOV_CC_NACIONAL!B1763)</f>
        <v/>
      </c>
      <c r="D1763" s="34" t="str">
        <f>IF(MOV_CC_NACIONAL!C1763="","",MOV_CC_NACIONAL!C1763)</f>
        <v/>
      </c>
      <c r="E1763" s="22" t="str">
        <f t="shared" si="1"/>
        <v/>
      </c>
      <c r="F1763" s="22" t="str">
        <f>IFERROR(__xludf.DUMMYFUNCTION("IF(C1763="""","""", OR(REGEXMATCH(LOWER(C1763),""cuota""), REGEXMATCH(C1763,""\d+\s*/\s*\d+"")))"),"")</f>
        <v/>
      </c>
      <c r="G1763" s="22" t="str">
        <f>IFERROR(__xludf.DUMMYFUNCTION("IFERROR(VALUE(REGEXEXTRACT(C1763,""(\d+)\s*/\s*\d+"")),"""")"),"")</f>
        <v/>
      </c>
      <c r="H1763" s="22" t="str">
        <f>IFERROR(__xludf.DUMMYFUNCTION("IFERROR(VALUE(REGEXEXTRACT(C1763,""\d+\s*/\s*(\d+)"")),"""")"),"")</f>
        <v/>
      </c>
      <c r="I1763" s="22" t="str">
        <f t="shared" si="2"/>
        <v/>
      </c>
      <c r="J1763" s="34" t="str">
        <f t="shared" si="3"/>
        <v/>
      </c>
    </row>
    <row r="1764" ht="15.75" customHeight="1">
      <c r="A1764" s="32" t="s">
        <v>113</v>
      </c>
      <c r="B1764" s="32" t="str">
        <f>IF(MOV_CC_NACIONAL!A1764="","",MOV_CC_NACIONAL!A1764)</f>
        <v/>
      </c>
      <c r="C1764" s="32" t="str">
        <f>IF(MOV_CC_NACIONAL!B1764="","",MOV_CC_NACIONAL!B1764)</f>
        <v/>
      </c>
      <c r="D1764" s="33" t="str">
        <f>IF(MOV_CC_NACIONAL!C1764="","",MOV_CC_NACIONAL!C1764)</f>
        <v/>
      </c>
      <c r="E1764" s="32" t="str">
        <f t="shared" si="1"/>
        <v/>
      </c>
      <c r="F1764" s="32" t="str">
        <f>IFERROR(__xludf.DUMMYFUNCTION("IF(C1764="""","""", OR(REGEXMATCH(LOWER(C1764),""cuota""), REGEXMATCH(C1764,""\d+\s*/\s*\d+"")))"),"")</f>
        <v/>
      </c>
      <c r="G1764" s="32" t="str">
        <f>IFERROR(__xludf.DUMMYFUNCTION("IFERROR(VALUE(REGEXEXTRACT(C1764,""(\d+)\s*/\s*\d+"")),"""")"),"")</f>
        <v/>
      </c>
      <c r="H1764" s="32" t="str">
        <f>IFERROR(__xludf.DUMMYFUNCTION("IFERROR(VALUE(REGEXEXTRACT(C1764,""\d+\s*/\s*(\d+)"")),"""")"),"")</f>
        <v/>
      </c>
      <c r="I1764" s="32" t="str">
        <f t="shared" si="2"/>
        <v/>
      </c>
      <c r="J1764" s="33" t="str">
        <f t="shared" si="3"/>
        <v/>
      </c>
    </row>
    <row r="1765" ht="15.75" customHeight="1">
      <c r="A1765" s="22" t="s">
        <v>113</v>
      </c>
      <c r="B1765" s="22" t="str">
        <f>IF(MOV_CC_NACIONAL!A1765="","",MOV_CC_NACIONAL!A1765)</f>
        <v/>
      </c>
      <c r="C1765" s="22" t="str">
        <f>IF(MOV_CC_NACIONAL!B1765="","",MOV_CC_NACIONAL!B1765)</f>
        <v/>
      </c>
      <c r="D1765" s="34" t="str">
        <f>IF(MOV_CC_NACIONAL!C1765="","",MOV_CC_NACIONAL!C1765)</f>
        <v/>
      </c>
      <c r="E1765" s="22" t="str">
        <f t="shared" si="1"/>
        <v/>
      </c>
      <c r="F1765" s="22" t="str">
        <f>IFERROR(__xludf.DUMMYFUNCTION("IF(C1765="""","""", OR(REGEXMATCH(LOWER(C1765),""cuota""), REGEXMATCH(C1765,""\d+\s*/\s*\d+"")))"),"")</f>
        <v/>
      </c>
      <c r="G1765" s="22" t="str">
        <f>IFERROR(__xludf.DUMMYFUNCTION("IFERROR(VALUE(REGEXEXTRACT(C1765,""(\d+)\s*/\s*\d+"")),"""")"),"")</f>
        <v/>
      </c>
      <c r="H1765" s="22" t="str">
        <f>IFERROR(__xludf.DUMMYFUNCTION("IFERROR(VALUE(REGEXEXTRACT(C1765,""\d+\s*/\s*(\d+)"")),"""")"),"")</f>
        <v/>
      </c>
      <c r="I1765" s="22" t="str">
        <f t="shared" si="2"/>
        <v/>
      </c>
      <c r="J1765" s="34" t="str">
        <f t="shared" si="3"/>
        <v/>
      </c>
    </row>
    <row r="1766" ht="15.75" customHeight="1">
      <c r="A1766" s="32" t="s">
        <v>113</v>
      </c>
      <c r="B1766" s="32" t="str">
        <f>IF(MOV_CC_NACIONAL!A1766="","",MOV_CC_NACIONAL!A1766)</f>
        <v/>
      </c>
      <c r="C1766" s="32" t="str">
        <f>IF(MOV_CC_NACIONAL!B1766="","",MOV_CC_NACIONAL!B1766)</f>
        <v/>
      </c>
      <c r="D1766" s="33" t="str">
        <f>IF(MOV_CC_NACIONAL!C1766="","",MOV_CC_NACIONAL!C1766)</f>
        <v/>
      </c>
      <c r="E1766" s="32" t="str">
        <f t="shared" si="1"/>
        <v/>
      </c>
      <c r="F1766" s="32" t="str">
        <f>IFERROR(__xludf.DUMMYFUNCTION("IF(C1766="""","""", OR(REGEXMATCH(LOWER(C1766),""cuota""), REGEXMATCH(C1766,""\d+\s*/\s*\d+"")))"),"")</f>
        <v/>
      </c>
      <c r="G1766" s="32" t="str">
        <f>IFERROR(__xludf.DUMMYFUNCTION("IFERROR(VALUE(REGEXEXTRACT(C1766,""(\d+)\s*/\s*\d+"")),"""")"),"")</f>
        <v/>
      </c>
      <c r="H1766" s="32" t="str">
        <f>IFERROR(__xludf.DUMMYFUNCTION("IFERROR(VALUE(REGEXEXTRACT(C1766,""\d+\s*/\s*(\d+)"")),"""")"),"")</f>
        <v/>
      </c>
      <c r="I1766" s="32" t="str">
        <f t="shared" si="2"/>
        <v/>
      </c>
      <c r="J1766" s="33" t="str">
        <f t="shared" si="3"/>
        <v/>
      </c>
    </row>
    <row r="1767" ht="15.75" customHeight="1">
      <c r="A1767" s="22" t="s">
        <v>113</v>
      </c>
      <c r="B1767" s="22" t="str">
        <f>IF(MOV_CC_NACIONAL!A1767="","",MOV_CC_NACIONAL!A1767)</f>
        <v/>
      </c>
      <c r="C1767" s="22" t="str">
        <f>IF(MOV_CC_NACIONAL!B1767="","",MOV_CC_NACIONAL!B1767)</f>
        <v/>
      </c>
      <c r="D1767" s="34" t="str">
        <f>IF(MOV_CC_NACIONAL!C1767="","",MOV_CC_NACIONAL!C1767)</f>
        <v/>
      </c>
      <c r="E1767" s="22" t="str">
        <f t="shared" si="1"/>
        <v/>
      </c>
      <c r="F1767" s="22" t="str">
        <f>IFERROR(__xludf.DUMMYFUNCTION("IF(C1767="""","""", OR(REGEXMATCH(LOWER(C1767),""cuota""), REGEXMATCH(C1767,""\d+\s*/\s*\d+"")))"),"")</f>
        <v/>
      </c>
      <c r="G1767" s="22" t="str">
        <f>IFERROR(__xludf.DUMMYFUNCTION("IFERROR(VALUE(REGEXEXTRACT(C1767,""(\d+)\s*/\s*\d+"")),"""")"),"")</f>
        <v/>
      </c>
      <c r="H1767" s="22" t="str">
        <f>IFERROR(__xludf.DUMMYFUNCTION("IFERROR(VALUE(REGEXEXTRACT(C1767,""\d+\s*/\s*(\d+)"")),"""")"),"")</f>
        <v/>
      </c>
      <c r="I1767" s="22" t="str">
        <f t="shared" si="2"/>
        <v/>
      </c>
      <c r="J1767" s="34" t="str">
        <f t="shared" si="3"/>
        <v/>
      </c>
    </row>
    <row r="1768" ht="15.75" customHeight="1">
      <c r="A1768" s="32" t="s">
        <v>113</v>
      </c>
      <c r="B1768" s="32" t="str">
        <f>IF(MOV_CC_NACIONAL!A1768="","",MOV_CC_NACIONAL!A1768)</f>
        <v/>
      </c>
      <c r="C1768" s="32" t="str">
        <f>IF(MOV_CC_NACIONAL!B1768="","",MOV_CC_NACIONAL!B1768)</f>
        <v/>
      </c>
      <c r="D1768" s="33" t="str">
        <f>IF(MOV_CC_NACIONAL!C1768="","",MOV_CC_NACIONAL!C1768)</f>
        <v/>
      </c>
      <c r="E1768" s="32" t="str">
        <f t="shared" si="1"/>
        <v/>
      </c>
      <c r="F1768" s="32" t="str">
        <f>IFERROR(__xludf.DUMMYFUNCTION("IF(C1768="""","""", OR(REGEXMATCH(LOWER(C1768),""cuota""), REGEXMATCH(C1768,""\d+\s*/\s*\d+"")))"),"")</f>
        <v/>
      </c>
      <c r="G1768" s="32" t="str">
        <f>IFERROR(__xludf.DUMMYFUNCTION("IFERROR(VALUE(REGEXEXTRACT(C1768,""(\d+)\s*/\s*\d+"")),"""")"),"")</f>
        <v/>
      </c>
      <c r="H1768" s="32" t="str">
        <f>IFERROR(__xludf.DUMMYFUNCTION("IFERROR(VALUE(REGEXEXTRACT(C1768,""\d+\s*/\s*(\d+)"")),"""")"),"")</f>
        <v/>
      </c>
      <c r="I1768" s="32" t="str">
        <f t="shared" si="2"/>
        <v/>
      </c>
      <c r="J1768" s="33" t="str">
        <f t="shared" si="3"/>
        <v/>
      </c>
    </row>
    <row r="1769" ht="15.75" customHeight="1">
      <c r="A1769" s="22" t="s">
        <v>113</v>
      </c>
      <c r="B1769" s="22" t="str">
        <f>IF(MOV_CC_NACIONAL!A1769="","",MOV_CC_NACIONAL!A1769)</f>
        <v/>
      </c>
      <c r="C1769" s="22" t="str">
        <f>IF(MOV_CC_NACIONAL!B1769="","",MOV_CC_NACIONAL!B1769)</f>
        <v/>
      </c>
      <c r="D1769" s="34" t="str">
        <f>IF(MOV_CC_NACIONAL!C1769="","",MOV_CC_NACIONAL!C1769)</f>
        <v/>
      </c>
      <c r="E1769" s="22" t="str">
        <f t="shared" si="1"/>
        <v/>
      </c>
      <c r="F1769" s="22" t="str">
        <f>IFERROR(__xludf.DUMMYFUNCTION("IF(C1769="""","""", OR(REGEXMATCH(LOWER(C1769),""cuota""), REGEXMATCH(C1769,""\d+\s*/\s*\d+"")))"),"")</f>
        <v/>
      </c>
      <c r="G1769" s="22" t="str">
        <f>IFERROR(__xludf.DUMMYFUNCTION("IFERROR(VALUE(REGEXEXTRACT(C1769,""(\d+)\s*/\s*\d+"")),"""")"),"")</f>
        <v/>
      </c>
      <c r="H1769" s="22" t="str">
        <f>IFERROR(__xludf.DUMMYFUNCTION("IFERROR(VALUE(REGEXEXTRACT(C1769,""\d+\s*/\s*(\d+)"")),"""")"),"")</f>
        <v/>
      </c>
      <c r="I1769" s="22" t="str">
        <f t="shared" si="2"/>
        <v/>
      </c>
      <c r="J1769" s="34" t="str">
        <f t="shared" si="3"/>
        <v/>
      </c>
    </row>
    <row r="1770" ht="15.75" customHeight="1">
      <c r="A1770" s="32" t="s">
        <v>113</v>
      </c>
      <c r="B1770" s="32" t="str">
        <f>IF(MOV_CC_NACIONAL!A1770="","",MOV_CC_NACIONAL!A1770)</f>
        <v/>
      </c>
      <c r="C1770" s="32" t="str">
        <f>IF(MOV_CC_NACIONAL!B1770="","",MOV_CC_NACIONAL!B1770)</f>
        <v/>
      </c>
      <c r="D1770" s="33" t="str">
        <f>IF(MOV_CC_NACIONAL!C1770="","",MOV_CC_NACIONAL!C1770)</f>
        <v/>
      </c>
      <c r="E1770" s="32" t="str">
        <f t="shared" si="1"/>
        <v/>
      </c>
      <c r="F1770" s="32" t="str">
        <f>IFERROR(__xludf.DUMMYFUNCTION("IF(C1770="""","""", OR(REGEXMATCH(LOWER(C1770),""cuota""), REGEXMATCH(C1770,""\d+\s*/\s*\d+"")))"),"")</f>
        <v/>
      </c>
      <c r="G1770" s="32" t="str">
        <f>IFERROR(__xludf.DUMMYFUNCTION("IFERROR(VALUE(REGEXEXTRACT(C1770,""(\d+)\s*/\s*\d+"")),"""")"),"")</f>
        <v/>
      </c>
      <c r="H1770" s="32" t="str">
        <f>IFERROR(__xludf.DUMMYFUNCTION("IFERROR(VALUE(REGEXEXTRACT(C1770,""\d+\s*/\s*(\d+)"")),"""")"),"")</f>
        <v/>
      </c>
      <c r="I1770" s="32" t="str">
        <f t="shared" si="2"/>
        <v/>
      </c>
      <c r="J1770" s="33" t="str">
        <f t="shared" si="3"/>
        <v/>
      </c>
    </row>
    <row r="1771" ht="15.75" customHeight="1">
      <c r="A1771" s="22" t="s">
        <v>113</v>
      </c>
      <c r="B1771" s="22" t="str">
        <f>IF(MOV_CC_NACIONAL!A1771="","",MOV_CC_NACIONAL!A1771)</f>
        <v/>
      </c>
      <c r="C1771" s="22" t="str">
        <f>IF(MOV_CC_NACIONAL!B1771="","",MOV_CC_NACIONAL!B1771)</f>
        <v/>
      </c>
      <c r="D1771" s="34" t="str">
        <f>IF(MOV_CC_NACIONAL!C1771="","",MOV_CC_NACIONAL!C1771)</f>
        <v/>
      </c>
      <c r="E1771" s="22" t="str">
        <f t="shared" si="1"/>
        <v/>
      </c>
      <c r="F1771" s="22" t="str">
        <f>IFERROR(__xludf.DUMMYFUNCTION("IF(C1771="""","""", OR(REGEXMATCH(LOWER(C1771),""cuota""), REGEXMATCH(C1771,""\d+\s*/\s*\d+"")))"),"")</f>
        <v/>
      </c>
      <c r="G1771" s="22" t="str">
        <f>IFERROR(__xludf.DUMMYFUNCTION("IFERROR(VALUE(REGEXEXTRACT(C1771,""(\d+)\s*/\s*\d+"")),"""")"),"")</f>
        <v/>
      </c>
      <c r="H1771" s="22" t="str">
        <f>IFERROR(__xludf.DUMMYFUNCTION("IFERROR(VALUE(REGEXEXTRACT(C1771,""\d+\s*/\s*(\d+)"")),"""")"),"")</f>
        <v/>
      </c>
      <c r="I1771" s="22" t="str">
        <f t="shared" si="2"/>
        <v/>
      </c>
      <c r="J1771" s="34" t="str">
        <f t="shared" si="3"/>
        <v/>
      </c>
    </row>
    <row r="1772" ht="15.75" customHeight="1">
      <c r="A1772" s="32" t="s">
        <v>113</v>
      </c>
      <c r="B1772" s="32" t="str">
        <f>IF(MOV_CC_NACIONAL!A1772="","",MOV_CC_NACIONAL!A1772)</f>
        <v/>
      </c>
      <c r="C1772" s="32" t="str">
        <f>IF(MOV_CC_NACIONAL!B1772="","",MOV_CC_NACIONAL!B1772)</f>
        <v/>
      </c>
      <c r="D1772" s="33" t="str">
        <f>IF(MOV_CC_NACIONAL!C1772="","",MOV_CC_NACIONAL!C1772)</f>
        <v/>
      </c>
      <c r="E1772" s="32" t="str">
        <f t="shared" si="1"/>
        <v/>
      </c>
      <c r="F1772" s="32" t="str">
        <f>IFERROR(__xludf.DUMMYFUNCTION("IF(C1772="""","""", OR(REGEXMATCH(LOWER(C1772),""cuota""), REGEXMATCH(C1772,""\d+\s*/\s*\d+"")))"),"")</f>
        <v/>
      </c>
      <c r="G1772" s="32" t="str">
        <f>IFERROR(__xludf.DUMMYFUNCTION("IFERROR(VALUE(REGEXEXTRACT(C1772,""(\d+)\s*/\s*\d+"")),"""")"),"")</f>
        <v/>
      </c>
      <c r="H1772" s="32" t="str">
        <f>IFERROR(__xludf.DUMMYFUNCTION("IFERROR(VALUE(REGEXEXTRACT(C1772,""\d+\s*/\s*(\d+)"")),"""")"),"")</f>
        <v/>
      </c>
      <c r="I1772" s="32" t="str">
        <f t="shared" si="2"/>
        <v/>
      </c>
      <c r="J1772" s="33" t="str">
        <f t="shared" si="3"/>
        <v/>
      </c>
    </row>
    <row r="1773" ht="15.75" customHeight="1">
      <c r="A1773" s="22" t="s">
        <v>113</v>
      </c>
      <c r="B1773" s="22" t="str">
        <f>IF(MOV_CC_NACIONAL!A1773="","",MOV_CC_NACIONAL!A1773)</f>
        <v/>
      </c>
      <c r="C1773" s="22" t="str">
        <f>IF(MOV_CC_NACIONAL!B1773="","",MOV_CC_NACIONAL!B1773)</f>
        <v/>
      </c>
      <c r="D1773" s="34" t="str">
        <f>IF(MOV_CC_NACIONAL!C1773="","",MOV_CC_NACIONAL!C1773)</f>
        <v/>
      </c>
      <c r="E1773" s="22" t="str">
        <f t="shared" si="1"/>
        <v/>
      </c>
      <c r="F1773" s="22" t="str">
        <f>IFERROR(__xludf.DUMMYFUNCTION("IF(C1773="""","""", OR(REGEXMATCH(LOWER(C1773),""cuota""), REGEXMATCH(C1773,""\d+\s*/\s*\d+"")))"),"")</f>
        <v/>
      </c>
      <c r="G1773" s="22" t="str">
        <f>IFERROR(__xludf.DUMMYFUNCTION("IFERROR(VALUE(REGEXEXTRACT(C1773,""(\d+)\s*/\s*\d+"")),"""")"),"")</f>
        <v/>
      </c>
      <c r="H1773" s="22" t="str">
        <f>IFERROR(__xludf.DUMMYFUNCTION("IFERROR(VALUE(REGEXEXTRACT(C1773,""\d+\s*/\s*(\d+)"")),"""")"),"")</f>
        <v/>
      </c>
      <c r="I1773" s="22" t="str">
        <f t="shared" si="2"/>
        <v/>
      </c>
      <c r="J1773" s="34" t="str">
        <f t="shared" si="3"/>
        <v/>
      </c>
    </row>
    <row r="1774" ht="15.75" customHeight="1">
      <c r="A1774" s="32" t="s">
        <v>113</v>
      </c>
      <c r="B1774" s="32" t="str">
        <f>IF(MOV_CC_NACIONAL!A1774="","",MOV_CC_NACIONAL!A1774)</f>
        <v/>
      </c>
      <c r="C1774" s="32" t="str">
        <f>IF(MOV_CC_NACIONAL!B1774="","",MOV_CC_NACIONAL!B1774)</f>
        <v/>
      </c>
      <c r="D1774" s="33" t="str">
        <f>IF(MOV_CC_NACIONAL!C1774="","",MOV_CC_NACIONAL!C1774)</f>
        <v/>
      </c>
      <c r="E1774" s="32" t="str">
        <f t="shared" si="1"/>
        <v/>
      </c>
      <c r="F1774" s="32" t="str">
        <f>IFERROR(__xludf.DUMMYFUNCTION("IF(C1774="""","""", OR(REGEXMATCH(LOWER(C1774),""cuota""), REGEXMATCH(C1774,""\d+\s*/\s*\d+"")))"),"")</f>
        <v/>
      </c>
      <c r="G1774" s="32" t="str">
        <f>IFERROR(__xludf.DUMMYFUNCTION("IFERROR(VALUE(REGEXEXTRACT(C1774,""(\d+)\s*/\s*\d+"")),"""")"),"")</f>
        <v/>
      </c>
      <c r="H1774" s="32" t="str">
        <f>IFERROR(__xludf.DUMMYFUNCTION("IFERROR(VALUE(REGEXEXTRACT(C1774,""\d+\s*/\s*(\d+)"")),"""")"),"")</f>
        <v/>
      </c>
      <c r="I1774" s="32" t="str">
        <f t="shared" si="2"/>
        <v/>
      </c>
      <c r="J1774" s="33" t="str">
        <f t="shared" si="3"/>
        <v/>
      </c>
    </row>
    <row r="1775" ht="15.75" customHeight="1">
      <c r="A1775" s="22" t="s">
        <v>113</v>
      </c>
      <c r="B1775" s="22" t="str">
        <f>IF(MOV_CC_NACIONAL!A1775="","",MOV_CC_NACIONAL!A1775)</f>
        <v/>
      </c>
      <c r="C1775" s="22" t="str">
        <f>IF(MOV_CC_NACIONAL!B1775="","",MOV_CC_NACIONAL!B1775)</f>
        <v/>
      </c>
      <c r="D1775" s="34" t="str">
        <f>IF(MOV_CC_NACIONAL!C1775="","",MOV_CC_NACIONAL!C1775)</f>
        <v/>
      </c>
      <c r="E1775" s="22" t="str">
        <f t="shared" si="1"/>
        <v/>
      </c>
      <c r="F1775" s="22" t="str">
        <f>IFERROR(__xludf.DUMMYFUNCTION("IF(C1775="""","""", OR(REGEXMATCH(LOWER(C1775),""cuota""), REGEXMATCH(C1775,""\d+\s*/\s*\d+"")))"),"")</f>
        <v/>
      </c>
      <c r="G1775" s="22" t="str">
        <f>IFERROR(__xludf.DUMMYFUNCTION("IFERROR(VALUE(REGEXEXTRACT(C1775,""(\d+)\s*/\s*\d+"")),"""")"),"")</f>
        <v/>
      </c>
      <c r="H1775" s="22" t="str">
        <f>IFERROR(__xludf.DUMMYFUNCTION("IFERROR(VALUE(REGEXEXTRACT(C1775,""\d+\s*/\s*(\d+)"")),"""")"),"")</f>
        <v/>
      </c>
      <c r="I1775" s="22" t="str">
        <f t="shared" si="2"/>
        <v/>
      </c>
      <c r="J1775" s="34" t="str">
        <f t="shared" si="3"/>
        <v/>
      </c>
    </row>
    <row r="1776" ht="15.75" customHeight="1">
      <c r="A1776" s="32" t="s">
        <v>113</v>
      </c>
      <c r="B1776" s="32" t="str">
        <f>IF(MOV_CC_NACIONAL!A1776="","",MOV_CC_NACIONAL!A1776)</f>
        <v/>
      </c>
      <c r="C1776" s="32" t="str">
        <f>IF(MOV_CC_NACIONAL!B1776="","",MOV_CC_NACIONAL!B1776)</f>
        <v/>
      </c>
      <c r="D1776" s="33" t="str">
        <f>IF(MOV_CC_NACIONAL!C1776="","",MOV_CC_NACIONAL!C1776)</f>
        <v/>
      </c>
      <c r="E1776" s="32" t="str">
        <f t="shared" si="1"/>
        <v/>
      </c>
      <c r="F1776" s="32" t="str">
        <f>IFERROR(__xludf.DUMMYFUNCTION("IF(C1776="""","""", OR(REGEXMATCH(LOWER(C1776),""cuota""), REGEXMATCH(C1776,""\d+\s*/\s*\d+"")))"),"")</f>
        <v/>
      </c>
      <c r="G1776" s="32" t="str">
        <f>IFERROR(__xludf.DUMMYFUNCTION("IFERROR(VALUE(REGEXEXTRACT(C1776,""(\d+)\s*/\s*\d+"")),"""")"),"")</f>
        <v/>
      </c>
      <c r="H1776" s="32" t="str">
        <f>IFERROR(__xludf.DUMMYFUNCTION("IFERROR(VALUE(REGEXEXTRACT(C1776,""\d+\s*/\s*(\d+)"")),"""")"),"")</f>
        <v/>
      </c>
      <c r="I1776" s="32" t="str">
        <f t="shared" si="2"/>
        <v/>
      </c>
      <c r="J1776" s="33" t="str">
        <f t="shared" si="3"/>
        <v/>
      </c>
    </row>
    <row r="1777" ht="15.75" customHeight="1">
      <c r="A1777" s="22" t="s">
        <v>113</v>
      </c>
      <c r="B1777" s="22" t="str">
        <f>IF(MOV_CC_NACIONAL!A1777="","",MOV_CC_NACIONAL!A1777)</f>
        <v/>
      </c>
      <c r="C1777" s="22" t="str">
        <f>IF(MOV_CC_NACIONAL!B1777="","",MOV_CC_NACIONAL!B1777)</f>
        <v/>
      </c>
      <c r="D1777" s="34" t="str">
        <f>IF(MOV_CC_NACIONAL!C1777="","",MOV_CC_NACIONAL!C1777)</f>
        <v/>
      </c>
      <c r="E1777" s="22" t="str">
        <f t="shared" si="1"/>
        <v/>
      </c>
      <c r="F1777" s="22" t="str">
        <f>IFERROR(__xludf.DUMMYFUNCTION("IF(C1777="""","""", OR(REGEXMATCH(LOWER(C1777),""cuota""), REGEXMATCH(C1777,""\d+\s*/\s*\d+"")))"),"")</f>
        <v/>
      </c>
      <c r="G1777" s="22" t="str">
        <f>IFERROR(__xludf.DUMMYFUNCTION("IFERROR(VALUE(REGEXEXTRACT(C1777,""(\d+)\s*/\s*\d+"")),"""")"),"")</f>
        <v/>
      </c>
      <c r="H1777" s="22" t="str">
        <f>IFERROR(__xludf.DUMMYFUNCTION("IFERROR(VALUE(REGEXEXTRACT(C1777,""\d+\s*/\s*(\d+)"")),"""")"),"")</f>
        <v/>
      </c>
      <c r="I1777" s="22" t="str">
        <f t="shared" si="2"/>
        <v/>
      </c>
      <c r="J1777" s="34" t="str">
        <f t="shared" si="3"/>
        <v/>
      </c>
    </row>
    <row r="1778" ht="15.75" customHeight="1">
      <c r="A1778" s="32" t="s">
        <v>113</v>
      </c>
      <c r="B1778" s="32" t="str">
        <f>IF(MOV_CC_NACIONAL!A1778="","",MOV_CC_NACIONAL!A1778)</f>
        <v/>
      </c>
      <c r="C1778" s="32" t="str">
        <f>IF(MOV_CC_NACIONAL!B1778="","",MOV_CC_NACIONAL!B1778)</f>
        <v/>
      </c>
      <c r="D1778" s="33" t="str">
        <f>IF(MOV_CC_NACIONAL!C1778="","",MOV_CC_NACIONAL!C1778)</f>
        <v/>
      </c>
      <c r="E1778" s="32" t="str">
        <f t="shared" si="1"/>
        <v/>
      </c>
      <c r="F1778" s="32" t="str">
        <f>IFERROR(__xludf.DUMMYFUNCTION("IF(C1778="""","""", OR(REGEXMATCH(LOWER(C1778),""cuota""), REGEXMATCH(C1778,""\d+\s*/\s*\d+"")))"),"")</f>
        <v/>
      </c>
      <c r="G1778" s="32" t="str">
        <f>IFERROR(__xludf.DUMMYFUNCTION("IFERROR(VALUE(REGEXEXTRACT(C1778,""(\d+)\s*/\s*\d+"")),"""")"),"")</f>
        <v/>
      </c>
      <c r="H1778" s="32" t="str">
        <f>IFERROR(__xludf.DUMMYFUNCTION("IFERROR(VALUE(REGEXEXTRACT(C1778,""\d+\s*/\s*(\d+)"")),"""")"),"")</f>
        <v/>
      </c>
      <c r="I1778" s="32" t="str">
        <f t="shared" si="2"/>
        <v/>
      </c>
      <c r="J1778" s="33" t="str">
        <f t="shared" si="3"/>
        <v/>
      </c>
    </row>
    <row r="1779" ht="15.75" customHeight="1">
      <c r="A1779" s="22" t="s">
        <v>113</v>
      </c>
      <c r="B1779" s="22" t="str">
        <f>IF(MOV_CC_NACIONAL!A1779="","",MOV_CC_NACIONAL!A1779)</f>
        <v/>
      </c>
      <c r="C1779" s="22" t="str">
        <f>IF(MOV_CC_NACIONAL!B1779="","",MOV_CC_NACIONAL!B1779)</f>
        <v/>
      </c>
      <c r="D1779" s="34" t="str">
        <f>IF(MOV_CC_NACIONAL!C1779="","",MOV_CC_NACIONAL!C1779)</f>
        <v/>
      </c>
      <c r="E1779" s="22" t="str">
        <f t="shared" si="1"/>
        <v/>
      </c>
      <c r="F1779" s="22" t="str">
        <f>IFERROR(__xludf.DUMMYFUNCTION("IF(C1779="""","""", OR(REGEXMATCH(LOWER(C1779),""cuota""), REGEXMATCH(C1779,""\d+\s*/\s*\d+"")))"),"")</f>
        <v/>
      </c>
      <c r="G1779" s="22" t="str">
        <f>IFERROR(__xludf.DUMMYFUNCTION("IFERROR(VALUE(REGEXEXTRACT(C1779,""(\d+)\s*/\s*\d+"")),"""")"),"")</f>
        <v/>
      </c>
      <c r="H1779" s="22" t="str">
        <f>IFERROR(__xludf.DUMMYFUNCTION("IFERROR(VALUE(REGEXEXTRACT(C1779,""\d+\s*/\s*(\d+)"")),"""")"),"")</f>
        <v/>
      </c>
      <c r="I1779" s="22" t="str">
        <f t="shared" si="2"/>
        <v/>
      </c>
      <c r="J1779" s="34" t="str">
        <f t="shared" si="3"/>
        <v/>
      </c>
    </row>
    <row r="1780" ht="15.75" customHeight="1">
      <c r="A1780" s="32" t="s">
        <v>113</v>
      </c>
      <c r="B1780" s="32" t="str">
        <f>IF(MOV_CC_NACIONAL!A1780="","",MOV_CC_NACIONAL!A1780)</f>
        <v/>
      </c>
      <c r="C1780" s="32" t="str">
        <f>IF(MOV_CC_NACIONAL!B1780="","",MOV_CC_NACIONAL!B1780)</f>
        <v/>
      </c>
      <c r="D1780" s="33" t="str">
        <f>IF(MOV_CC_NACIONAL!C1780="","",MOV_CC_NACIONAL!C1780)</f>
        <v/>
      </c>
      <c r="E1780" s="32" t="str">
        <f t="shared" si="1"/>
        <v/>
      </c>
      <c r="F1780" s="32" t="str">
        <f>IFERROR(__xludf.DUMMYFUNCTION("IF(C1780="""","""", OR(REGEXMATCH(LOWER(C1780),""cuota""), REGEXMATCH(C1780,""\d+\s*/\s*\d+"")))"),"")</f>
        <v/>
      </c>
      <c r="G1780" s="32" t="str">
        <f>IFERROR(__xludf.DUMMYFUNCTION("IFERROR(VALUE(REGEXEXTRACT(C1780,""(\d+)\s*/\s*\d+"")),"""")"),"")</f>
        <v/>
      </c>
      <c r="H1780" s="32" t="str">
        <f>IFERROR(__xludf.DUMMYFUNCTION("IFERROR(VALUE(REGEXEXTRACT(C1780,""\d+\s*/\s*(\d+)"")),"""")"),"")</f>
        <v/>
      </c>
      <c r="I1780" s="32" t="str">
        <f t="shared" si="2"/>
        <v/>
      </c>
      <c r="J1780" s="33" t="str">
        <f t="shared" si="3"/>
        <v/>
      </c>
    </row>
    <row r="1781" ht="15.75" customHeight="1">
      <c r="A1781" s="22" t="s">
        <v>113</v>
      </c>
      <c r="B1781" s="22" t="str">
        <f>IF(MOV_CC_NACIONAL!A1781="","",MOV_CC_NACIONAL!A1781)</f>
        <v/>
      </c>
      <c r="C1781" s="22" t="str">
        <f>IF(MOV_CC_NACIONAL!B1781="","",MOV_CC_NACIONAL!B1781)</f>
        <v/>
      </c>
      <c r="D1781" s="34" t="str">
        <f>IF(MOV_CC_NACIONAL!C1781="","",MOV_CC_NACIONAL!C1781)</f>
        <v/>
      </c>
      <c r="E1781" s="22" t="str">
        <f t="shared" si="1"/>
        <v/>
      </c>
      <c r="F1781" s="22" t="str">
        <f>IFERROR(__xludf.DUMMYFUNCTION("IF(C1781="""","""", OR(REGEXMATCH(LOWER(C1781),""cuota""), REGEXMATCH(C1781,""\d+\s*/\s*\d+"")))"),"")</f>
        <v/>
      </c>
      <c r="G1781" s="22" t="str">
        <f>IFERROR(__xludf.DUMMYFUNCTION("IFERROR(VALUE(REGEXEXTRACT(C1781,""(\d+)\s*/\s*\d+"")),"""")"),"")</f>
        <v/>
      </c>
      <c r="H1781" s="22" t="str">
        <f>IFERROR(__xludf.DUMMYFUNCTION("IFERROR(VALUE(REGEXEXTRACT(C1781,""\d+\s*/\s*(\d+)"")),"""")"),"")</f>
        <v/>
      </c>
      <c r="I1781" s="22" t="str">
        <f t="shared" si="2"/>
        <v/>
      </c>
      <c r="J1781" s="34" t="str">
        <f t="shared" si="3"/>
        <v/>
      </c>
    </row>
    <row r="1782" ht="15.75" customHeight="1">
      <c r="A1782" s="32" t="s">
        <v>113</v>
      </c>
      <c r="B1782" s="32" t="str">
        <f>IF(MOV_CC_NACIONAL!A1782="","",MOV_CC_NACIONAL!A1782)</f>
        <v/>
      </c>
      <c r="C1782" s="32" t="str">
        <f>IF(MOV_CC_NACIONAL!B1782="","",MOV_CC_NACIONAL!B1782)</f>
        <v/>
      </c>
      <c r="D1782" s="33" t="str">
        <f>IF(MOV_CC_NACIONAL!C1782="","",MOV_CC_NACIONAL!C1782)</f>
        <v/>
      </c>
      <c r="E1782" s="32" t="str">
        <f t="shared" si="1"/>
        <v/>
      </c>
      <c r="F1782" s="32" t="str">
        <f>IFERROR(__xludf.DUMMYFUNCTION("IF(C1782="""","""", OR(REGEXMATCH(LOWER(C1782),""cuota""), REGEXMATCH(C1782,""\d+\s*/\s*\d+"")))"),"")</f>
        <v/>
      </c>
      <c r="G1782" s="32" t="str">
        <f>IFERROR(__xludf.DUMMYFUNCTION("IFERROR(VALUE(REGEXEXTRACT(C1782,""(\d+)\s*/\s*\d+"")),"""")"),"")</f>
        <v/>
      </c>
      <c r="H1782" s="32" t="str">
        <f>IFERROR(__xludf.DUMMYFUNCTION("IFERROR(VALUE(REGEXEXTRACT(C1782,""\d+\s*/\s*(\d+)"")),"""")"),"")</f>
        <v/>
      </c>
      <c r="I1782" s="32" t="str">
        <f t="shared" si="2"/>
        <v/>
      </c>
      <c r="J1782" s="33" t="str">
        <f t="shared" si="3"/>
        <v/>
      </c>
    </row>
    <row r="1783" ht="15.75" customHeight="1">
      <c r="A1783" s="22" t="s">
        <v>113</v>
      </c>
      <c r="B1783" s="22" t="str">
        <f>IF(MOV_CC_NACIONAL!A1783="","",MOV_CC_NACIONAL!A1783)</f>
        <v/>
      </c>
      <c r="C1783" s="22" t="str">
        <f>IF(MOV_CC_NACIONAL!B1783="","",MOV_CC_NACIONAL!B1783)</f>
        <v/>
      </c>
      <c r="D1783" s="34" t="str">
        <f>IF(MOV_CC_NACIONAL!C1783="","",MOV_CC_NACIONAL!C1783)</f>
        <v/>
      </c>
      <c r="E1783" s="22" t="str">
        <f t="shared" si="1"/>
        <v/>
      </c>
      <c r="F1783" s="22" t="str">
        <f>IFERROR(__xludf.DUMMYFUNCTION("IF(C1783="""","""", OR(REGEXMATCH(LOWER(C1783),""cuota""), REGEXMATCH(C1783,""\d+\s*/\s*\d+"")))"),"")</f>
        <v/>
      </c>
      <c r="G1783" s="22" t="str">
        <f>IFERROR(__xludf.DUMMYFUNCTION("IFERROR(VALUE(REGEXEXTRACT(C1783,""(\d+)\s*/\s*\d+"")),"""")"),"")</f>
        <v/>
      </c>
      <c r="H1783" s="22" t="str">
        <f>IFERROR(__xludf.DUMMYFUNCTION("IFERROR(VALUE(REGEXEXTRACT(C1783,""\d+\s*/\s*(\d+)"")),"""")"),"")</f>
        <v/>
      </c>
      <c r="I1783" s="22" t="str">
        <f t="shared" si="2"/>
        <v/>
      </c>
      <c r="J1783" s="34" t="str">
        <f t="shared" si="3"/>
        <v/>
      </c>
    </row>
    <row r="1784" ht="15.75" customHeight="1">
      <c r="A1784" s="32" t="s">
        <v>113</v>
      </c>
      <c r="B1784" s="32" t="str">
        <f>IF(MOV_CC_NACIONAL!A1784="","",MOV_CC_NACIONAL!A1784)</f>
        <v/>
      </c>
      <c r="C1784" s="32" t="str">
        <f>IF(MOV_CC_NACIONAL!B1784="","",MOV_CC_NACIONAL!B1784)</f>
        <v/>
      </c>
      <c r="D1784" s="33" t="str">
        <f>IF(MOV_CC_NACIONAL!C1784="","",MOV_CC_NACIONAL!C1784)</f>
        <v/>
      </c>
      <c r="E1784" s="32" t="str">
        <f t="shared" si="1"/>
        <v/>
      </c>
      <c r="F1784" s="32" t="str">
        <f>IFERROR(__xludf.DUMMYFUNCTION("IF(C1784="""","""", OR(REGEXMATCH(LOWER(C1784),""cuota""), REGEXMATCH(C1784,""\d+\s*/\s*\d+"")))"),"")</f>
        <v/>
      </c>
      <c r="G1784" s="32" t="str">
        <f>IFERROR(__xludf.DUMMYFUNCTION("IFERROR(VALUE(REGEXEXTRACT(C1784,""(\d+)\s*/\s*\d+"")),"""")"),"")</f>
        <v/>
      </c>
      <c r="H1784" s="32" t="str">
        <f>IFERROR(__xludf.DUMMYFUNCTION("IFERROR(VALUE(REGEXEXTRACT(C1784,""\d+\s*/\s*(\d+)"")),"""")"),"")</f>
        <v/>
      </c>
      <c r="I1784" s="32" t="str">
        <f t="shared" si="2"/>
        <v/>
      </c>
      <c r="J1784" s="33" t="str">
        <f t="shared" si="3"/>
        <v/>
      </c>
    </row>
    <row r="1785" ht="15.75" customHeight="1">
      <c r="A1785" s="22" t="s">
        <v>113</v>
      </c>
      <c r="B1785" s="22" t="str">
        <f>IF(MOV_CC_NACIONAL!A1785="","",MOV_CC_NACIONAL!A1785)</f>
        <v/>
      </c>
      <c r="C1785" s="22" t="str">
        <f>IF(MOV_CC_NACIONAL!B1785="","",MOV_CC_NACIONAL!B1785)</f>
        <v/>
      </c>
      <c r="D1785" s="34" t="str">
        <f>IF(MOV_CC_NACIONAL!C1785="","",MOV_CC_NACIONAL!C1785)</f>
        <v/>
      </c>
      <c r="E1785" s="22" t="str">
        <f t="shared" si="1"/>
        <v/>
      </c>
      <c r="F1785" s="22" t="str">
        <f>IFERROR(__xludf.DUMMYFUNCTION("IF(C1785="""","""", OR(REGEXMATCH(LOWER(C1785),""cuota""), REGEXMATCH(C1785,""\d+\s*/\s*\d+"")))"),"")</f>
        <v/>
      </c>
      <c r="G1785" s="22" t="str">
        <f>IFERROR(__xludf.DUMMYFUNCTION("IFERROR(VALUE(REGEXEXTRACT(C1785,""(\d+)\s*/\s*\d+"")),"""")"),"")</f>
        <v/>
      </c>
      <c r="H1785" s="22" t="str">
        <f>IFERROR(__xludf.DUMMYFUNCTION("IFERROR(VALUE(REGEXEXTRACT(C1785,""\d+\s*/\s*(\d+)"")),"""")"),"")</f>
        <v/>
      </c>
      <c r="I1785" s="22" t="str">
        <f t="shared" si="2"/>
        <v/>
      </c>
      <c r="J1785" s="34" t="str">
        <f t="shared" si="3"/>
        <v/>
      </c>
    </row>
    <row r="1786" ht="15.75" customHeight="1">
      <c r="A1786" s="32" t="s">
        <v>113</v>
      </c>
      <c r="B1786" s="32" t="str">
        <f>IF(MOV_CC_NACIONAL!A1786="","",MOV_CC_NACIONAL!A1786)</f>
        <v/>
      </c>
      <c r="C1786" s="32" t="str">
        <f>IF(MOV_CC_NACIONAL!B1786="","",MOV_CC_NACIONAL!B1786)</f>
        <v/>
      </c>
      <c r="D1786" s="33" t="str">
        <f>IF(MOV_CC_NACIONAL!C1786="","",MOV_CC_NACIONAL!C1786)</f>
        <v/>
      </c>
      <c r="E1786" s="32" t="str">
        <f t="shared" si="1"/>
        <v/>
      </c>
      <c r="F1786" s="32" t="str">
        <f>IFERROR(__xludf.DUMMYFUNCTION("IF(C1786="""","""", OR(REGEXMATCH(LOWER(C1786),""cuota""), REGEXMATCH(C1786,""\d+\s*/\s*\d+"")))"),"")</f>
        <v/>
      </c>
      <c r="G1786" s="32" t="str">
        <f>IFERROR(__xludf.DUMMYFUNCTION("IFERROR(VALUE(REGEXEXTRACT(C1786,""(\d+)\s*/\s*\d+"")),"""")"),"")</f>
        <v/>
      </c>
      <c r="H1786" s="32" t="str">
        <f>IFERROR(__xludf.DUMMYFUNCTION("IFERROR(VALUE(REGEXEXTRACT(C1786,""\d+\s*/\s*(\d+)"")),"""")"),"")</f>
        <v/>
      </c>
      <c r="I1786" s="32" t="str">
        <f t="shared" si="2"/>
        <v/>
      </c>
      <c r="J1786" s="33" t="str">
        <f t="shared" si="3"/>
        <v/>
      </c>
    </row>
    <row r="1787" ht="15.75" customHeight="1">
      <c r="A1787" s="22" t="s">
        <v>113</v>
      </c>
      <c r="B1787" s="22" t="str">
        <f>IF(MOV_CC_NACIONAL!A1787="","",MOV_CC_NACIONAL!A1787)</f>
        <v/>
      </c>
      <c r="C1787" s="22" t="str">
        <f>IF(MOV_CC_NACIONAL!B1787="","",MOV_CC_NACIONAL!B1787)</f>
        <v/>
      </c>
      <c r="D1787" s="34" t="str">
        <f>IF(MOV_CC_NACIONAL!C1787="","",MOV_CC_NACIONAL!C1787)</f>
        <v/>
      </c>
      <c r="E1787" s="22" t="str">
        <f t="shared" si="1"/>
        <v/>
      </c>
      <c r="F1787" s="22" t="str">
        <f>IFERROR(__xludf.DUMMYFUNCTION("IF(C1787="""","""", OR(REGEXMATCH(LOWER(C1787),""cuota""), REGEXMATCH(C1787,""\d+\s*/\s*\d+"")))"),"")</f>
        <v/>
      </c>
      <c r="G1787" s="22" t="str">
        <f>IFERROR(__xludf.DUMMYFUNCTION("IFERROR(VALUE(REGEXEXTRACT(C1787,""(\d+)\s*/\s*\d+"")),"""")"),"")</f>
        <v/>
      </c>
      <c r="H1787" s="22" t="str">
        <f>IFERROR(__xludf.DUMMYFUNCTION("IFERROR(VALUE(REGEXEXTRACT(C1787,""\d+\s*/\s*(\d+)"")),"""")"),"")</f>
        <v/>
      </c>
      <c r="I1787" s="22" t="str">
        <f t="shared" si="2"/>
        <v/>
      </c>
      <c r="J1787" s="34" t="str">
        <f t="shared" si="3"/>
        <v/>
      </c>
    </row>
    <row r="1788" ht="15.75" customHeight="1">
      <c r="A1788" s="32" t="s">
        <v>113</v>
      </c>
      <c r="B1788" s="32" t="str">
        <f>IF(MOV_CC_NACIONAL!A1788="","",MOV_CC_NACIONAL!A1788)</f>
        <v/>
      </c>
      <c r="C1788" s="32" t="str">
        <f>IF(MOV_CC_NACIONAL!B1788="","",MOV_CC_NACIONAL!B1788)</f>
        <v/>
      </c>
      <c r="D1788" s="33" t="str">
        <f>IF(MOV_CC_NACIONAL!C1788="","",MOV_CC_NACIONAL!C1788)</f>
        <v/>
      </c>
      <c r="E1788" s="32" t="str">
        <f t="shared" si="1"/>
        <v/>
      </c>
      <c r="F1788" s="32" t="str">
        <f>IFERROR(__xludf.DUMMYFUNCTION("IF(C1788="""","""", OR(REGEXMATCH(LOWER(C1788),""cuota""), REGEXMATCH(C1788,""\d+\s*/\s*\d+"")))"),"")</f>
        <v/>
      </c>
      <c r="G1788" s="32" t="str">
        <f>IFERROR(__xludf.DUMMYFUNCTION("IFERROR(VALUE(REGEXEXTRACT(C1788,""(\d+)\s*/\s*\d+"")),"""")"),"")</f>
        <v/>
      </c>
      <c r="H1788" s="32" t="str">
        <f>IFERROR(__xludf.DUMMYFUNCTION("IFERROR(VALUE(REGEXEXTRACT(C1788,""\d+\s*/\s*(\d+)"")),"""")"),"")</f>
        <v/>
      </c>
      <c r="I1788" s="32" t="str">
        <f t="shared" si="2"/>
        <v/>
      </c>
      <c r="J1788" s="33" t="str">
        <f t="shared" si="3"/>
        <v/>
      </c>
    </row>
    <row r="1789" ht="15.75" customHeight="1">
      <c r="A1789" s="22" t="s">
        <v>113</v>
      </c>
      <c r="B1789" s="22" t="str">
        <f>IF(MOV_CC_NACIONAL!A1789="","",MOV_CC_NACIONAL!A1789)</f>
        <v/>
      </c>
      <c r="C1789" s="22" t="str">
        <f>IF(MOV_CC_NACIONAL!B1789="","",MOV_CC_NACIONAL!B1789)</f>
        <v/>
      </c>
      <c r="D1789" s="34" t="str">
        <f>IF(MOV_CC_NACIONAL!C1789="","",MOV_CC_NACIONAL!C1789)</f>
        <v/>
      </c>
      <c r="E1789" s="22" t="str">
        <f t="shared" si="1"/>
        <v/>
      </c>
      <c r="F1789" s="22" t="str">
        <f>IFERROR(__xludf.DUMMYFUNCTION("IF(C1789="""","""", OR(REGEXMATCH(LOWER(C1789),""cuota""), REGEXMATCH(C1789,""\d+\s*/\s*\d+"")))"),"")</f>
        <v/>
      </c>
      <c r="G1789" s="22" t="str">
        <f>IFERROR(__xludf.DUMMYFUNCTION("IFERROR(VALUE(REGEXEXTRACT(C1789,""(\d+)\s*/\s*\d+"")),"""")"),"")</f>
        <v/>
      </c>
      <c r="H1789" s="22" t="str">
        <f>IFERROR(__xludf.DUMMYFUNCTION("IFERROR(VALUE(REGEXEXTRACT(C1789,""\d+\s*/\s*(\d+)"")),"""")"),"")</f>
        <v/>
      </c>
      <c r="I1789" s="22" t="str">
        <f t="shared" si="2"/>
        <v/>
      </c>
      <c r="J1789" s="34" t="str">
        <f t="shared" si="3"/>
        <v/>
      </c>
    </row>
    <row r="1790" ht="15.75" customHeight="1">
      <c r="A1790" s="32" t="s">
        <v>113</v>
      </c>
      <c r="B1790" s="32" t="str">
        <f>IF(MOV_CC_NACIONAL!A1790="","",MOV_CC_NACIONAL!A1790)</f>
        <v/>
      </c>
      <c r="C1790" s="32" t="str">
        <f>IF(MOV_CC_NACIONAL!B1790="","",MOV_CC_NACIONAL!B1790)</f>
        <v/>
      </c>
      <c r="D1790" s="33" t="str">
        <f>IF(MOV_CC_NACIONAL!C1790="","",MOV_CC_NACIONAL!C1790)</f>
        <v/>
      </c>
      <c r="E1790" s="32" t="str">
        <f t="shared" si="1"/>
        <v/>
      </c>
      <c r="F1790" s="32" t="str">
        <f>IFERROR(__xludf.DUMMYFUNCTION("IF(C1790="""","""", OR(REGEXMATCH(LOWER(C1790),""cuota""), REGEXMATCH(C1790,""\d+\s*/\s*\d+"")))"),"")</f>
        <v/>
      </c>
      <c r="G1790" s="32" t="str">
        <f>IFERROR(__xludf.DUMMYFUNCTION("IFERROR(VALUE(REGEXEXTRACT(C1790,""(\d+)\s*/\s*\d+"")),"""")"),"")</f>
        <v/>
      </c>
      <c r="H1790" s="32" t="str">
        <f>IFERROR(__xludf.DUMMYFUNCTION("IFERROR(VALUE(REGEXEXTRACT(C1790,""\d+\s*/\s*(\d+)"")),"""")"),"")</f>
        <v/>
      </c>
      <c r="I1790" s="32" t="str">
        <f t="shared" si="2"/>
        <v/>
      </c>
      <c r="J1790" s="33" t="str">
        <f t="shared" si="3"/>
        <v/>
      </c>
    </row>
    <row r="1791" ht="15.75" customHeight="1">
      <c r="A1791" s="22" t="s">
        <v>113</v>
      </c>
      <c r="B1791" s="22" t="str">
        <f>IF(MOV_CC_NACIONAL!A1791="","",MOV_CC_NACIONAL!A1791)</f>
        <v/>
      </c>
      <c r="C1791" s="22" t="str">
        <f>IF(MOV_CC_NACIONAL!B1791="","",MOV_CC_NACIONAL!B1791)</f>
        <v/>
      </c>
      <c r="D1791" s="34" t="str">
        <f>IF(MOV_CC_NACIONAL!C1791="","",MOV_CC_NACIONAL!C1791)</f>
        <v/>
      </c>
      <c r="E1791" s="22" t="str">
        <f t="shared" si="1"/>
        <v/>
      </c>
      <c r="F1791" s="22" t="str">
        <f>IFERROR(__xludf.DUMMYFUNCTION("IF(C1791="""","""", OR(REGEXMATCH(LOWER(C1791),""cuota""), REGEXMATCH(C1791,""\d+\s*/\s*\d+"")))"),"")</f>
        <v/>
      </c>
      <c r="G1791" s="22" t="str">
        <f>IFERROR(__xludf.DUMMYFUNCTION("IFERROR(VALUE(REGEXEXTRACT(C1791,""(\d+)\s*/\s*\d+"")),"""")"),"")</f>
        <v/>
      </c>
      <c r="H1791" s="22" t="str">
        <f>IFERROR(__xludf.DUMMYFUNCTION("IFERROR(VALUE(REGEXEXTRACT(C1791,""\d+\s*/\s*(\d+)"")),"""")"),"")</f>
        <v/>
      </c>
      <c r="I1791" s="22" t="str">
        <f t="shared" si="2"/>
        <v/>
      </c>
      <c r="J1791" s="34" t="str">
        <f t="shared" si="3"/>
        <v/>
      </c>
    </row>
    <row r="1792" ht="15.75" customHeight="1">
      <c r="A1792" s="32" t="s">
        <v>113</v>
      </c>
      <c r="B1792" s="32" t="str">
        <f>IF(MOV_CC_NACIONAL!A1792="","",MOV_CC_NACIONAL!A1792)</f>
        <v/>
      </c>
      <c r="C1792" s="32" t="str">
        <f>IF(MOV_CC_NACIONAL!B1792="","",MOV_CC_NACIONAL!B1792)</f>
        <v/>
      </c>
      <c r="D1792" s="33" t="str">
        <f>IF(MOV_CC_NACIONAL!C1792="","",MOV_CC_NACIONAL!C1792)</f>
        <v/>
      </c>
      <c r="E1792" s="32" t="str">
        <f t="shared" si="1"/>
        <v/>
      </c>
      <c r="F1792" s="32" t="str">
        <f>IFERROR(__xludf.DUMMYFUNCTION("IF(C1792="""","""", OR(REGEXMATCH(LOWER(C1792),""cuota""), REGEXMATCH(C1792,""\d+\s*/\s*\d+"")))"),"")</f>
        <v/>
      </c>
      <c r="G1792" s="32" t="str">
        <f>IFERROR(__xludf.DUMMYFUNCTION("IFERROR(VALUE(REGEXEXTRACT(C1792,""(\d+)\s*/\s*\d+"")),"""")"),"")</f>
        <v/>
      </c>
      <c r="H1792" s="32" t="str">
        <f>IFERROR(__xludf.DUMMYFUNCTION("IFERROR(VALUE(REGEXEXTRACT(C1792,""\d+\s*/\s*(\d+)"")),"""")"),"")</f>
        <v/>
      </c>
      <c r="I1792" s="32" t="str">
        <f t="shared" si="2"/>
        <v/>
      </c>
      <c r="J1792" s="33" t="str">
        <f t="shared" si="3"/>
        <v/>
      </c>
    </row>
    <row r="1793" ht="15.75" customHeight="1">
      <c r="A1793" s="22" t="s">
        <v>113</v>
      </c>
      <c r="B1793" s="22" t="str">
        <f>IF(MOV_CC_NACIONAL!A1793="","",MOV_CC_NACIONAL!A1793)</f>
        <v/>
      </c>
      <c r="C1793" s="22" t="str">
        <f>IF(MOV_CC_NACIONAL!B1793="","",MOV_CC_NACIONAL!B1793)</f>
        <v/>
      </c>
      <c r="D1793" s="34" t="str">
        <f>IF(MOV_CC_NACIONAL!C1793="","",MOV_CC_NACIONAL!C1793)</f>
        <v/>
      </c>
      <c r="E1793" s="22" t="str">
        <f t="shared" si="1"/>
        <v/>
      </c>
      <c r="F1793" s="22" t="str">
        <f>IFERROR(__xludf.DUMMYFUNCTION("IF(C1793="""","""", OR(REGEXMATCH(LOWER(C1793),""cuota""), REGEXMATCH(C1793,""\d+\s*/\s*\d+"")))"),"")</f>
        <v/>
      </c>
      <c r="G1793" s="22" t="str">
        <f>IFERROR(__xludf.DUMMYFUNCTION("IFERROR(VALUE(REGEXEXTRACT(C1793,""(\d+)\s*/\s*\d+"")),"""")"),"")</f>
        <v/>
      </c>
      <c r="H1793" s="22" t="str">
        <f>IFERROR(__xludf.DUMMYFUNCTION("IFERROR(VALUE(REGEXEXTRACT(C1793,""\d+\s*/\s*(\d+)"")),"""")"),"")</f>
        <v/>
      </c>
      <c r="I1793" s="22" t="str">
        <f t="shared" si="2"/>
        <v/>
      </c>
      <c r="J1793" s="34" t="str">
        <f t="shared" si="3"/>
        <v/>
      </c>
    </row>
    <row r="1794" ht="15.75" customHeight="1">
      <c r="A1794" s="32" t="s">
        <v>113</v>
      </c>
      <c r="B1794" s="32" t="str">
        <f>IF(MOV_CC_NACIONAL!A1794="","",MOV_CC_NACIONAL!A1794)</f>
        <v/>
      </c>
      <c r="C1794" s="32" t="str">
        <f>IF(MOV_CC_NACIONAL!B1794="","",MOV_CC_NACIONAL!B1794)</f>
        <v/>
      </c>
      <c r="D1794" s="33" t="str">
        <f>IF(MOV_CC_NACIONAL!C1794="","",MOV_CC_NACIONAL!C1794)</f>
        <v/>
      </c>
      <c r="E1794" s="32" t="str">
        <f t="shared" si="1"/>
        <v/>
      </c>
      <c r="F1794" s="32" t="str">
        <f>IFERROR(__xludf.DUMMYFUNCTION("IF(C1794="""","""", OR(REGEXMATCH(LOWER(C1794),""cuota""), REGEXMATCH(C1794,""\d+\s*/\s*\d+"")))"),"")</f>
        <v/>
      </c>
      <c r="G1794" s="32" t="str">
        <f>IFERROR(__xludf.DUMMYFUNCTION("IFERROR(VALUE(REGEXEXTRACT(C1794,""(\d+)\s*/\s*\d+"")),"""")"),"")</f>
        <v/>
      </c>
      <c r="H1794" s="32" t="str">
        <f>IFERROR(__xludf.DUMMYFUNCTION("IFERROR(VALUE(REGEXEXTRACT(C1794,""\d+\s*/\s*(\d+)"")),"""")"),"")</f>
        <v/>
      </c>
      <c r="I1794" s="32" t="str">
        <f t="shared" si="2"/>
        <v/>
      </c>
      <c r="J1794" s="33" t="str">
        <f t="shared" si="3"/>
        <v/>
      </c>
    </row>
    <row r="1795" ht="15.75" customHeight="1">
      <c r="A1795" s="22" t="s">
        <v>113</v>
      </c>
      <c r="B1795" s="22" t="str">
        <f>IF(MOV_CC_NACIONAL!A1795="","",MOV_CC_NACIONAL!A1795)</f>
        <v/>
      </c>
      <c r="C1795" s="22" t="str">
        <f>IF(MOV_CC_NACIONAL!B1795="","",MOV_CC_NACIONAL!B1795)</f>
        <v/>
      </c>
      <c r="D1795" s="34" t="str">
        <f>IF(MOV_CC_NACIONAL!C1795="","",MOV_CC_NACIONAL!C1795)</f>
        <v/>
      </c>
      <c r="E1795" s="22" t="str">
        <f t="shared" si="1"/>
        <v/>
      </c>
      <c r="F1795" s="22" t="str">
        <f>IFERROR(__xludf.DUMMYFUNCTION("IF(C1795="""","""", OR(REGEXMATCH(LOWER(C1795),""cuota""), REGEXMATCH(C1795,""\d+\s*/\s*\d+"")))"),"")</f>
        <v/>
      </c>
      <c r="G1795" s="22" t="str">
        <f>IFERROR(__xludf.DUMMYFUNCTION("IFERROR(VALUE(REGEXEXTRACT(C1795,""(\d+)\s*/\s*\d+"")),"""")"),"")</f>
        <v/>
      </c>
      <c r="H1795" s="22" t="str">
        <f>IFERROR(__xludf.DUMMYFUNCTION("IFERROR(VALUE(REGEXEXTRACT(C1795,""\d+\s*/\s*(\d+)"")),"""")"),"")</f>
        <v/>
      </c>
      <c r="I1795" s="22" t="str">
        <f t="shared" si="2"/>
        <v/>
      </c>
      <c r="J1795" s="34" t="str">
        <f t="shared" si="3"/>
        <v/>
      </c>
    </row>
    <row r="1796" ht="15.75" customHeight="1">
      <c r="A1796" s="32" t="s">
        <v>113</v>
      </c>
      <c r="B1796" s="32" t="str">
        <f>IF(MOV_CC_NACIONAL!A1796="","",MOV_CC_NACIONAL!A1796)</f>
        <v/>
      </c>
      <c r="C1796" s="32" t="str">
        <f>IF(MOV_CC_NACIONAL!B1796="","",MOV_CC_NACIONAL!B1796)</f>
        <v/>
      </c>
      <c r="D1796" s="33" t="str">
        <f>IF(MOV_CC_NACIONAL!C1796="","",MOV_CC_NACIONAL!C1796)</f>
        <v/>
      </c>
      <c r="E1796" s="32" t="str">
        <f t="shared" si="1"/>
        <v/>
      </c>
      <c r="F1796" s="32" t="str">
        <f>IFERROR(__xludf.DUMMYFUNCTION("IF(C1796="""","""", OR(REGEXMATCH(LOWER(C1796),""cuota""), REGEXMATCH(C1796,""\d+\s*/\s*\d+"")))"),"")</f>
        <v/>
      </c>
      <c r="G1796" s="32" t="str">
        <f>IFERROR(__xludf.DUMMYFUNCTION("IFERROR(VALUE(REGEXEXTRACT(C1796,""(\d+)\s*/\s*\d+"")),"""")"),"")</f>
        <v/>
      </c>
      <c r="H1796" s="32" t="str">
        <f>IFERROR(__xludf.DUMMYFUNCTION("IFERROR(VALUE(REGEXEXTRACT(C1796,""\d+\s*/\s*(\d+)"")),"""")"),"")</f>
        <v/>
      </c>
      <c r="I1796" s="32" t="str">
        <f t="shared" si="2"/>
        <v/>
      </c>
      <c r="J1796" s="33" t="str">
        <f t="shared" si="3"/>
        <v/>
      </c>
    </row>
    <row r="1797" ht="15.75" customHeight="1">
      <c r="A1797" s="22" t="s">
        <v>113</v>
      </c>
      <c r="B1797" s="22" t="str">
        <f>IF(MOV_CC_NACIONAL!A1797="","",MOV_CC_NACIONAL!A1797)</f>
        <v/>
      </c>
      <c r="C1797" s="22" t="str">
        <f>IF(MOV_CC_NACIONAL!B1797="","",MOV_CC_NACIONAL!B1797)</f>
        <v/>
      </c>
      <c r="D1797" s="34" t="str">
        <f>IF(MOV_CC_NACIONAL!C1797="","",MOV_CC_NACIONAL!C1797)</f>
        <v/>
      </c>
      <c r="E1797" s="22" t="str">
        <f t="shared" si="1"/>
        <v/>
      </c>
      <c r="F1797" s="22" t="str">
        <f>IFERROR(__xludf.DUMMYFUNCTION("IF(C1797="""","""", OR(REGEXMATCH(LOWER(C1797),""cuota""), REGEXMATCH(C1797,""\d+\s*/\s*\d+"")))"),"")</f>
        <v/>
      </c>
      <c r="G1797" s="22" t="str">
        <f>IFERROR(__xludf.DUMMYFUNCTION("IFERROR(VALUE(REGEXEXTRACT(C1797,""(\d+)\s*/\s*\d+"")),"""")"),"")</f>
        <v/>
      </c>
      <c r="H1797" s="22" t="str">
        <f>IFERROR(__xludf.DUMMYFUNCTION("IFERROR(VALUE(REGEXEXTRACT(C1797,""\d+\s*/\s*(\d+)"")),"""")"),"")</f>
        <v/>
      </c>
      <c r="I1797" s="22" t="str">
        <f t="shared" si="2"/>
        <v/>
      </c>
      <c r="J1797" s="34" t="str">
        <f t="shared" si="3"/>
        <v/>
      </c>
    </row>
    <row r="1798" ht="15.75" customHeight="1">
      <c r="A1798" s="32" t="s">
        <v>113</v>
      </c>
      <c r="B1798" s="32" t="str">
        <f>IF(MOV_CC_NACIONAL!A1798="","",MOV_CC_NACIONAL!A1798)</f>
        <v/>
      </c>
      <c r="C1798" s="32" t="str">
        <f>IF(MOV_CC_NACIONAL!B1798="","",MOV_CC_NACIONAL!B1798)</f>
        <v/>
      </c>
      <c r="D1798" s="33" t="str">
        <f>IF(MOV_CC_NACIONAL!C1798="","",MOV_CC_NACIONAL!C1798)</f>
        <v/>
      </c>
      <c r="E1798" s="32" t="str">
        <f t="shared" si="1"/>
        <v/>
      </c>
      <c r="F1798" s="32" t="str">
        <f>IFERROR(__xludf.DUMMYFUNCTION("IF(C1798="""","""", OR(REGEXMATCH(LOWER(C1798),""cuota""), REGEXMATCH(C1798,""\d+\s*/\s*\d+"")))"),"")</f>
        <v/>
      </c>
      <c r="G1798" s="32" t="str">
        <f>IFERROR(__xludf.DUMMYFUNCTION("IFERROR(VALUE(REGEXEXTRACT(C1798,""(\d+)\s*/\s*\d+"")),"""")"),"")</f>
        <v/>
      </c>
      <c r="H1798" s="32" t="str">
        <f>IFERROR(__xludf.DUMMYFUNCTION("IFERROR(VALUE(REGEXEXTRACT(C1798,""\d+\s*/\s*(\d+)"")),"""")"),"")</f>
        <v/>
      </c>
      <c r="I1798" s="32" t="str">
        <f t="shared" si="2"/>
        <v/>
      </c>
      <c r="J1798" s="33" t="str">
        <f t="shared" si="3"/>
        <v/>
      </c>
    </row>
    <row r="1799" ht="15.75" customHeight="1">
      <c r="A1799" s="22" t="s">
        <v>113</v>
      </c>
      <c r="B1799" s="22" t="str">
        <f>IF(MOV_CC_NACIONAL!A1799="","",MOV_CC_NACIONAL!A1799)</f>
        <v/>
      </c>
      <c r="C1799" s="22" t="str">
        <f>IF(MOV_CC_NACIONAL!B1799="","",MOV_CC_NACIONAL!B1799)</f>
        <v/>
      </c>
      <c r="D1799" s="34" t="str">
        <f>IF(MOV_CC_NACIONAL!C1799="","",MOV_CC_NACIONAL!C1799)</f>
        <v/>
      </c>
      <c r="E1799" s="22" t="str">
        <f t="shared" si="1"/>
        <v/>
      </c>
      <c r="F1799" s="22" t="str">
        <f>IFERROR(__xludf.DUMMYFUNCTION("IF(C1799="""","""", OR(REGEXMATCH(LOWER(C1799),""cuota""), REGEXMATCH(C1799,""\d+\s*/\s*\d+"")))"),"")</f>
        <v/>
      </c>
      <c r="G1799" s="22" t="str">
        <f>IFERROR(__xludf.DUMMYFUNCTION("IFERROR(VALUE(REGEXEXTRACT(C1799,""(\d+)\s*/\s*\d+"")),"""")"),"")</f>
        <v/>
      </c>
      <c r="H1799" s="22" t="str">
        <f>IFERROR(__xludf.DUMMYFUNCTION("IFERROR(VALUE(REGEXEXTRACT(C1799,""\d+\s*/\s*(\d+)"")),"""")"),"")</f>
        <v/>
      </c>
      <c r="I1799" s="22" t="str">
        <f t="shared" si="2"/>
        <v/>
      </c>
      <c r="J1799" s="34" t="str">
        <f t="shared" si="3"/>
        <v/>
      </c>
    </row>
    <row r="1800" ht="15.75" customHeight="1">
      <c r="A1800" s="32" t="s">
        <v>113</v>
      </c>
      <c r="B1800" s="32" t="str">
        <f>IF(MOV_CC_NACIONAL!A1800="","",MOV_CC_NACIONAL!A1800)</f>
        <v/>
      </c>
      <c r="C1800" s="32" t="str">
        <f>IF(MOV_CC_NACIONAL!B1800="","",MOV_CC_NACIONAL!B1800)</f>
        <v/>
      </c>
      <c r="D1800" s="33" t="str">
        <f>IF(MOV_CC_NACIONAL!C1800="","",MOV_CC_NACIONAL!C1800)</f>
        <v/>
      </c>
      <c r="E1800" s="32" t="str">
        <f t="shared" si="1"/>
        <v/>
      </c>
      <c r="F1800" s="32" t="str">
        <f>IFERROR(__xludf.DUMMYFUNCTION("IF(C1800="""","""", OR(REGEXMATCH(LOWER(C1800),""cuota""), REGEXMATCH(C1800,""\d+\s*/\s*\d+"")))"),"")</f>
        <v/>
      </c>
      <c r="G1800" s="32" t="str">
        <f>IFERROR(__xludf.DUMMYFUNCTION("IFERROR(VALUE(REGEXEXTRACT(C1800,""(\d+)\s*/\s*\d+"")),"""")"),"")</f>
        <v/>
      </c>
      <c r="H1800" s="32" t="str">
        <f>IFERROR(__xludf.DUMMYFUNCTION("IFERROR(VALUE(REGEXEXTRACT(C1800,""\d+\s*/\s*(\d+)"")),"""")"),"")</f>
        <v/>
      </c>
      <c r="I1800" s="32" t="str">
        <f t="shared" si="2"/>
        <v/>
      </c>
      <c r="J1800" s="33" t="str">
        <f t="shared" si="3"/>
        <v/>
      </c>
    </row>
    <row r="1801" ht="15.75" customHeight="1">
      <c r="A1801" s="22" t="s">
        <v>113</v>
      </c>
      <c r="B1801" s="22" t="str">
        <f>IF(MOV_CC_NACIONAL!A1801="","",MOV_CC_NACIONAL!A1801)</f>
        <v/>
      </c>
      <c r="C1801" s="22" t="str">
        <f>IF(MOV_CC_NACIONAL!B1801="","",MOV_CC_NACIONAL!B1801)</f>
        <v/>
      </c>
      <c r="D1801" s="34" t="str">
        <f>IF(MOV_CC_NACIONAL!C1801="","",MOV_CC_NACIONAL!C1801)</f>
        <v/>
      </c>
      <c r="E1801" s="22" t="str">
        <f t="shared" si="1"/>
        <v/>
      </c>
      <c r="F1801" s="22" t="str">
        <f>IFERROR(__xludf.DUMMYFUNCTION("IF(C1801="""","""", OR(REGEXMATCH(LOWER(C1801),""cuota""), REGEXMATCH(C1801,""\d+\s*/\s*\d+"")))"),"")</f>
        <v/>
      </c>
      <c r="G1801" s="22" t="str">
        <f>IFERROR(__xludf.DUMMYFUNCTION("IFERROR(VALUE(REGEXEXTRACT(C1801,""(\d+)\s*/\s*\d+"")),"""")"),"")</f>
        <v/>
      </c>
      <c r="H1801" s="22" t="str">
        <f>IFERROR(__xludf.DUMMYFUNCTION("IFERROR(VALUE(REGEXEXTRACT(C1801,""\d+\s*/\s*(\d+)"")),"""")"),"")</f>
        <v/>
      </c>
      <c r="I1801" s="22" t="str">
        <f t="shared" si="2"/>
        <v/>
      </c>
      <c r="J1801" s="34" t="str">
        <f t="shared" si="3"/>
        <v/>
      </c>
    </row>
    <row r="1802" ht="15.75" customHeight="1">
      <c r="A1802" s="32" t="s">
        <v>113</v>
      </c>
      <c r="B1802" s="32" t="str">
        <f>IF(MOV_CC_NACIONAL!A1802="","",MOV_CC_NACIONAL!A1802)</f>
        <v/>
      </c>
      <c r="C1802" s="32" t="str">
        <f>IF(MOV_CC_NACIONAL!B1802="","",MOV_CC_NACIONAL!B1802)</f>
        <v/>
      </c>
      <c r="D1802" s="33" t="str">
        <f>IF(MOV_CC_NACIONAL!C1802="","",MOV_CC_NACIONAL!C1802)</f>
        <v/>
      </c>
      <c r="E1802" s="32" t="str">
        <f t="shared" si="1"/>
        <v/>
      </c>
      <c r="F1802" s="32" t="str">
        <f>IFERROR(__xludf.DUMMYFUNCTION("IF(C1802="""","""", OR(REGEXMATCH(LOWER(C1802),""cuota""), REGEXMATCH(C1802,""\d+\s*/\s*\d+"")))"),"")</f>
        <v/>
      </c>
      <c r="G1802" s="32" t="str">
        <f>IFERROR(__xludf.DUMMYFUNCTION("IFERROR(VALUE(REGEXEXTRACT(C1802,""(\d+)\s*/\s*\d+"")),"""")"),"")</f>
        <v/>
      </c>
      <c r="H1802" s="32" t="str">
        <f>IFERROR(__xludf.DUMMYFUNCTION("IFERROR(VALUE(REGEXEXTRACT(C1802,""\d+\s*/\s*(\d+)"")),"""")"),"")</f>
        <v/>
      </c>
      <c r="I1802" s="32" t="str">
        <f t="shared" si="2"/>
        <v/>
      </c>
      <c r="J1802" s="33" t="str">
        <f t="shared" si="3"/>
        <v/>
      </c>
    </row>
    <row r="1803" ht="15.75" customHeight="1">
      <c r="A1803" s="22" t="s">
        <v>113</v>
      </c>
      <c r="B1803" s="22" t="str">
        <f>IF(MOV_CC_NACIONAL!A1803="","",MOV_CC_NACIONAL!A1803)</f>
        <v/>
      </c>
      <c r="C1803" s="22" t="str">
        <f>IF(MOV_CC_NACIONAL!B1803="","",MOV_CC_NACIONAL!B1803)</f>
        <v/>
      </c>
      <c r="D1803" s="34" t="str">
        <f>IF(MOV_CC_NACIONAL!C1803="","",MOV_CC_NACIONAL!C1803)</f>
        <v/>
      </c>
      <c r="E1803" s="22" t="str">
        <f t="shared" si="1"/>
        <v/>
      </c>
      <c r="F1803" s="22" t="str">
        <f>IFERROR(__xludf.DUMMYFUNCTION("IF(C1803="""","""", OR(REGEXMATCH(LOWER(C1803),""cuota""), REGEXMATCH(C1803,""\d+\s*/\s*\d+"")))"),"")</f>
        <v/>
      </c>
      <c r="G1803" s="22" t="str">
        <f>IFERROR(__xludf.DUMMYFUNCTION("IFERROR(VALUE(REGEXEXTRACT(C1803,""(\d+)\s*/\s*\d+"")),"""")"),"")</f>
        <v/>
      </c>
      <c r="H1803" s="22" t="str">
        <f>IFERROR(__xludf.DUMMYFUNCTION("IFERROR(VALUE(REGEXEXTRACT(C1803,""\d+\s*/\s*(\d+)"")),"""")"),"")</f>
        <v/>
      </c>
      <c r="I1803" s="22" t="str">
        <f t="shared" si="2"/>
        <v/>
      </c>
      <c r="J1803" s="34" t="str">
        <f t="shared" si="3"/>
        <v/>
      </c>
    </row>
    <row r="1804" ht="15.75" customHeight="1">
      <c r="A1804" s="32" t="s">
        <v>113</v>
      </c>
      <c r="B1804" s="32" t="str">
        <f>IF(MOV_CC_NACIONAL!A1804="","",MOV_CC_NACIONAL!A1804)</f>
        <v/>
      </c>
      <c r="C1804" s="32" t="str">
        <f>IF(MOV_CC_NACIONAL!B1804="","",MOV_CC_NACIONAL!B1804)</f>
        <v/>
      </c>
      <c r="D1804" s="33" t="str">
        <f>IF(MOV_CC_NACIONAL!C1804="","",MOV_CC_NACIONAL!C1804)</f>
        <v/>
      </c>
      <c r="E1804" s="32" t="str">
        <f t="shared" si="1"/>
        <v/>
      </c>
      <c r="F1804" s="32" t="str">
        <f>IFERROR(__xludf.DUMMYFUNCTION("IF(C1804="""","""", OR(REGEXMATCH(LOWER(C1804),""cuota""), REGEXMATCH(C1804,""\d+\s*/\s*\d+"")))"),"")</f>
        <v/>
      </c>
      <c r="G1804" s="32" t="str">
        <f>IFERROR(__xludf.DUMMYFUNCTION("IFERROR(VALUE(REGEXEXTRACT(C1804,""(\d+)\s*/\s*\d+"")),"""")"),"")</f>
        <v/>
      </c>
      <c r="H1804" s="32" t="str">
        <f>IFERROR(__xludf.DUMMYFUNCTION("IFERROR(VALUE(REGEXEXTRACT(C1804,""\d+\s*/\s*(\d+)"")),"""")"),"")</f>
        <v/>
      </c>
      <c r="I1804" s="32" t="str">
        <f t="shared" si="2"/>
        <v/>
      </c>
      <c r="J1804" s="33" t="str">
        <f t="shared" si="3"/>
        <v/>
      </c>
    </row>
    <row r="1805" ht="15.75" customHeight="1">
      <c r="A1805" s="22" t="s">
        <v>113</v>
      </c>
      <c r="B1805" s="22" t="str">
        <f>IF(MOV_CC_NACIONAL!A1805="","",MOV_CC_NACIONAL!A1805)</f>
        <v/>
      </c>
      <c r="C1805" s="22" t="str">
        <f>IF(MOV_CC_NACIONAL!B1805="","",MOV_CC_NACIONAL!B1805)</f>
        <v/>
      </c>
      <c r="D1805" s="34" t="str">
        <f>IF(MOV_CC_NACIONAL!C1805="","",MOV_CC_NACIONAL!C1805)</f>
        <v/>
      </c>
      <c r="E1805" s="22" t="str">
        <f t="shared" si="1"/>
        <v/>
      </c>
      <c r="F1805" s="22" t="str">
        <f>IFERROR(__xludf.DUMMYFUNCTION("IF(C1805="""","""", OR(REGEXMATCH(LOWER(C1805),""cuota""), REGEXMATCH(C1805,""\d+\s*/\s*\d+"")))"),"")</f>
        <v/>
      </c>
      <c r="G1805" s="22" t="str">
        <f>IFERROR(__xludf.DUMMYFUNCTION("IFERROR(VALUE(REGEXEXTRACT(C1805,""(\d+)\s*/\s*\d+"")),"""")"),"")</f>
        <v/>
      </c>
      <c r="H1805" s="22" t="str">
        <f>IFERROR(__xludf.DUMMYFUNCTION("IFERROR(VALUE(REGEXEXTRACT(C1805,""\d+\s*/\s*(\d+)"")),"""")"),"")</f>
        <v/>
      </c>
      <c r="I1805" s="22" t="str">
        <f t="shared" si="2"/>
        <v/>
      </c>
      <c r="J1805" s="34" t="str">
        <f t="shared" si="3"/>
        <v/>
      </c>
    </row>
    <row r="1806" ht="15.75" customHeight="1">
      <c r="A1806" s="32" t="s">
        <v>113</v>
      </c>
      <c r="B1806" s="32" t="str">
        <f>IF(MOV_CC_NACIONAL!A1806="","",MOV_CC_NACIONAL!A1806)</f>
        <v/>
      </c>
      <c r="C1806" s="32" t="str">
        <f>IF(MOV_CC_NACIONAL!B1806="","",MOV_CC_NACIONAL!B1806)</f>
        <v/>
      </c>
      <c r="D1806" s="33" t="str">
        <f>IF(MOV_CC_NACIONAL!C1806="","",MOV_CC_NACIONAL!C1806)</f>
        <v/>
      </c>
      <c r="E1806" s="32" t="str">
        <f t="shared" si="1"/>
        <v/>
      </c>
      <c r="F1806" s="32" t="str">
        <f>IFERROR(__xludf.DUMMYFUNCTION("IF(C1806="""","""", OR(REGEXMATCH(LOWER(C1806),""cuota""), REGEXMATCH(C1806,""\d+\s*/\s*\d+"")))"),"")</f>
        <v/>
      </c>
      <c r="G1806" s="32" t="str">
        <f>IFERROR(__xludf.DUMMYFUNCTION("IFERROR(VALUE(REGEXEXTRACT(C1806,""(\d+)\s*/\s*\d+"")),"""")"),"")</f>
        <v/>
      </c>
      <c r="H1806" s="32" t="str">
        <f>IFERROR(__xludf.DUMMYFUNCTION("IFERROR(VALUE(REGEXEXTRACT(C1806,""\d+\s*/\s*(\d+)"")),"""")"),"")</f>
        <v/>
      </c>
      <c r="I1806" s="32" t="str">
        <f t="shared" si="2"/>
        <v/>
      </c>
      <c r="J1806" s="33" t="str">
        <f t="shared" si="3"/>
        <v/>
      </c>
    </row>
    <row r="1807" ht="15.75" customHeight="1">
      <c r="A1807" s="22" t="s">
        <v>113</v>
      </c>
      <c r="B1807" s="22" t="str">
        <f>IF(MOV_CC_NACIONAL!A1807="","",MOV_CC_NACIONAL!A1807)</f>
        <v/>
      </c>
      <c r="C1807" s="22" t="str">
        <f>IF(MOV_CC_NACIONAL!B1807="","",MOV_CC_NACIONAL!B1807)</f>
        <v/>
      </c>
      <c r="D1807" s="34" t="str">
        <f>IF(MOV_CC_NACIONAL!C1807="","",MOV_CC_NACIONAL!C1807)</f>
        <v/>
      </c>
      <c r="E1807" s="22" t="str">
        <f t="shared" si="1"/>
        <v/>
      </c>
      <c r="F1807" s="22" t="str">
        <f>IFERROR(__xludf.DUMMYFUNCTION("IF(C1807="""","""", OR(REGEXMATCH(LOWER(C1807),""cuota""), REGEXMATCH(C1807,""\d+\s*/\s*\d+"")))"),"")</f>
        <v/>
      </c>
      <c r="G1807" s="22" t="str">
        <f>IFERROR(__xludf.DUMMYFUNCTION("IFERROR(VALUE(REGEXEXTRACT(C1807,""(\d+)\s*/\s*\d+"")),"""")"),"")</f>
        <v/>
      </c>
      <c r="H1807" s="22" t="str">
        <f>IFERROR(__xludf.DUMMYFUNCTION("IFERROR(VALUE(REGEXEXTRACT(C1807,""\d+\s*/\s*(\d+)"")),"""")"),"")</f>
        <v/>
      </c>
      <c r="I1807" s="22" t="str">
        <f t="shared" si="2"/>
        <v/>
      </c>
      <c r="J1807" s="34" t="str">
        <f t="shared" si="3"/>
        <v/>
      </c>
    </row>
    <row r="1808" ht="15.75" customHeight="1">
      <c r="A1808" s="32" t="s">
        <v>113</v>
      </c>
      <c r="B1808" s="32" t="str">
        <f>IF(MOV_CC_NACIONAL!A1808="","",MOV_CC_NACIONAL!A1808)</f>
        <v/>
      </c>
      <c r="C1808" s="32" t="str">
        <f>IF(MOV_CC_NACIONAL!B1808="","",MOV_CC_NACIONAL!B1808)</f>
        <v/>
      </c>
      <c r="D1808" s="33" t="str">
        <f>IF(MOV_CC_NACIONAL!C1808="","",MOV_CC_NACIONAL!C1808)</f>
        <v/>
      </c>
      <c r="E1808" s="32" t="str">
        <f t="shared" si="1"/>
        <v/>
      </c>
      <c r="F1808" s="32" t="str">
        <f>IFERROR(__xludf.DUMMYFUNCTION("IF(C1808="""","""", OR(REGEXMATCH(LOWER(C1808),""cuota""), REGEXMATCH(C1808,""\d+\s*/\s*\d+"")))"),"")</f>
        <v/>
      </c>
      <c r="G1808" s="32" t="str">
        <f>IFERROR(__xludf.DUMMYFUNCTION("IFERROR(VALUE(REGEXEXTRACT(C1808,""(\d+)\s*/\s*\d+"")),"""")"),"")</f>
        <v/>
      </c>
      <c r="H1808" s="32" t="str">
        <f>IFERROR(__xludf.DUMMYFUNCTION("IFERROR(VALUE(REGEXEXTRACT(C1808,""\d+\s*/\s*(\d+)"")),"""")"),"")</f>
        <v/>
      </c>
      <c r="I1808" s="32" t="str">
        <f t="shared" si="2"/>
        <v/>
      </c>
      <c r="J1808" s="33" t="str">
        <f t="shared" si="3"/>
        <v/>
      </c>
    </row>
    <row r="1809" ht="15.75" customHeight="1">
      <c r="A1809" s="22" t="s">
        <v>113</v>
      </c>
      <c r="B1809" s="22" t="str">
        <f>IF(MOV_CC_NACIONAL!A1809="","",MOV_CC_NACIONAL!A1809)</f>
        <v/>
      </c>
      <c r="C1809" s="22" t="str">
        <f>IF(MOV_CC_NACIONAL!B1809="","",MOV_CC_NACIONAL!B1809)</f>
        <v/>
      </c>
      <c r="D1809" s="34" t="str">
        <f>IF(MOV_CC_NACIONAL!C1809="","",MOV_CC_NACIONAL!C1809)</f>
        <v/>
      </c>
      <c r="E1809" s="22" t="str">
        <f t="shared" si="1"/>
        <v/>
      </c>
      <c r="F1809" s="22" t="str">
        <f>IFERROR(__xludf.DUMMYFUNCTION("IF(C1809="""","""", OR(REGEXMATCH(LOWER(C1809),""cuota""), REGEXMATCH(C1809,""\d+\s*/\s*\d+"")))"),"")</f>
        <v/>
      </c>
      <c r="G1809" s="22" t="str">
        <f>IFERROR(__xludf.DUMMYFUNCTION("IFERROR(VALUE(REGEXEXTRACT(C1809,""(\d+)\s*/\s*\d+"")),"""")"),"")</f>
        <v/>
      </c>
      <c r="H1809" s="22" t="str">
        <f>IFERROR(__xludf.DUMMYFUNCTION("IFERROR(VALUE(REGEXEXTRACT(C1809,""\d+\s*/\s*(\d+)"")),"""")"),"")</f>
        <v/>
      </c>
      <c r="I1809" s="22" t="str">
        <f t="shared" si="2"/>
        <v/>
      </c>
      <c r="J1809" s="34" t="str">
        <f t="shared" si="3"/>
        <v/>
      </c>
    </row>
    <row r="1810" ht="15.75" customHeight="1">
      <c r="A1810" s="32" t="s">
        <v>113</v>
      </c>
      <c r="B1810" s="32" t="str">
        <f>IF(MOV_CC_NACIONAL!A1810="","",MOV_CC_NACIONAL!A1810)</f>
        <v/>
      </c>
      <c r="C1810" s="32" t="str">
        <f>IF(MOV_CC_NACIONAL!B1810="","",MOV_CC_NACIONAL!B1810)</f>
        <v/>
      </c>
      <c r="D1810" s="33" t="str">
        <f>IF(MOV_CC_NACIONAL!C1810="","",MOV_CC_NACIONAL!C1810)</f>
        <v/>
      </c>
      <c r="E1810" s="32" t="str">
        <f t="shared" si="1"/>
        <v/>
      </c>
      <c r="F1810" s="32" t="str">
        <f>IFERROR(__xludf.DUMMYFUNCTION("IF(C1810="""","""", OR(REGEXMATCH(LOWER(C1810),""cuota""), REGEXMATCH(C1810,""\d+\s*/\s*\d+"")))"),"")</f>
        <v/>
      </c>
      <c r="G1810" s="32" t="str">
        <f>IFERROR(__xludf.DUMMYFUNCTION("IFERROR(VALUE(REGEXEXTRACT(C1810,""(\d+)\s*/\s*\d+"")),"""")"),"")</f>
        <v/>
      </c>
      <c r="H1810" s="32" t="str">
        <f>IFERROR(__xludf.DUMMYFUNCTION("IFERROR(VALUE(REGEXEXTRACT(C1810,""\d+\s*/\s*(\d+)"")),"""")"),"")</f>
        <v/>
      </c>
      <c r="I1810" s="32" t="str">
        <f t="shared" si="2"/>
        <v/>
      </c>
      <c r="J1810" s="33" t="str">
        <f t="shared" si="3"/>
        <v/>
      </c>
    </row>
    <row r="1811" ht="15.75" customHeight="1">
      <c r="A1811" s="22" t="s">
        <v>113</v>
      </c>
      <c r="B1811" s="22" t="str">
        <f>IF(MOV_CC_NACIONAL!A1811="","",MOV_CC_NACIONAL!A1811)</f>
        <v/>
      </c>
      <c r="C1811" s="22" t="str">
        <f>IF(MOV_CC_NACIONAL!B1811="","",MOV_CC_NACIONAL!B1811)</f>
        <v/>
      </c>
      <c r="D1811" s="34" t="str">
        <f>IF(MOV_CC_NACIONAL!C1811="","",MOV_CC_NACIONAL!C1811)</f>
        <v/>
      </c>
      <c r="E1811" s="22" t="str">
        <f t="shared" si="1"/>
        <v/>
      </c>
      <c r="F1811" s="22" t="str">
        <f>IFERROR(__xludf.DUMMYFUNCTION("IF(C1811="""","""", OR(REGEXMATCH(LOWER(C1811),""cuota""), REGEXMATCH(C1811,""\d+\s*/\s*\d+"")))"),"")</f>
        <v/>
      </c>
      <c r="G1811" s="22" t="str">
        <f>IFERROR(__xludf.DUMMYFUNCTION("IFERROR(VALUE(REGEXEXTRACT(C1811,""(\d+)\s*/\s*\d+"")),"""")"),"")</f>
        <v/>
      </c>
      <c r="H1811" s="22" t="str">
        <f>IFERROR(__xludf.DUMMYFUNCTION("IFERROR(VALUE(REGEXEXTRACT(C1811,""\d+\s*/\s*(\d+)"")),"""")"),"")</f>
        <v/>
      </c>
      <c r="I1811" s="22" t="str">
        <f t="shared" si="2"/>
        <v/>
      </c>
      <c r="J1811" s="34" t="str">
        <f t="shared" si="3"/>
        <v/>
      </c>
    </row>
    <row r="1812" ht="15.75" customHeight="1">
      <c r="A1812" s="32" t="s">
        <v>113</v>
      </c>
      <c r="B1812" s="32" t="str">
        <f>IF(MOV_CC_NACIONAL!A1812="","",MOV_CC_NACIONAL!A1812)</f>
        <v/>
      </c>
      <c r="C1812" s="32" t="str">
        <f>IF(MOV_CC_NACIONAL!B1812="","",MOV_CC_NACIONAL!B1812)</f>
        <v/>
      </c>
      <c r="D1812" s="33" t="str">
        <f>IF(MOV_CC_NACIONAL!C1812="","",MOV_CC_NACIONAL!C1812)</f>
        <v/>
      </c>
      <c r="E1812" s="32" t="str">
        <f t="shared" si="1"/>
        <v/>
      </c>
      <c r="F1812" s="32" t="str">
        <f>IFERROR(__xludf.DUMMYFUNCTION("IF(C1812="""","""", OR(REGEXMATCH(LOWER(C1812),""cuota""), REGEXMATCH(C1812,""\d+\s*/\s*\d+"")))"),"")</f>
        <v/>
      </c>
      <c r="G1812" s="32" t="str">
        <f>IFERROR(__xludf.DUMMYFUNCTION("IFERROR(VALUE(REGEXEXTRACT(C1812,""(\d+)\s*/\s*\d+"")),"""")"),"")</f>
        <v/>
      </c>
      <c r="H1812" s="32" t="str">
        <f>IFERROR(__xludf.DUMMYFUNCTION("IFERROR(VALUE(REGEXEXTRACT(C1812,""\d+\s*/\s*(\d+)"")),"""")"),"")</f>
        <v/>
      </c>
      <c r="I1812" s="32" t="str">
        <f t="shared" si="2"/>
        <v/>
      </c>
      <c r="J1812" s="33" t="str">
        <f t="shared" si="3"/>
        <v/>
      </c>
    </row>
    <row r="1813" ht="15.75" customHeight="1">
      <c r="A1813" s="22" t="s">
        <v>113</v>
      </c>
      <c r="B1813" s="22" t="str">
        <f>IF(MOV_CC_NACIONAL!A1813="","",MOV_CC_NACIONAL!A1813)</f>
        <v/>
      </c>
      <c r="C1813" s="22" t="str">
        <f>IF(MOV_CC_NACIONAL!B1813="","",MOV_CC_NACIONAL!B1813)</f>
        <v/>
      </c>
      <c r="D1813" s="34" t="str">
        <f>IF(MOV_CC_NACIONAL!C1813="","",MOV_CC_NACIONAL!C1813)</f>
        <v/>
      </c>
      <c r="E1813" s="22" t="str">
        <f t="shared" si="1"/>
        <v/>
      </c>
      <c r="F1813" s="22" t="str">
        <f>IFERROR(__xludf.DUMMYFUNCTION("IF(C1813="""","""", OR(REGEXMATCH(LOWER(C1813),""cuota""), REGEXMATCH(C1813,""\d+\s*/\s*\d+"")))"),"")</f>
        <v/>
      </c>
      <c r="G1813" s="22" t="str">
        <f>IFERROR(__xludf.DUMMYFUNCTION("IFERROR(VALUE(REGEXEXTRACT(C1813,""(\d+)\s*/\s*\d+"")),"""")"),"")</f>
        <v/>
      </c>
      <c r="H1813" s="22" t="str">
        <f>IFERROR(__xludf.DUMMYFUNCTION("IFERROR(VALUE(REGEXEXTRACT(C1813,""\d+\s*/\s*(\d+)"")),"""")"),"")</f>
        <v/>
      </c>
      <c r="I1813" s="22" t="str">
        <f t="shared" si="2"/>
        <v/>
      </c>
      <c r="J1813" s="34" t="str">
        <f t="shared" si="3"/>
        <v/>
      </c>
    </row>
    <row r="1814" ht="15.75" customHeight="1">
      <c r="A1814" s="32" t="s">
        <v>113</v>
      </c>
      <c r="B1814" s="32" t="str">
        <f>IF(MOV_CC_NACIONAL!A1814="","",MOV_CC_NACIONAL!A1814)</f>
        <v/>
      </c>
      <c r="C1814" s="32" t="str">
        <f>IF(MOV_CC_NACIONAL!B1814="","",MOV_CC_NACIONAL!B1814)</f>
        <v/>
      </c>
      <c r="D1814" s="33" t="str">
        <f>IF(MOV_CC_NACIONAL!C1814="","",MOV_CC_NACIONAL!C1814)</f>
        <v/>
      </c>
      <c r="E1814" s="32" t="str">
        <f t="shared" si="1"/>
        <v/>
      </c>
      <c r="F1814" s="32" t="str">
        <f>IFERROR(__xludf.DUMMYFUNCTION("IF(C1814="""","""", OR(REGEXMATCH(LOWER(C1814),""cuota""), REGEXMATCH(C1814,""\d+\s*/\s*\d+"")))"),"")</f>
        <v/>
      </c>
      <c r="G1814" s="32" t="str">
        <f>IFERROR(__xludf.DUMMYFUNCTION("IFERROR(VALUE(REGEXEXTRACT(C1814,""(\d+)\s*/\s*\d+"")),"""")"),"")</f>
        <v/>
      </c>
      <c r="H1814" s="32" t="str">
        <f>IFERROR(__xludf.DUMMYFUNCTION("IFERROR(VALUE(REGEXEXTRACT(C1814,""\d+\s*/\s*(\d+)"")),"""")"),"")</f>
        <v/>
      </c>
      <c r="I1814" s="32" t="str">
        <f t="shared" si="2"/>
        <v/>
      </c>
      <c r="J1814" s="33" t="str">
        <f t="shared" si="3"/>
        <v/>
      </c>
    </row>
    <row r="1815" ht="15.75" customHeight="1">
      <c r="A1815" s="22" t="s">
        <v>113</v>
      </c>
      <c r="B1815" s="22" t="str">
        <f>IF(MOV_CC_NACIONAL!A1815="","",MOV_CC_NACIONAL!A1815)</f>
        <v/>
      </c>
      <c r="C1815" s="22" t="str">
        <f>IF(MOV_CC_NACIONAL!B1815="","",MOV_CC_NACIONAL!B1815)</f>
        <v/>
      </c>
      <c r="D1815" s="34" t="str">
        <f>IF(MOV_CC_NACIONAL!C1815="","",MOV_CC_NACIONAL!C1815)</f>
        <v/>
      </c>
      <c r="E1815" s="22" t="str">
        <f t="shared" si="1"/>
        <v/>
      </c>
      <c r="F1815" s="22" t="str">
        <f>IFERROR(__xludf.DUMMYFUNCTION("IF(C1815="""","""", OR(REGEXMATCH(LOWER(C1815),""cuota""), REGEXMATCH(C1815,""\d+\s*/\s*\d+"")))"),"")</f>
        <v/>
      </c>
      <c r="G1815" s="22" t="str">
        <f>IFERROR(__xludf.DUMMYFUNCTION("IFERROR(VALUE(REGEXEXTRACT(C1815,""(\d+)\s*/\s*\d+"")),"""")"),"")</f>
        <v/>
      </c>
      <c r="H1815" s="22" t="str">
        <f>IFERROR(__xludf.DUMMYFUNCTION("IFERROR(VALUE(REGEXEXTRACT(C1815,""\d+\s*/\s*(\d+)"")),"""")"),"")</f>
        <v/>
      </c>
      <c r="I1815" s="22" t="str">
        <f t="shared" si="2"/>
        <v/>
      </c>
      <c r="J1815" s="34" t="str">
        <f t="shared" si="3"/>
        <v/>
      </c>
    </row>
    <row r="1816" ht="15.75" customHeight="1">
      <c r="A1816" s="32" t="s">
        <v>113</v>
      </c>
      <c r="B1816" s="32" t="str">
        <f>IF(MOV_CC_NACIONAL!A1816="","",MOV_CC_NACIONAL!A1816)</f>
        <v/>
      </c>
      <c r="C1816" s="32" t="str">
        <f>IF(MOV_CC_NACIONAL!B1816="","",MOV_CC_NACIONAL!B1816)</f>
        <v/>
      </c>
      <c r="D1816" s="33" t="str">
        <f>IF(MOV_CC_NACIONAL!C1816="","",MOV_CC_NACIONAL!C1816)</f>
        <v/>
      </c>
      <c r="E1816" s="32" t="str">
        <f t="shared" si="1"/>
        <v/>
      </c>
      <c r="F1816" s="32" t="str">
        <f>IFERROR(__xludf.DUMMYFUNCTION("IF(C1816="""","""", OR(REGEXMATCH(LOWER(C1816),""cuota""), REGEXMATCH(C1816,""\d+\s*/\s*\d+"")))"),"")</f>
        <v/>
      </c>
      <c r="G1816" s="32" t="str">
        <f>IFERROR(__xludf.DUMMYFUNCTION("IFERROR(VALUE(REGEXEXTRACT(C1816,""(\d+)\s*/\s*\d+"")),"""")"),"")</f>
        <v/>
      </c>
      <c r="H1816" s="32" t="str">
        <f>IFERROR(__xludf.DUMMYFUNCTION("IFERROR(VALUE(REGEXEXTRACT(C1816,""\d+\s*/\s*(\d+)"")),"""")"),"")</f>
        <v/>
      </c>
      <c r="I1816" s="32" t="str">
        <f t="shared" si="2"/>
        <v/>
      </c>
      <c r="J1816" s="33" t="str">
        <f t="shared" si="3"/>
        <v/>
      </c>
    </row>
    <row r="1817" ht="15.75" customHeight="1">
      <c r="A1817" s="22" t="s">
        <v>113</v>
      </c>
      <c r="B1817" s="22" t="str">
        <f>IF(MOV_CC_NACIONAL!A1817="","",MOV_CC_NACIONAL!A1817)</f>
        <v/>
      </c>
      <c r="C1817" s="22" t="str">
        <f>IF(MOV_CC_NACIONAL!B1817="","",MOV_CC_NACIONAL!B1817)</f>
        <v/>
      </c>
      <c r="D1817" s="34" t="str">
        <f>IF(MOV_CC_NACIONAL!C1817="","",MOV_CC_NACIONAL!C1817)</f>
        <v/>
      </c>
      <c r="E1817" s="22" t="str">
        <f t="shared" si="1"/>
        <v/>
      </c>
      <c r="F1817" s="22" t="str">
        <f>IFERROR(__xludf.DUMMYFUNCTION("IF(C1817="""","""", OR(REGEXMATCH(LOWER(C1817),""cuota""), REGEXMATCH(C1817,""\d+\s*/\s*\d+"")))"),"")</f>
        <v/>
      </c>
      <c r="G1817" s="22" t="str">
        <f>IFERROR(__xludf.DUMMYFUNCTION("IFERROR(VALUE(REGEXEXTRACT(C1817,""(\d+)\s*/\s*\d+"")),"""")"),"")</f>
        <v/>
      </c>
      <c r="H1817" s="22" t="str">
        <f>IFERROR(__xludf.DUMMYFUNCTION("IFERROR(VALUE(REGEXEXTRACT(C1817,""\d+\s*/\s*(\d+)"")),"""")"),"")</f>
        <v/>
      </c>
      <c r="I1817" s="22" t="str">
        <f t="shared" si="2"/>
        <v/>
      </c>
      <c r="J1817" s="34" t="str">
        <f t="shared" si="3"/>
        <v/>
      </c>
    </row>
    <row r="1818" ht="15.75" customHeight="1">
      <c r="A1818" s="32" t="s">
        <v>113</v>
      </c>
      <c r="B1818" s="32" t="str">
        <f>IF(MOV_CC_NACIONAL!A1818="","",MOV_CC_NACIONAL!A1818)</f>
        <v/>
      </c>
      <c r="C1818" s="32" t="str">
        <f>IF(MOV_CC_NACIONAL!B1818="","",MOV_CC_NACIONAL!B1818)</f>
        <v/>
      </c>
      <c r="D1818" s="33" t="str">
        <f>IF(MOV_CC_NACIONAL!C1818="","",MOV_CC_NACIONAL!C1818)</f>
        <v/>
      </c>
      <c r="E1818" s="32" t="str">
        <f t="shared" si="1"/>
        <v/>
      </c>
      <c r="F1818" s="32" t="str">
        <f>IFERROR(__xludf.DUMMYFUNCTION("IF(C1818="""","""", OR(REGEXMATCH(LOWER(C1818),""cuota""), REGEXMATCH(C1818,""\d+\s*/\s*\d+"")))"),"")</f>
        <v/>
      </c>
      <c r="G1818" s="32" t="str">
        <f>IFERROR(__xludf.DUMMYFUNCTION("IFERROR(VALUE(REGEXEXTRACT(C1818,""(\d+)\s*/\s*\d+"")),"""")"),"")</f>
        <v/>
      </c>
      <c r="H1818" s="32" t="str">
        <f>IFERROR(__xludf.DUMMYFUNCTION("IFERROR(VALUE(REGEXEXTRACT(C1818,""\d+\s*/\s*(\d+)"")),"""")"),"")</f>
        <v/>
      </c>
      <c r="I1818" s="32" t="str">
        <f t="shared" si="2"/>
        <v/>
      </c>
      <c r="J1818" s="33" t="str">
        <f t="shared" si="3"/>
        <v/>
      </c>
    </row>
    <row r="1819" ht="15.75" customHeight="1">
      <c r="A1819" s="22" t="s">
        <v>113</v>
      </c>
      <c r="B1819" s="22" t="str">
        <f>IF(MOV_CC_NACIONAL!A1819="","",MOV_CC_NACIONAL!A1819)</f>
        <v/>
      </c>
      <c r="C1819" s="22" t="str">
        <f>IF(MOV_CC_NACIONAL!B1819="","",MOV_CC_NACIONAL!B1819)</f>
        <v/>
      </c>
      <c r="D1819" s="34" t="str">
        <f>IF(MOV_CC_NACIONAL!C1819="","",MOV_CC_NACIONAL!C1819)</f>
        <v/>
      </c>
      <c r="E1819" s="22" t="str">
        <f t="shared" si="1"/>
        <v/>
      </c>
      <c r="F1819" s="22" t="str">
        <f>IFERROR(__xludf.DUMMYFUNCTION("IF(C1819="""","""", OR(REGEXMATCH(LOWER(C1819),""cuota""), REGEXMATCH(C1819,""\d+\s*/\s*\d+"")))"),"")</f>
        <v/>
      </c>
      <c r="G1819" s="22" t="str">
        <f>IFERROR(__xludf.DUMMYFUNCTION("IFERROR(VALUE(REGEXEXTRACT(C1819,""(\d+)\s*/\s*\d+"")),"""")"),"")</f>
        <v/>
      </c>
      <c r="H1819" s="22" t="str">
        <f>IFERROR(__xludf.DUMMYFUNCTION("IFERROR(VALUE(REGEXEXTRACT(C1819,""\d+\s*/\s*(\d+)"")),"""")"),"")</f>
        <v/>
      </c>
      <c r="I1819" s="22" t="str">
        <f t="shared" si="2"/>
        <v/>
      </c>
      <c r="J1819" s="34" t="str">
        <f t="shared" si="3"/>
        <v/>
      </c>
    </row>
    <row r="1820" ht="15.75" customHeight="1">
      <c r="A1820" s="32" t="s">
        <v>113</v>
      </c>
      <c r="B1820" s="32" t="str">
        <f>IF(MOV_CC_NACIONAL!A1820="","",MOV_CC_NACIONAL!A1820)</f>
        <v/>
      </c>
      <c r="C1820" s="32" t="str">
        <f>IF(MOV_CC_NACIONAL!B1820="","",MOV_CC_NACIONAL!B1820)</f>
        <v/>
      </c>
      <c r="D1820" s="33" t="str">
        <f>IF(MOV_CC_NACIONAL!C1820="","",MOV_CC_NACIONAL!C1820)</f>
        <v/>
      </c>
      <c r="E1820" s="32" t="str">
        <f t="shared" si="1"/>
        <v/>
      </c>
      <c r="F1820" s="32" t="str">
        <f>IFERROR(__xludf.DUMMYFUNCTION("IF(C1820="""","""", OR(REGEXMATCH(LOWER(C1820),""cuota""), REGEXMATCH(C1820,""\d+\s*/\s*\d+"")))"),"")</f>
        <v/>
      </c>
      <c r="G1820" s="32" t="str">
        <f>IFERROR(__xludf.DUMMYFUNCTION("IFERROR(VALUE(REGEXEXTRACT(C1820,""(\d+)\s*/\s*\d+"")),"""")"),"")</f>
        <v/>
      </c>
      <c r="H1820" s="32" t="str">
        <f>IFERROR(__xludf.DUMMYFUNCTION("IFERROR(VALUE(REGEXEXTRACT(C1820,""\d+\s*/\s*(\d+)"")),"""")"),"")</f>
        <v/>
      </c>
      <c r="I1820" s="32" t="str">
        <f t="shared" si="2"/>
        <v/>
      </c>
      <c r="J1820" s="33" t="str">
        <f t="shared" si="3"/>
        <v/>
      </c>
    </row>
    <row r="1821" ht="15.75" customHeight="1">
      <c r="A1821" s="22" t="s">
        <v>113</v>
      </c>
      <c r="B1821" s="22" t="str">
        <f>IF(MOV_CC_NACIONAL!A1821="","",MOV_CC_NACIONAL!A1821)</f>
        <v/>
      </c>
      <c r="C1821" s="22" t="str">
        <f>IF(MOV_CC_NACIONAL!B1821="","",MOV_CC_NACIONAL!B1821)</f>
        <v/>
      </c>
      <c r="D1821" s="34" t="str">
        <f>IF(MOV_CC_NACIONAL!C1821="","",MOV_CC_NACIONAL!C1821)</f>
        <v/>
      </c>
      <c r="E1821" s="22" t="str">
        <f t="shared" si="1"/>
        <v/>
      </c>
      <c r="F1821" s="22" t="str">
        <f>IFERROR(__xludf.DUMMYFUNCTION("IF(C1821="""","""", OR(REGEXMATCH(LOWER(C1821),""cuota""), REGEXMATCH(C1821,""\d+\s*/\s*\d+"")))"),"")</f>
        <v/>
      </c>
      <c r="G1821" s="22" t="str">
        <f>IFERROR(__xludf.DUMMYFUNCTION("IFERROR(VALUE(REGEXEXTRACT(C1821,""(\d+)\s*/\s*\d+"")),"""")"),"")</f>
        <v/>
      </c>
      <c r="H1821" s="22" t="str">
        <f>IFERROR(__xludf.DUMMYFUNCTION("IFERROR(VALUE(REGEXEXTRACT(C1821,""\d+\s*/\s*(\d+)"")),"""")"),"")</f>
        <v/>
      </c>
      <c r="I1821" s="22" t="str">
        <f t="shared" si="2"/>
        <v/>
      </c>
      <c r="J1821" s="34" t="str">
        <f t="shared" si="3"/>
        <v/>
      </c>
    </row>
    <row r="1822" ht="15.75" customHeight="1">
      <c r="A1822" s="32" t="s">
        <v>113</v>
      </c>
      <c r="B1822" s="32" t="str">
        <f>IF(MOV_CC_NACIONAL!A1822="","",MOV_CC_NACIONAL!A1822)</f>
        <v/>
      </c>
      <c r="C1822" s="32" t="str">
        <f>IF(MOV_CC_NACIONAL!B1822="","",MOV_CC_NACIONAL!B1822)</f>
        <v/>
      </c>
      <c r="D1822" s="33" t="str">
        <f>IF(MOV_CC_NACIONAL!C1822="","",MOV_CC_NACIONAL!C1822)</f>
        <v/>
      </c>
      <c r="E1822" s="32" t="str">
        <f t="shared" si="1"/>
        <v/>
      </c>
      <c r="F1822" s="32" t="str">
        <f>IFERROR(__xludf.DUMMYFUNCTION("IF(C1822="""","""", OR(REGEXMATCH(LOWER(C1822),""cuota""), REGEXMATCH(C1822,""\d+\s*/\s*\d+"")))"),"")</f>
        <v/>
      </c>
      <c r="G1822" s="32" t="str">
        <f>IFERROR(__xludf.DUMMYFUNCTION("IFERROR(VALUE(REGEXEXTRACT(C1822,""(\d+)\s*/\s*\d+"")),"""")"),"")</f>
        <v/>
      </c>
      <c r="H1822" s="32" t="str">
        <f>IFERROR(__xludf.DUMMYFUNCTION("IFERROR(VALUE(REGEXEXTRACT(C1822,""\d+\s*/\s*(\d+)"")),"""")"),"")</f>
        <v/>
      </c>
      <c r="I1822" s="32" t="str">
        <f t="shared" si="2"/>
        <v/>
      </c>
      <c r="J1822" s="33" t="str">
        <f t="shared" si="3"/>
        <v/>
      </c>
    </row>
    <row r="1823" ht="15.75" customHeight="1">
      <c r="A1823" s="22" t="s">
        <v>113</v>
      </c>
      <c r="B1823" s="22" t="str">
        <f>IF(MOV_CC_NACIONAL!A1823="","",MOV_CC_NACIONAL!A1823)</f>
        <v/>
      </c>
      <c r="C1823" s="22" t="str">
        <f>IF(MOV_CC_NACIONAL!B1823="","",MOV_CC_NACIONAL!B1823)</f>
        <v/>
      </c>
      <c r="D1823" s="34" t="str">
        <f>IF(MOV_CC_NACIONAL!C1823="","",MOV_CC_NACIONAL!C1823)</f>
        <v/>
      </c>
      <c r="E1823" s="22" t="str">
        <f t="shared" si="1"/>
        <v/>
      </c>
      <c r="F1823" s="22" t="str">
        <f>IFERROR(__xludf.DUMMYFUNCTION("IF(C1823="""","""", OR(REGEXMATCH(LOWER(C1823),""cuota""), REGEXMATCH(C1823,""\d+\s*/\s*\d+"")))"),"")</f>
        <v/>
      </c>
      <c r="G1823" s="22" t="str">
        <f>IFERROR(__xludf.DUMMYFUNCTION("IFERROR(VALUE(REGEXEXTRACT(C1823,""(\d+)\s*/\s*\d+"")),"""")"),"")</f>
        <v/>
      </c>
      <c r="H1823" s="22" t="str">
        <f>IFERROR(__xludf.DUMMYFUNCTION("IFERROR(VALUE(REGEXEXTRACT(C1823,""\d+\s*/\s*(\d+)"")),"""")"),"")</f>
        <v/>
      </c>
      <c r="I1823" s="22" t="str">
        <f t="shared" si="2"/>
        <v/>
      </c>
      <c r="J1823" s="34" t="str">
        <f t="shared" si="3"/>
        <v/>
      </c>
    </row>
    <row r="1824" ht="15.75" customHeight="1">
      <c r="A1824" s="32" t="s">
        <v>113</v>
      </c>
      <c r="B1824" s="32" t="str">
        <f>IF(MOV_CC_NACIONAL!A1824="","",MOV_CC_NACIONAL!A1824)</f>
        <v/>
      </c>
      <c r="C1824" s="32" t="str">
        <f>IF(MOV_CC_NACIONAL!B1824="","",MOV_CC_NACIONAL!B1824)</f>
        <v/>
      </c>
      <c r="D1824" s="33" t="str">
        <f>IF(MOV_CC_NACIONAL!C1824="","",MOV_CC_NACIONAL!C1824)</f>
        <v/>
      </c>
      <c r="E1824" s="32" t="str">
        <f t="shared" si="1"/>
        <v/>
      </c>
      <c r="F1824" s="32" t="str">
        <f>IFERROR(__xludf.DUMMYFUNCTION("IF(C1824="""","""", OR(REGEXMATCH(LOWER(C1824),""cuota""), REGEXMATCH(C1824,""\d+\s*/\s*\d+"")))"),"")</f>
        <v/>
      </c>
      <c r="G1824" s="32" t="str">
        <f>IFERROR(__xludf.DUMMYFUNCTION("IFERROR(VALUE(REGEXEXTRACT(C1824,""(\d+)\s*/\s*\d+"")),"""")"),"")</f>
        <v/>
      </c>
      <c r="H1824" s="32" t="str">
        <f>IFERROR(__xludf.DUMMYFUNCTION("IFERROR(VALUE(REGEXEXTRACT(C1824,""\d+\s*/\s*(\d+)"")),"""")"),"")</f>
        <v/>
      </c>
      <c r="I1824" s="32" t="str">
        <f t="shared" si="2"/>
        <v/>
      </c>
      <c r="J1824" s="33" t="str">
        <f t="shared" si="3"/>
        <v/>
      </c>
    </row>
    <row r="1825" ht="15.75" customHeight="1">
      <c r="A1825" s="22" t="s">
        <v>113</v>
      </c>
      <c r="B1825" s="22" t="str">
        <f>IF(MOV_CC_NACIONAL!A1825="","",MOV_CC_NACIONAL!A1825)</f>
        <v/>
      </c>
      <c r="C1825" s="22" t="str">
        <f>IF(MOV_CC_NACIONAL!B1825="","",MOV_CC_NACIONAL!B1825)</f>
        <v/>
      </c>
      <c r="D1825" s="34" t="str">
        <f>IF(MOV_CC_NACIONAL!C1825="","",MOV_CC_NACIONAL!C1825)</f>
        <v/>
      </c>
      <c r="E1825" s="22" t="str">
        <f t="shared" si="1"/>
        <v/>
      </c>
      <c r="F1825" s="22" t="str">
        <f>IFERROR(__xludf.DUMMYFUNCTION("IF(C1825="""","""", OR(REGEXMATCH(LOWER(C1825),""cuota""), REGEXMATCH(C1825,""\d+\s*/\s*\d+"")))"),"")</f>
        <v/>
      </c>
      <c r="G1825" s="22" t="str">
        <f>IFERROR(__xludf.DUMMYFUNCTION("IFERROR(VALUE(REGEXEXTRACT(C1825,""(\d+)\s*/\s*\d+"")),"""")"),"")</f>
        <v/>
      </c>
      <c r="H1825" s="22" t="str">
        <f>IFERROR(__xludf.DUMMYFUNCTION("IFERROR(VALUE(REGEXEXTRACT(C1825,""\d+\s*/\s*(\d+)"")),"""")"),"")</f>
        <v/>
      </c>
      <c r="I1825" s="22" t="str">
        <f t="shared" si="2"/>
        <v/>
      </c>
      <c r="J1825" s="34" t="str">
        <f t="shared" si="3"/>
        <v/>
      </c>
    </row>
    <row r="1826" ht="15.75" customHeight="1">
      <c r="A1826" s="32" t="s">
        <v>113</v>
      </c>
      <c r="B1826" s="32" t="str">
        <f>IF(MOV_CC_NACIONAL!A1826="","",MOV_CC_NACIONAL!A1826)</f>
        <v/>
      </c>
      <c r="C1826" s="32" t="str">
        <f>IF(MOV_CC_NACIONAL!B1826="","",MOV_CC_NACIONAL!B1826)</f>
        <v/>
      </c>
      <c r="D1826" s="33" t="str">
        <f>IF(MOV_CC_NACIONAL!C1826="","",MOV_CC_NACIONAL!C1826)</f>
        <v/>
      </c>
      <c r="E1826" s="32" t="str">
        <f t="shared" si="1"/>
        <v/>
      </c>
      <c r="F1826" s="32" t="str">
        <f>IFERROR(__xludf.DUMMYFUNCTION("IF(C1826="""","""", OR(REGEXMATCH(LOWER(C1826),""cuota""), REGEXMATCH(C1826,""\d+\s*/\s*\d+"")))"),"")</f>
        <v/>
      </c>
      <c r="G1826" s="32" t="str">
        <f>IFERROR(__xludf.DUMMYFUNCTION("IFERROR(VALUE(REGEXEXTRACT(C1826,""(\d+)\s*/\s*\d+"")),"""")"),"")</f>
        <v/>
      </c>
      <c r="H1826" s="32" t="str">
        <f>IFERROR(__xludf.DUMMYFUNCTION("IFERROR(VALUE(REGEXEXTRACT(C1826,""\d+\s*/\s*(\d+)"")),"""")"),"")</f>
        <v/>
      </c>
      <c r="I1826" s="32" t="str">
        <f t="shared" si="2"/>
        <v/>
      </c>
      <c r="J1826" s="33" t="str">
        <f t="shared" si="3"/>
        <v/>
      </c>
    </row>
    <row r="1827" ht="15.75" customHeight="1">
      <c r="A1827" s="22" t="s">
        <v>113</v>
      </c>
      <c r="B1827" s="22" t="str">
        <f>IF(MOV_CC_NACIONAL!A1827="","",MOV_CC_NACIONAL!A1827)</f>
        <v/>
      </c>
      <c r="C1827" s="22" t="str">
        <f>IF(MOV_CC_NACIONAL!B1827="","",MOV_CC_NACIONAL!B1827)</f>
        <v/>
      </c>
      <c r="D1827" s="34" t="str">
        <f>IF(MOV_CC_NACIONAL!C1827="","",MOV_CC_NACIONAL!C1827)</f>
        <v/>
      </c>
      <c r="E1827" s="22" t="str">
        <f t="shared" si="1"/>
        <v/>
      </c>
      <c r="F1827" s="22" t="str">
        <f>IFERROR(__xludf.DUMMYFUNCTION("IF(C1827="""","""", OR(REGEXMATCH(LOWER(C1827),""cuota""), REGEXMATCH(C1827,""\d+\s*/\s*\d+"")))"),"")</f>
        <v/>
      </c>
      <c r="G1827" s="22" t="str">
        <f>IFERROR(__xludf.DUMMYFUNCTION("IFERROR(VALUE(REGEXEXTRACT(C1827,""(\d+)\s*/\s*\d+"")),"""")"),"")</f>
        <v/>
      </c>
      <c r="H1827" s="22" t="str">
        <f>IFERROR(__xludf.DUMMYFUNCTION("IFERROR(VALUE(REGEXEXTRACT(C1827,""\d+\s*/\s*(\d+)"")),"""")"),"")</f>
        <v/>
      </c>
      <c r="I1827" s="22" t="str">
        <f t="shared" si="2"/>
        <v/>
      </c>
      <c r="J1827" s="34" t="str">
        <f t="shared" si="3"/>
        <v/>
      </c>
    </row>
    <row r="1828" ht="15.75" customHeight="1">
      <c r="A1828" s="32" t="s">
        <v>113</v>
      </c>
      <c r="B1828" s="32" t="str">
        <f>IF(MOV_CC_NACIONAL!A1828="","",MOV_CC_NACIONAL!A1828)</f>
        <v/>
      </c>
      <c r="C1828" s="32" t="str">
        <f>IF(MOV_CC_NACIONAL!B1828="","",MOV_CC_NACIONAL!B1828)</f>
        <v/>
      </c>
      <c r="D1828" s="33" t="str">
        <f>IF(MOV_CC_NACIONAL!C1828="","",MOV_CC_NACIONAL!C1828)</f>
        <v/>
      </c>
      <c r="E1828" s="32" t="str">
        <f t="shared" si="1"/>
        <v/>
      </c>
      <c r="F1828" s="32" t="str">
        <f>IFERROR(__xludf.DUMMYFUNCTION("IF(C1828="""","""", OR(REGEXMATCH(LOWER(C1828),""cuota""), REGEXMATCH(C1828,""\d+\s*/\s*\d+"")))"),"")</f>
        <v/>
      </c>
      <c r="G1828" s="32" t="str">
        <f>IFERROR(__xludf.DUMMYFUNCTION("IFERROR(VALUE(REGEXEXTRACT(C1828,""(\d+)\s*/\s*\d+"")),"""")"),"")</f>
        <v/>
      </c>
      <c r="H1828" s="32" t="str">
        <f>IFERROR(__xludf.DUMMYFUNCTION("IFERROR(VALUE(REGEXEXTRACT(C1828,""\d+\s*/\s*(\d+)"")),"""")"),"")</f>
        <v/>
      </c>
      <c r="I1828" s="32" t="str">
        <f t="shared" si="2"/>
        <v/>
      </c>
      <c r="J1828" s="33" t="str">
        <f t="shared" si="3"/>
        <v/>
      </c>
    </row>
    <row r="1829" ht="15.75" customHeight="1">
      <c r="A1829" s="22" t="s">
        <v>113</v>
      </c>
      <c r="B1829" s="22" t="str">
        <f>IF(MOV_CC_NACIONAL!A1829="","",MOV_CC_NACIONAL!A1829)</f>
        <v/>
      </c>
      <c r="C1829" s="22" t="str">
        <f>IF(MOV_CC_NACIONAL!B1829="","",MOV_CC_NACIONAL!B1829)</f>
        <v/>
      </c>
      <c r="D1829" s="34" t="str">
        <f>IF(MOV_CC_NACIONAL!C1829="","",MOV_CC_NACIONAL!C1829)</f>
        <v/>
      </c>
      <c r="E1829" s="22" t="str">
        <f t="shared" si="1"/>
        <v/>
      </c>
      <c r="F1829" s="22" t="str">
        <f>IFERROR(__xludf.DUMMYFUNCTION("IF(C1829="""","""", OR(REGEXMATCH(LOWER(C1829),""cuota""), REGEXMATCH(C1829,""\d+\s*/\s*\d+"")))"),"")</f>
        <v/>
      </c>
      <c r="G1829" s="22" t="str">
        <f>IFERROR(__xludf.DUMMYFUNCTION("IFERROR(VALUE(REGEXEXTRACT(C1829,""(\d+)\s*/\s*\d+"")),"""")"),"")</f>
        <v/>
      </c>
      <c r="H1829" s="22" t="str">
        <f>IFERROR(__xludf.DUMMYFUNCTION("IFERROR(VALUE(REGEXEXTRACT(C1829,""\d+\s*/\s*(\d+)"")),"""")"),"")</f>
        <v/>
      </c>
      <c r="I1829" s="22" t="str">
        <f t="shared" si="2"/>
        <v/>
      </c>
      <c r="J1829" s="34" t="str">
        <f t="shared" si="3"/>
        <v/>
      </c>
    </row>
    <row r="1830" ht="15.75" customHeight="1">
      <c r="A1830" s="32" t="s">
        <v>113</v>
      </c>
      <c r="B1830" s="32" t="str">
        <f>IF(MOV_CC_NACIONAL!A1830="","",MOV_CC_NACIONAL!A1830)</f>
        <v/>
      </c>
      <c r="C1830" s="32" t="str">
        <f>IF(MOV_CC_NACIONAL!B1830="","",MOV_CC_NACIONAL!B1830)</f>
        <v/>
      </c>
      <c r="D1830" s="33" t="str">
        <f>IF(MOV_CC_NACIONAL!C1830="","",MOV_CC_NACIONAL!C1830)</f>
        <v/>
      </c>
      <c r="E1830" s="32" t="str">
        <f t="shared" si="1"/>
        <v/>
      </c>
      <c r="F1830" s="32" t="str">
        <f>IFERROR(__xludf.DUMMYFUNCTION("IF(C1830="""","""", OR(REGEXMATCH(LOWER(C1830),""cuota""), REGEXMATCH(C1830,""\d+\s*/\s*\d+"")))"),"")</f>
        <v/>
      </c>
      <c r="G1830" s="32" t="str">
        <f>IFERROR(__xludf.DUMMYFUNCTION("IFERROR(VALUE(REGEXEXTRACT(C1830,""(\d+)\s*/\s*\d+"")),"""")"),"")</f>
        <v/>
      </c>
      <c r="H1830" s="32" t="str">
        <f>IFERROR(__xludf.DUMMYFUNCTION("IFERROR(VALUE(REGEXEXTRACT(C1830,""\d+\s*/\s*(\d+)"")),"""")"),"")</f>
        <v/>
      </c>
      <c r="I1830" s="32" t="str">
        <f t="shared" si="2"/>
        <v/>
      </c>
      <c r="J1830" s="33" t="str">
        <f t="shared" si="3"/>
        <v/>
      </c>
    </row>
    <row r="1831" ht="15.75" customHeight="1">
      <c r="A1831" s="22" t="s">
        <v>113</v>
      </c>
      <c r="B1831" s="22" t="str">
        <f>IF(MOV_CC_NACIONAL!A1831="","",MOV_CC_NACIONAL!A1831)</f>
        <v/>
      </c>
      <c r="C1831" s="22" t="str">
        <f>IF(MOV_CC_NACIONAL!B1831="","",MOV_CC_NACIONAL!B1831)</f>
        <v/>
      </c>
      <c r="D1831" s="34" t="str">
        <f>IF(MOV_CC_NACIONAL!C1831="","",MOV_CC_NACIONAL!C1831)</f>
        <v/>
      </c>
      <c r="E1831" s="22" t="str">
        <f t="shared" si="1"/>
        <v/>
      </c>
      <c r="F1831" s="22" t="str">
        <f>IFERROR(__xludf.DUMMYFUNCTION("IF(C1831="""","""", OR(REGEXMATCH(LOWER(C1831),""cuota""), REGEXMATCH(C1831,""\d+\s*/\s*\d+"")))"),"")</f>
        <v/>
      </c>
      <c r="G1831" s="22" t="str">
        <f>IFERROR(__xludf.DUMMYFUNCTION("IFERROR(VALUE(REGEXEXTRACT(C1831,""(\d+)\s*/\s*\d+"")),"""")"),"")</f>
        <v/>
      </c>
      <c r="H1831" s="22" t="str">
        <f>IFERROR(__xludf.DUMMYFUNCTION("IFERROR(VALUE(REGEXEXTRACT(C1831,""\d+\s*/\s*(\d+)"")),"""")"),"")</f>
        <v/>
      </c>
      <c r="I1831" s="22" t="str">
        <f t="shared" si="2"/>
        <v/>
      </c>
      <c r="J1831" s="34" t="str">
        <f t="shared" si="3"/>
        <v/>
      </c>
    </row>
    <row r="1832" ht="15.75" customHeight="1">
      <c r="A1832" s="32" t="s">
        <v>113</v>
      </c>
      <c r="B1832" s="32" t="str">
        <f>IF(MOV_CC_NACIONAL!A1832="","",MOV_CC_NACIONAL!A1832)</f>
        <v/>
      </c>
      <c r="C1832" s="32" t="str">
        <f>IF(MOV_CC_NACIONAL!B1832="","",MOV_CC_NACIONAL!B1832)</f>
        <v/>
      </c>
      <c r="D1832" s="33" t="str">
        <f>IF(MOV_CC_NACIONAL!C1832="","",MOV_CC_NACIONAL!C1832)</f>
        <v/>
      </c>
      <c r="E1832" s="32" t="str">
        <f t="shared" si="1"/>
        <v/>
      </c>
      <c r="F1832" s="32" t="str">
        <f>IFERROR(__xludf.DUMMYFUNCTION("IF(C1832="""","""", OR(REGEXMATCH(LOWER(C1832),""cuota""), REGEXMATCH(C1832,""\d+\s*/\s*\d+"")))"),"")</f>
        <v/>
      </c>
      <c r="G1832" s="32" t="str">
        <f>IFERROR(__xludf.DUMMYFUNCTION("IFERROR(VALUE(REGEXEXTRACT(C1832,""(\d+)\s*/\s*\d+"")),"""")"),"")</f>
        <v/>
      </c>
      <c r="H1832" s="32" t="str">
        <f>IFERROR(__xludf.DUMMYFUNCTION("IFERROR(VALUE(REGEXEXTRACT(C1832,""\d+\s*/\s*(\d+)"")),"""")"),"")</f>
        <v/>
      </c>
      <c r="I1832" s="32" t="str">
        <f t="shared" si="2"/>
        <v/>
      </c>
      <c r="J1832" s="33" t="str">
        <f t="shared" si="3"/>
        <v/>
      </c>
    </row>
    <row r="1833" ht="15.75" customHeight="1">
      <c r="A1833" s="22" t="s">
        <v>113</v>
      </c>
      <c r="B1833" s="22" t="str">
        <f>IF(MOV_CC_NACIONAL!A1833="","",MOV_CC_NACIONAL!A1833)</f>
        <v/>
      </c>
      <c r="C1833" s="22" t="str">
        <f>IF(MOV_CC_NACIONAL!B1833="","",MOV_CC_NACIONAL!B1833)</f>
        <v/>
      </c>
      <c r="D1833" s="34" t="str">
        <f>IF(MOV_CC_NACIONAL!C1833="","",MOV_CC_NACIONAL!C1833)</f>
        <v/>
      </c>
      <c r="E1833" s="22" t="str">
        <f t="shared" si="1"/>
        <v/>
      </c>
      <c r="F1833" s="22" t="str">
        <f>IFERROR(__xludf.DUMMYFUNCTION("IF(C1833="""","""", OR(REGEXMATCH(LOWER(C1833),""cuota""), REGEXMATCH(C1833,""\d+\s*/\s*\d+"")))"),"")</f>
        <v/>
      </c>
      <c r="G1833" s="22" t="str">
        <f>IFERROR(__xludf.DUMMYFUNCTION("IFERROR(VALUE(REGEXEXTRACT(C1833,""(\d+)\s*/\s*\d+"")),"""")"),"")</f>
        <v/>
      </c>
      <c r="H1833" s="22" t="str">
        <f>IFERROR(__xludf.DUMMYFUNCTION("IFERROR(VALUE(REGEXEXTRACT(C1833,""\d+\s*/\s*(\d+)"")),"""")"),"")</f>
        <v/>
      </c>
      <c r="I1833" s="22" t="str">
        <f t="shared" si="2"/>
        <v/>
      </c>
      <c r="J1833" s="34" t="str">
        <f t="shared" si="3"/>
        <v/>
      </c>
    </row>
    <row r="1834" ht="15.75" customHeight="1">
      <c r="A1834" s="32" t="s">
        <v>113</v>
      </c>
      <c r="B1834" s="32" t="str">
        <f>IF(MOV_CC_NACIONAL!A1834="","",MOV_CC_NACIONAL!A1834)</f>
        <v/>
      </c>
      <c r="C1834" s="32" t="str">
        <f>IF(MOV_CC_NACIONAL!B1834="","",MOV_CC_NACIONAL!B1834)</f>
        <v/>
      </c>
      <c r="D1834" s="33" t="str">
        <f>IF(MOV_CC_NACIONAL!C1834="","",MOV_CC_NACIONAL!C1834)</f>
        <v/>
      </c>
      <c r="E1834" s="32" t="str">
        <f t="shared" si="1"/>
        <v/>
      </c>
      <c r="F1834" s="32" t="str">
        <f>IFERROR(__xludf.DUMMYFUNCTION("IF(C1834="""","""", OR(REGEXMATCH(LOWER(C1834),""cuota""), REGEXMATCH(C1834,""\d+\s*/\s*\d+"")))"),"")</f>
        <v/>
      </c>
      <c r="G1834" s="32" t="str">
        <f>IFERROR(__xludf.DUMMYFUNCTION("IFERROR(VALUE(REGEXEXTRACT(C1834,""(\d+)\s*/\s*\d+"")),"""")"),"")</f>
        <v/>
      </c>
      <c r="H1834" s="32" t="str">
        <f>IFERROR(__xludf.DUMMYFUNCTION("IFERROR(VALUE(REGEXEXTRACT(C1834,""\d+\s*/\s*(\d+)"")),"""")"),"")</f>
        <v/>
      </c>
      <c r="I1834" s="32" t="str">
        <f t="shared" si="2"/>
        <v/>
      </c>
      <c r="J1834" s="33" t="str">
        <f t="shared" si="3"/>
        <v/>
      </c>
    </row>
    <row r="1835" ht="15.75" customHeight="1">
      <c r="A1835" s="22" t="s">
        <v>113</v>
      </c>
      <c r="B1835" s="22" t="str">
        <f>IF(MOV_CC_NACIONAL!A1835="","",MOV_CC_NACIONAL!A1835)</f>
        <v/>
      </c>
      <c r="C1835" s="22" t="str">
        <f>IF(MOV_CC_NACIONAL!B1835="","",MOV_CC_NACIONAL!B1835)</f>
        <v/>
      </c>
      <c r="D1835" s="34" t="str">
        <f>IF(MOV_CC_NACIONAL!C1835="","",MOV_CC_NACIONAL!C1835)</f>
        <v/>
      </c>
      <c r="E1835" s="22" t="str">
        <f t="shared" si="1"/>
        <v/>
      </c>
      <c r="F1835" s="22" t="str">
        <f>IFERROR(__xludf.DUMMYFUNCTION("IF(C1835="""","""", OR(REGEXMATCH(LOWER(C1835),""cuota""), REGEXMATCH(C1835,""\d+\s*/\s*\d+"")))"),"")</f>
        <v/>
      </c>
      <c r="G1835" s="22" t="str">
        <f>IFERROR(__xludf.DUMMYFUNCTION("IFERROR(VALUE(REGEXEXTRACT(C1835,""(\d+)\s*/\s*\d+"")),"""")"),"")</f>
        <v/>
      </c>
      <c r="H1835" s="22" t="str">
        <f>IFERROR(__xludf.DUMMYFUNCTION("IFERROR(VALUE(REGEXEXTRACT(C1835,""\d+\s*/\s*(\d+)"")),"""")"),"")</f>
        <v/>
      </c>
      <c r="I1835" s="22" t="str">
        <f t="shared" si="2"/>
        <v/>
      </c>
      <c r="J1835" s="34" t="str">
        <f t="shared" si="3"/>
        <v/>
      </c>
    </row>
    <row r="1836" ht="15.75" customHeight="1">
      <c r="A1836" s="32" t="s">
        <v>113</v>
      </c>
      <c r="B1836" s="32" t="str">
        <f>IF(MOV_CC_NACIONAL!A1836="","",MOV_CC_NACIONAL!A1836)</f>
        <v/>
      </c>
      <c r="C1836" s="32" t="str">
        <f>IF(MOV_CC_NACIONAL!B1836="","",MOV_CC_NACIONAL!B1836)</f>
        <v/>
      </c>
      <c r="D1836" s="33" t="str">
        <f>IF(MOV_CC_NACIONAL!C1836="","",MOV_CC_NACIONAL!C1836)</f>
        <v/>
      </c>
      <c r="E1836" s="32" t="str">
        <f t="shared" si="1"/>
        <v/>
      </c>
      <c r="F1836" s="32" t="str">
        <f>IFERROR(__xludf.DUMMYFUNCTION("IF(C1836="""","""", OR(REGEXMATCH(LOWER(C1836),""cuota""), REGEXMATCH(C1836,""\d+\s*/\s*\d+"")))"),"")</f>
        <v/>
      </c>
      <c r="G1836" s="32" t="str">
        <f>IFERROR(__xludf.DUMMYFUNCTION("IFERROR(VALUE(REGEXEXTRACT(C1836,""(\d+)\s*/\s*\d+"")),"""")"),"")</f>
        <v/>
      </c>
      <c r="H1836" s="32" t="str">
        <f>IFERROR(__xludf.DUMMYFUNCTION("IFERROR(VALUE(REGEXEXTRACT(C1836,""\d+\s*/\s*(\d+)"")),"""")"),"")</f>
        <v/>
      </c>
      <c r="I1836" s="32" t="str">
        <f t="shared" si="2"/>
        <v/>
      </c>
      <c r="J1836" s="33" t="str">
        <f t="shared" si="3"/>
        <v/>
      </c>
    </row>
    <row r="1837" ht="15.75" customHeight="1">
      <c r="A1837" s="22" t="s">
        <v>113</v>
      </c>
      <c r="B1837" s="22" t="str">
        <f>IF(MOV_CC_NACIONAL!A1837="","",MOV_CC_NACIONAL!A1837)</f>
        <v/>
      </c>
      <c r="C1837" s="22" t="str">
        <f>IF(MOV_CC_NACIONAL!B1837="","",MOV_CC_NACIONAL!B1837)</f>
        <v/>
      </c>
      <c r="D1837" s="34" t="str">
        <f>IF(MOV_CC_NACIONAL!C1837="","",MOV_CC_NACIONAL!C1837)</f>
        <v/>
      </c>
      <c r="E1837" s="22" t="str">
        <f t="shared" si="1"/>
        <v/>
      </c>
      <c r="F1837" s="22" t="str">
        <f>IFERROR(__xludf.DUMMYFUNCTION("IF(C1837="""","""", OR(REGEXMATCH(LOWER(C1837),""cuota""), REGEXMATCH(C1837,""\d+\s*/\s*\d+"")))"),"")</f>
        <v/>
      </c>
      <c r="G1837" s="22" t="str">
        <f>IFERROR(__xludf.DUMMYFUNCTION("IFERROR(VALUE(REGEXEXTRACT(C1837,""(\d+)\s*/\s*\d+"")),"""")"),"")</f>
        <v/>
      </c>
      <c r="H1837" s="22" t="str">
        <f>IFERROR(__xludf.DUMMYFUNCTION("IFERROR(VALUE(REGEXEXTRACT(C1837,""\d+\s*/\s*(\d+)"")),"""")"),"")</f>
        <v/>
      </c>
      <c r="I1837" s="22" t="str">
        <f t="shared" si="2"/>
        <v/>
      </c>
      <c r="J1837" s="34" t="str">
        <f t="shared" si="3"/>
        <v/>
      </c>
    </row>
    <row r="1838" ht="15.75" customHeight="1">
      <c r="A1838" s="32" t="s">
        <v>113</v>
      </c>
      <c r="B1838" s="32" t="str">
        <f>IF(MOV_CC_NACIONAL!A1838="","",MOV_CC_NACIONAL!A1838)</f>
        <v/>
      </c>
      <c r="C1838" s="32" t="str">
        <f>IF(MOV_CC_NACIONAL!B1838="","",MOV_CC_NACIONAL!B1838)</f>
        <v/>
      </c>
      <c r="D1838" s="33" t="str">
        <f>IF(MOV_CC_NACIONAL!C1838="","",MOV_CC_NACIONAL!C1838)</f>
        <v/>
      </c>
      <c r="E1838" s="32" t="str">
        <f t="shared" si="1"/>
        <v/>
      </c>
      <c r="F1838" s="32" t="str">
        <f>IFERROR(__xludf.DUMMYFUNCTION("IF(C1838="""","""", OR(REGEXMATCH(LOWER(C1838),""cuota""), REGEXMATCH(C1838,""\d+\s*/\s*\d+"")))"),"")</f>
        <v/>
      </c>
      <c r="G1838" s="32" t="str">
        <f>IFERROR(__xludf.DUMMYFUNCTION("IFERROR(VALUE(REGEXEXTRACT(C1838,""(\d+)\s*/\s*\d+"")),"""")"),"")</f>
        <v/>
      </c>
      <c r="H1838" s="32" t="str">
        <f>IFERROR(__xludf.DUMMYFUNCTION("IFERROR(VALUE(REGEXEXTRACT(C1838,""\d+\s*/\s*(\d+)"")),"""")"),"")</f>
        <v/>
      </c>
      <c r="I1838" s="32" t="str">
        <f t="shared" si="2"/>
        <v/>
      </c>
      <c r="J1838" s="33" t="str">
        <f t="shared" si="3"/>
        <v/>
      </c>
    </row>
    <row r="1839" ht="15.75" customHeight="1">
      <c r="A1839" s="22" t="s">
        <v>113</v>
      </c>
      <c r="B1839" s="22" t="str">
        <f>IF(MOV_CC_NACIONAL!A1839="","",MOV_CC_NACIONAL!A1839)</f>
        <v/>
      </c>
      <c r="C1839" s="22" t="str">
        <f>IF(MOV_CC_NACIONAL!B1839="","",MOV_CC_NACIONAL!B1839)</f>
        <v/>
      </c>
      <c r="D1839" s="34" t="str">
        <f>IF(MOV_CC_NACIONAL!C1839="","",MOV_CC_NACIONAL!C1839)</f>
        <v/>
      </c>
      <c r="E1839" s="22" t="str">
        <f t="shared" si="1"/>
        <v/>
      </c>
      <c r="F1839" s="22" t="str">
        <f>IFERROR(__xludf.DUMMYFUNCTION("IF(C1839="""","""", OR(REGEXMATCH(LOWER(C1839),""cuota""), REGEXMATCH(C1839,""\d+\s*/\s*\d+"")))"),"")</f>
        <v/>
      </c>
      <c r="G1839" s="22" t="str">
        <f>IFERROR(__xludf.DUMMYFUNCTION("IFERROR(VALUE(REGEXEXTRACT(C1839,""(\d+)\s*/\s*\d+"")),"""")"),"")</f>
        <v/>
      </c>
      <c r="H1839" s="22" t="str">
        <f>IFERROR(__xludf.DUMMYFUNCTION("IFERROR(VALUE(REGEXEXTRACT(C1839,""\d+\s*/\s*(\d+)"")),"""")"),"")</f>
        <v/>
      </c>
      <c r="I1839" s="22" t="str">
        <f t="shared" si="2"/>
        <v/>
      </c>
      <c r="J1839" s="34" t="str">
        <f t="shared" si="3"/>
        <v/>
      </c>
    </row>
    <row r="1840" ht="15.75" customHeight="1">
      <c r="A1840" s="32" t="s">
        <v>113</v>
      </c>
      <c r="B1840" s="32" t="str">
        <f>IF(MOV_CC_NACIONAL!A1840="","",MOV_CC_NACIONAL!A1840)</f>
        <v/>
      </c>
      <c r="C1840" s="32" t="str">
        <f>IF(MOV_CC_NACIONAL!B1840="","",MOV_CC_NACIONAL!B1840)</f>
        <v/>
      </c>
      <c r="D1840" s="33" t="str">
        <f>IF(MOV_CC_NACIONAL!C1840="","",MOV_CC_NACIONAL!C1840)</f>
        <v/>
      </c>
      <c r="E1840" s="32" t="str">
        <f t="shared" si="1"/>
        <v/>
      </c>
      <c r="F1840" s="32" t="str">
        <f>IFERROR(__xludf.DUMMYFUNCTION("IF(C1840="""","""", OR(REGEXMATCH(LOWER(C1840),""cuota""), REGEXMATCH(C1840,""\d+\s*/\s*\d+"")))"),"")</f>
        <v/>
      </c>
      <c r="G1840" s="32" t="str">
        <f>IFERROR(__xludf.DUMMYFUNCTION("IFERROR(VALUE(REGEXEXTRACT(C1840,""(\d+)\s*/\s*\d+"")),"""")"),"")</f>
        <v/>
      </c>
      <c r="H1840" s="32" t="str">
        <f>IFERROR(__xludf.DUMMYFUNCTION("IFERROR(VALUE(REGEXEXTRACT(C1840,""\d+\s*/\s*(\d+)"")),"""")"),"")</f>
        <v/>
      </c>
      <c r="I1840" s="32" t="str">
        <f t="shared" si="2"/>
        <v/>
      </c>
      <c r="J1840" s="33" t="str">
        <f t="shared" si="3"/>
        <v/>
      </c>
    </row>
    <row r="1841" ht="15.75" customHeight="1">
      <c r="A1841" s="22" t="s">
        <v>113</v>
      </c>
      <c r="B1841" s="22" t="str">
        <f>IF(MOV_CC_NACIONAL!A1841="","",MOV_CC_NACIONAL!A1841)</f>
        <v/>
      </c>
      <c r="C1841" s="22" t="str">
        <f>IF(MOV_CC_NACIONAL!B1841="","",MOV_CC_NACIONAL!B1841)</f>
        <v/>
      </c>
      <c r="D1841" s="34" t="str">
        <f>IF(MOV_CC_NACIONAL!C1841="","",MOV_CC_NACIONAL!C1841)</f>
        <v/>
      </c>
      <c r="E1841" s="22" t="str">
        <f t="shared" si="1"/>
        <v/>
      </c>
      <c r="F1841" s="22" t="str">
        <f>IFERROR(__xludf.DUMMYFUNCTION("IF(C1841="""","""", OR(REGEXMATCH(LOWER(C1841),""cuota""), REGEXMATCH(C1841,""\d+\s*/\s*\d+"")))"),"")</f>
        <v/>
      </c>
      <c r="G1841" s="22" t="str">
        <f>IFERROR(__xludf.DUMMYFUNCTION("IFERROR(VALUE(REGEXEXTRACT(C1841,""(\d+)\s*/\s*\d+"")),"""")"),"")</f>
        <v/>
      </c>
      <c r="H1841" s="22" t="str">
        <f>IFERROR(__xludf.DUMMYFUNCTION("IFERROR(VALUE(REGEXEXTRACT(C1841,""\d+\s*/\s*(\d+)"")),"""")"),"")</f>
        <v/>
      </c>
      <c r="I1841" s="22" t="str">
        <f t="shared" si="2"/>
        <v/>
      </c>
      <c r="J1841" s="34" t="str">
        <f t="shared" si="3"/>
        <v/>
      </c>
    </row>
    <row r="1842" ht="15.75" customHeight="1">
      <c r="A1842" s="32" t="s">
        <v>113</v>
      </c>
      <c r="B1842" s="32" t="str">
        <f>IF(MOV_CC_NACIONAL!A1842="","",MOV_CC_NACIONAL!A1842)</f>
        <v/>
      </c>
      <c r="C1842" s="32" t="str">
        <f>IF(MOV_CC_NACIONAL!B1842="","",MOV_CC_NACIONAL!B1842)</f>
        <v/>
      </c>
      <c r="D1842" s="33" t="str">
        <f>IF(MOV_CC_NACIONAL!C1842="","",MOV_CC_NACIONAL!C1842)</f>
        <v/>
      </c>
      <c r="E1842" s="32" t="str">
        <f t="shared" si="1"/>
        <v/>
      </c>
      <c r="F1842" s="32" t="str">
        <f>IFERROR(__xludf.DUMMYFUNCTION("IF(C1842="""","""", OR(REGEXMATCH(LOWER(C1842),""cuota""), REGEXMATCH(C1842,""\d+\s*/\s*\d+"")))"),"")</f>
        <v/>
      </c>
      <c r="G1842" s="32" t="str">
        <f>IFERROR(__xludf.DUMMYFUNCTION("IFERROR(VALUE(REGEXEXTRACT(C1842,""(\d+)\s*/\s*\d+"")),"""")"),"")</f>
        <v/>
      </c>
      <c r="H1842" s="32" t="str">
        <f>IFERROR(__xludf.DUMMYFUNCTION("IFERROR(VALUE(REGEXEXTRACT(C1842,""\d+\s*/\s*(\d+)"")),"""")"),"")</f>
        <v/>
      </c>
      <c r="I1842" s="32" t="str">
        <f t="shared" si="2"/>
        <v/>
      </c>
      <c r="J1842" s="33" t="str">
        <f t="shared" si="3"/>
        <v/>
      </c>
    </row>
    <row r="1843" ht="15.75" customHeight="1">
      <c r="A1843" s="22" t="s">
        <v>113</v>
      </c>
      <c r="B1843" s="22" t="str">
        <f>IF(MOV_CC_NACIONAL!A1843="","",MOV_CC_NACIONAL!A1843)</f>
        <v/>
      </c>
      <c r="C1843" s="22" t="str">
        <f>IF(MOV_CC_NACIONAL!B1843="","",MOV_CC_NACIONAL!B1843)</f>
        <v/>
      </c>
      <c r="D1843" s="34" t="str">
        <f>IF(MOV_CC_NACIONAL!C1843="","",MOV_CC_NACIONAL!C1843)</f>
        <v/>
      </c>
      <c r="E1843" s="22" t="str">
        <f t="shared" si="1"/>
        <v/>
      </c>
      <c r="F1843" s="22" t="str">
        <f>IFERROR(__xludf.DUMMYFUNCTION("IF(C1843="""","""", OR(REGEXMATCH(LOWER(C1843),""cuota""), REGEXMATCH(C1843,""\d+\s*/\s*\d+"")))"),"")</f>
        <v/>
      </c>
      <c r="G1843" s="22" t="str">
        <f>IFERROR(__xludf.DUMMYFUNCTION("IFERROR(VALUE(REGEXEXTRACT(C1843,""(\d+)\s*/\s*\d+"")),"""")"),"")</f>
        <v/>
      </c>
      <c r="H1843" s="22" t="str">
        <f>IFERROR(__xludf.DUMMYFUNCTION("IFERROR(VALUE(REGEXEXTRACT(C1843,""\d+\s*/\s*(\d+)"")),"""")"),"")</f>
        <v/>
      </c>
      <c r="I1843" s="22" t="str">
        <f t="shared" si="2"/>
        <v/>
      </c>
      <c r="J1843" s="34" t="str">
        <f t="shared" si="3"/>
        <v/>
      </c>
    </row>
    <row r="1844" ht="15.75" customHeight="1">
      <c r="A1844" s="32" t="s">
        <v>113</v>
      </c>
      <c r="B1844" s="32" t="str">
        <f>IF(MOV_CC_NACIONAL!A1844="","",MOV_CC_NACIONAL!A1844)</f>
        <v/>
      </c>
      <c r="C1844" s="32" t="str">
        <f>IF(MOV_CC_NACIONAL!B1844="","",MOV_CC_NACIONAL!B1844)</f>
        <v/>
      </c>
      <c r="D1844" s="33" t="str">
        <f>IF(MOV_CC_NACIONAL!C1844="","",MOV_CC_NACIONAL!C1844)</f>
        <v/>
      </c>
      <c r="E1844" s="32" t="str">
        <f t="shared" si="1"/>
        <v/>
      </c>
      <c r="F1844" s="32" t="str">
        <f>IFERROR(__xludf.DUMMYFUNCTION("IF(C1844="""","""", OR(REGEXMATCH(LOWER(C1844),""cuota""), REGEXMATCH(C1844,""\d+\s*/\s*\d+"")))"),"")</f>
        <v/>
      </c>
      <c r="G1844" s="32" t="str">
        <f>IFERROR(__xludf.DUMMYFUNCTION("IFERROR(VALUE(REGEXEXTRACT(C1844,""(\d+)\s*/\s*\d+"")),"""")"),"")</f>
        <v/>
      </c>
      <c r="H1844" s="32" t="str">
        <f>IFERROR(__xludf.DUMMYFUNCTION("IFERROR(VALUE(REGEXEXTRACT(C1844,""\d+\s*/\s*(\d+)"")),"""")"),"")</f>
        <v/>
      </c>
      <c r="I1844" s="32" t="str">
        <f t="shared" si="2"/>
        <v/>
      </c>
      <c r="J1844" s="33" t="str">
        <f t="shared" si="3"/>
        <v/>
      </c>
    </row>
    <row r="1845" ht="15.75" customHeight="1">
      <c r="A1845" s="22" t="s">
        <v>113</v>
      </c>
      <c r="B1845" s="22" t="str">
        <f>IF(MOV_CC_NACIONAL!A1845="","",MOV_CC_NACIONAL!A1845)</f>
        <v/>
      </c>
      <c r="C1845" s="22" t="str">
        <f>IF(MOV_CC_NACIONAL!B1845="","",MOV_CC_NACIONAL!B1845)</f>
        <v/>
      </c>
      <c r="D1845" s="34" t="str">
        <f>IF(MOV_CC_NACIONAL!C1845="","",MOV_CC_NACIONAL!C1845)</f>
        <v/>
      </c>
      <c r="E1845" s="22" t="str">
        <f t="shared" si="1"/>
        <v/>
      </c>
      <c r="F1845" s="22" t="str">
        <f>IFERROR(__xludf.DUMMYFUNCTION("IF(C1845="""","""", OR(REGEXMATCH(LOWER(C1845),""cuota""), REGEXMATCH(C1845,""\d+\s*/\s*\d+"")))"),"")</f>
        <v/>
      </c>
      <c r="G1845" s="22" t="str">
        <f>IFERROR(__xludf.DUMMYFUNCTION("IFERROR(VALUE(REGEXEXTRACT(C1845,""(\d+)\s*/\s*\d+"")),"""")"),"")</f>
        <v/>
      </c>
      <c r="H1845" s="22" t="str">
        <f>IFERROR(__xludf.DUMMYFUNCTION("IFERROR(VALUE(REGEXEXTRACT(C1845,""\d+\s*/\s*(\d+)"")),"""")"),"")</f>
        <v/>
      </c>
      <c r="I1845" s="22" t="str">
        <f t="shared" si="2"/>
        <v/>
      </c>
      <c r="J1845" s="34" t="str">
        <f t="shared" si="3"/>
        <v/>
      </c>
    </row>
    <row r="1846" ht="15.75" customHeight="1">
      <c r="A1846" s="32" t="s">
        <v>113</v>
      </c>
      <c r="B1846" s="32" t="str">
        <f>IF(MOV_CC_NACIONAL!A1846="","",MOV_CC_NACIONAL!A1846)</f>
        <v/>
      </c>
      <c r="C1846" s="32" t="str">
        <f>IF(MOV_CC_NACIONAL!B1846="","",MOV_CC_NACIONAL!B1846)</f>
        <v/>
      </c>
      <c r="D1846" s="33" t="str">
        <f>IF(MOV_CC_NACIONAL!C1846="","",MOV_CC_NACIONAL!C1846)</f>
        <v/>
      </c>
      <c r="E1846" s="32" t="str">
        <f t="shared" si="1"/>
        <v/>
      </c>
      <c r="F1846" s="32" t="str">
        <f>IFERROR(__xludf.DUMMYFUNCTION("IF(C1846="""","""", OR(REGEXMATCH(LOWER(C1846),""cuota""), REGEXMATCH(C1846,""\d+\s*/\s*\d+"")))"),"")</f>
        <v/>
      </c>
      <c r="G1846" s="32" t="str">
        <f>IFERROR(__xludf.DUMMYFUNCTION("IFERROR(VALUE(REGEXEXTRACT(C1846,""(\d+)\s*/\s*\d+"")),"""")"),"")</f>
        <v/>
      </c>
      <c r="H1846" s="32" t="str">
        <f>IFERROR(__xludf.DUMMYFUNCTION("IFERROR(VALUE(REGEXEXTRACT(C1846,""\d+\s*/\s*(\d+)"")),"""")"),"")</f>
        <v/>
      </c>
      <c r="I1846" s="32" t="str">
        <f t="shared" si="2"/>
        <v/>
      </c>
      <c r="J1846" s="33" t="str">
        <f t="shared" si="3"/>
        <v/>
      </c>
    </row>
    <row r="1847" ht="15.75" customHeight="1">
      <c r="A1847" s="22" t="s">
        <v>113</v>
      </c>
      <c r="B1847" s="22" t="str">
        <f>IF(MOV_CC_NACIONAL!A1847="","",MOV_CC_NACIONAL!A1847)</f>
        <v/>
      </c>
      <c r="C1847" s="22" t="str">
        <f>IF(MOV_CC_NACIONAL!B1847="","",MOV_CC_NACIONAL!B1847)</f>
        <v/>
      </c>
      <c r="D1847" s="34" t="str">
        <f>IF(MOV_CC_NACIONAL!C1847="","",MOV_CC_NACIONAL!C1847)</f>
        <v/>
      </c>
      <c r="E1847" s="22" t="str">
        <f t="shared" si="1"/>
        <v/>
      </c>
      <c r="F1847" s="22" t="str">
        <f>IFERROR(__xludf.DUMMYFUNCTION("IF(C1847="""","""", OR(REGEXMATCH(LOWER(C1847),""cuota""), REGEXMATCH(C1847,""\d+\s*/\s*\d+"")))"),"")</f>
        <v/>
      </c>
      <c r="G1847" s="22" t="str">
        <f>IFERROR(__xludf.DUMMYFUNCTION("IFERROR(VALUE(REGEXEXTRACT(C1847,""(\d+)\s*/\s*\d+"")),"""")"),"")</f>
        <v/>
      </c>
      <c r="H1847" s="22" t="str">
        <f>IFERROR(__xludf.DUMMYFUNCTION("IFERROR(VALUE(REGEXEXTRACT(C1847,""\d+\s*/\s*(\d+)"")),"""")"),"")</f>
        <v/>
      </c>
      <c r="I1847" s="22" t="str">
        <f t="shared" si="2"/>
        <v/>
      </c>
      <c r="J1847" s="34" t="str">
        <f t="shared" si="3"/>
        <v/>
      </c>
    </row>
    <row r="1848" ht="15.75" customHeight="1">
      <c r="A1848" s="32" t="s">
        <v>113</v>
      </c>
      <c r="B1848" s="32" t="str">
        <f>IF(MOV_CC_NACIONAL!A1848="","",MOV_CC_NACIONAL!A1848)</f>
        <v/>
      </c>
      <c r="C1848" s="32" t="str">
        <f>IF(MOV_CC_NACIONAL!B1848="","",MOV_CC_NACIONAL!B1848)</f>
        <v/>
      </c>
      <c r="D1848" s="33" t="str">
        <f>IF(MOV_CC_NACIONAL!C1848="","",MOV_CC_NACIONAL!C1848)</f>
        <v/>
      </c>
      <c r="E1848" s="32" t="str">
        <f t="shared" si="1"/>
        <v/>
      </c>
      <c r="F1848" s="32" t="str">
        <f>IFERROR(__xludf.DUMMYFUNCTION("IF(C1848="""","""", OR(REGEXMATCH(LOWER(C1848),""cuota""), REGEXMATCH(C1848,""\d+\s*/\s*\d+"")))"),"")</f>
        <v/>
      </c>
      <c r="G1848" s="32" t="str">
        <f>IFERROR(__xludf.DUMMYFUNCTION("IFERROR(VALUE(REGEXEXTRACT(C1848,""(\d+)\s*/\s*\d+"")),"""")"),"")</f>
        <v/>
      </c>
      <c r="H1848" s="32" t="str">
        <f>IFERROR(__xludf.DUMMYFUNCTION("IFERROR(VALUE(REGEXEXTRACT(C1848,""\d+\s*/\s*(\d+)"")),"""")"),"")</f>
        <v/>
      </c>
      <c r="I1848" s="32" t="str">
        <f t="shared" si="2"/>
        <v/>
      </c>
      <c r="J1848" s="33" t="str">
        <f t="shared" si="3"/>
        <v/>
      </c>
    </row>
    <row r="1849" ht="15.75" customHeight="1">
      <c r="A1849" s="22" t="s">
        <v>113</v>
      </c>
      <c r="B1849" s="22" t="str">
        <f>IF(MOV_CC_NACIONAL!A1849="","",MOV_CC_NACIONAL!A1849)</f>
        <v/>
      </c>
      <c r="C1849" s="22" t="str">
        <f>IF(MOV_CC_NACIONAL!B1849="","",MOV_CC_NACIONAL!B1849)</f>
        <v/>
      </c>
      <c r="D1849" s="34" t="str">
        <f>IF(MOV_CC_NACIONAL!C1849="","",MOV_CC_NACIONAL!C1849)</f>
        <v/>
      </c>
      <c r="E1849" s="22" t="str">
        <f t="shared" si="1"/>
        <v/>
      </c>
      <c r="F1849" s="22" t="str">
        <f>IFERROR(__xludf.DUMMYFUNCTION("IF(C1849="""","""", OR(REGEXMATCH(LOWER(C1849),""cuota""), REGEXMATCH(C1849,""\d+\s*/\s*\d+"")))"),"")</f>
        <v/>
      </c>
      <c r="G1849" s="22" t="str">
        <f>IFERROR(__xludf.DUMMYFUNCTION("IFERROR(VALUE(REGEXEXTRACT(C1849,""(\d+)\s*/\s*\d+"")),"""")"),"")</f>
        <v/>
      </c>
      <c r="H1849" s="22" t="str">
        <f>IFERROR(__xludf.DUMMYFUNCTION("IFERROR(VALUE(REGEXEXTRACT(C1849,""\d+\s*/\s*(\d+)"")),"""")"),"")</f>
        <v/>
      </c>
      <c r="I1849" s="22" t="str">
        <f t="shared" si="2"/>
        <v/>
      </c>
      <c r="J1849" s="34" t="str">
        <f t="shared" si="3"/>
        <v/>
      </c>
    </row>
    <row r="1850" ht="15.75" customHeight="1">
      <c r="A1850" s="32" t="s">
        <v>113</v>
      </c>
      <c r="B1850" s="32" t="str">
        <f>IF(MOV_CC_NACIONAL!A1850="","",MOV_CC_NACIONAL!A1850)</f>
        <v/>
      </c>
      <c r="C1850" s="32" t="str">
        <f>IF(MOV_CC_NACIONAL!B1850="","",MOV_CC_NACIONAL!B1850)</f>
        <v/>
      </c>
      <c r="D1850" s="33" t="str">
        <f>IF(MOV_CC_NACIONAL!C1850="","",MOV_CC_NACIONAL!C1850)</f>
        <v/>
      </c>
      <c r="E1850" s="32" t="str">
        <f t="shared" si="1"/>
        <v/>
      </c>
      <c r="F1850" s="32" t="str">
        <f>IFERROR(__xludf.DUMMYFUNCTION("IF(C1850="""","""", OR(REGEXMATCH(LOWER(C1850),""cuota""), REGEXMATCH(C1850,""\d+\s*/\s*\d+"")))"),"")</f>
        <v/>
      </c>
      <c r="G1850" s="32" t="str">
        <f>IFERROR(__xludf.DUMMYFUNCTION("IFERROR(VALUE(REGEXEXTRACT(C1850,""(\d+)\s*/\s*\d+"")),"""")"),"")</f>
        <v/>
      </c>
      <c r="H1850" s="32" t="str">
        <f>IFERROR(__xludf.DUMMYFUNCTION("IFERROR(VALUE(REGEXEXTRACT(C1850,""\d+\s*/\s*(\d+)"")),"""")"),"")</f>
        <v/>
      </c>
      <c r="I1850" s="32" t="str">
        <f t="shared" si="2"/>
        <v/>
      </c>
      <c r="J1850" s="33" t="str">
        <f t="shared" si="3"/>
        <v/>
      </c>
    </row>
    <row r="1851" ht="15.75" customHeight="1">
      <c r="A1851" s="22" t="s">
        <v>113</v>
      </c>
      <c r="B1851" s="22" t="str">
        <f>IF(MOV_CC_NACIONAL!A1851="","",MOV_CC_NACIONAL!A1851)</f>
        <v/>
      </c>
      <c r="C1851" s="22" t="str">
        <f>IF(MOV_CC_NACIONAL!B1851="","",MOV_CC_NACIONAL!B1851)</f>
        <v/>
      </c>
      <c r="D1851" s="34" t="str">
        <f>IF(MOV_CC_NACIONAL!C1851="","",MOV_CC_NACIONAL!C1851)</f>
        <v/>
      </c>
      <c r="E1851" s="22" t="str">
        <f t="shared" si="1"/>
        <v/>
      </c>
      <c r="F1851" s="22" t="str">
        <f>IFERROR(__xludf.DUMMYFUNCTION("IF(C1851="""","""", OR(REGEXMATCH(LOWER(C1851),""cuota""), REGEXMATCH(C1851,""\d+\s*/\s*\d+"")))"),"")</f>
        <v/>
      </c>
      <c r="G1851" s="22" t="str">
        <f>IFERROR(__xludf.DUMMYFUNCTION("IFERROR(VALUE(REGEXEXTRACT(C1851,""(\d+)\s*/\s*\d+"")),"""")"),"")</f>
        <v/>
      </c>
      <c r="H1851" s="22" t="str">
        <f>IFERROR(__xludf.DUMMYFUNCTION("IFERROR(VALUE(REGEXEXTRACT(C1851,""\d+\s*/\s*(\d+)"")),"""")"),"")</f>
        <v/>
      </c>
      <c r="I1851" s="22" t="str">
        <f t="shared" si="2"/>
        <v/>
      </c>
      <c r="J1851" s="34" t="str">
        <f t="shared" si="3"/>
        <v/>
      </c>
    </row>
    <row r="1852" ht="15.75" customHeight="1">
      <c r="A1852" s="32" t="s">
        <v>113</v>
      </c>
      <c r="B1852" s="32" t="str">
        <f>IF(MOV_CC_NACIONAL!A1852="","",MOV_CC_NACIONAL!A1852)</f>
        <v/>
      </c>
      <c r="C1852" s="32" t="str">
        <f>IF(MOV_CC_NACIONAL!B1852="","",MOV_CC_NACIONAL!B1852)</f>
        <v/>
      </c>
      <c r="D1852" s="33" t="str">
        <f>IF(MOV_CC_NACIONAL!C1852="","",MOV_CC_NACIONAL!C1852)</f>
        <v/>
      </c>
      <c r="E1852" s="32" t="str">
        <f t="shared" si="1"/>
        <v/>
      </c>
      <c r="F1852" s="32" t="str">
        <f>IFERROR(__xludf.DUMMYFUNCTION("IF(C1852="""","""", OR(REGEXMATCH(LOWER(C1852),""cuota""), REGEXMATCH(C1852,""\d+\s*/\s*\d+"")))"),"")</f>
        <v/>
      </c>
      <c r="G1852" s="32" t="str">
        <f>IFERROR(__xludf.DUMMYFUNCTION("IFERROR(VALUE(REGEXEXTRACT(C1852,""(\d+)\s*/\s*\d+"")),"""")"),"")</f>
        <v/>
      </c>
      <c r="H1852" s="32" t="str">
        <f>IFERROR(__xludf.DUMMYFUNCTION("IFERROR(VALUE(REGEXEXTRACT(C1852,""\d+\s*/\s*(\d+)"")),"""")"),"")</f>
        <v/>
      </c>
      <c r="I1852" s="32" t="str">
        <f t="shared" si="2"/>
        <v/>
      </c>
      <c r="J1852" s="33" t="str">
        <f t="shared" si="3"/>
        <v/>
      </c>
    </row>
    <row r="1853" ht="15.75" customHeight="1">
      <c r="A1853" s="22" t="s">
        <v>113</v>
      </c>
      <c r="B1853" s="22" t="str">
        <f>IF(MOV_CC_NACIONAL!A1853="","",MOV_CC_NACIONAL!A1853)</f>
        <v/>
      </c>
      <c r="C1853" s="22" t="str">
        <f>IF(MOV_CC_NACIONAL!B1853="","",MOV_CC_NACIONAL!B1853)</f>
        <v/>
      </c>
      <c r="D1853" s="34" t="str">
        <f>IF(MOV_CC_NACIONAL!C1853="","",MOV_CC_NACIONAL!C1853)</f>
        <v/>
      </c>
      <c r="E1853" s="22" t="str">
        <f t="shared" si="1"/>
        <v/>
      </c>
      <c r="F1853" s="22" t="str">
        <f>IFERROR(__xludf.DUMMYFUNCTION("IF(C1853="""","""", OR(REGEXMATCH(LOWER(C1853),""cuota""), REGEXMATCH(C1853,""\d+\s*/\s*\d+"")))"),"")</f>
        <v/>
      </c>
      <c r="G1853" s="22" t="str">
        <f>IFERROR(__xludf.DUMMYFUNCTION("IFERROR(VALUE(REGEXEXTRACT(C1853,""(\d+)\s*/\s*\d+"")),"""")"),"")</f>
        <v/>
      </c>
      <c r="H1853" s="22" t="str">
        <f>IFERROR(__xludf.DUMMYFUNCTION("IFERROR(VALUE(REGEXEXTRACT(C1853,""\d+\s*/\s*(\d+)"")),"""")"),"")</f>
        <v/>
      </c>
      <c r="I1853" s="22" t="str">
        <f t="shared" si="2"/>
        <v/>
      </c>
      <c r="J1853" s="34" t="str">
        <f t="shared" si="3"/>
        <v/>
      </c>
    </row>
    <row r="1854" ht="15.75" customHeight="1">
      <c r="A1854" s="32" t="s">
        <v>113</v>
      </c>
      <c r="B1854" s="32" t="str">
        <f>IF(MOV_CC_NACIONAL!A1854="","",MOV_CC_NACIONAL!A1854)</f>
        <v/>
      </c>
      <c r="C1854" s="32" t="str">
        <f>IF(MOV_CC_NACIONAL!B1854="","",MOV_CC_NACIONAL!B1854)</f>
        <v/>
      </c>
      <c r="D1854" s="33" t="str">
        <f>IF(MOV_CC_NACIONAL!C1854="","",MOV_CC_NACIONAL!C1854)</f>
        <v/>
      </c>
      <c r="E1854" s="32" t="str">
        <f t="shared" si="1"/>
        <v/>
      </c>
      <c r="F1854" s="32" t="str">
        <f>IFERROR(__xludf.DUMMYFUNCTION("IF(C1854="""","""", OR(REGEXMATCH(LOWER(C1854),""cuota""), REGEXMATCH(C1854,""\d+\s*/\s*\d+"")))"),"")</f>
        <v/>
      </c>
      <c r="G1854" s="32" t="str">
        <f>IFERROR(__xludf.DUMMYFUNCTION("IFERROR(VALUE(REGEXEXTRACT(C1854,""(\d+)\s*/\s*\d+"")),"""")"),"")</f>
        <v/>
      </c>
      <c r="H1854" s="32" t="str">
        <f>IFERROR(__xludf.DUMMYFUNCTION("IFERROR(VALUE(REGEXEXTRACT(C1854,""\d+\s*/\s*(\d+)"")),"""")"),"")</f>
        <v/>
      </c>
      <c r="I1854" s="32" t="str">
        <f t="shared" si="2"/>
        <v/>
      </c>
      <c r="J1854" s="33" t="str">
        <f t="shared" si="3"/>
        <v/>
      </c>
    </row>
    <row r="1855" ht="15.75" customHeight="1">
      <c r="A1855" s="22" t="s">
        <v>113</v>
      </c>
      <c r="B1855" s="22" t="str">
        <f>IF(MOV_CC_NACIONAL!A1855="","",MOV_CC_NACIONAL!A1855)</f>
        <v/>
      </c>
      <c r="C1855" s="22" t="str">
        <f>IF(MOV_CC_NACIONAL!B1855="","",MOV_CC_NACIONAL!B1855)</f>
        <v/>
      </c>
      <c r="D1855" s="34" t="str">
        <f>IF(MOV_CC_NACIONAL!C1855="","",MOV_CC_NACIONAL!C1855)</f>
        <v/>
      </c>
      <c r="E1855" s="22" t="str">
        <f t="shared" si="1"/>
        <v/>
      </c>
      <c r="F1855" s="22" t="str">
        <f>IFERROR(__xludf.DUMMYFUNCTION("IF(C1855="""","""", OR(REGEXMATCH(LOWER(C1855),""cuota""), REGEXMATCH(C1855,""\d+\s*/\s*\d+"")))"),"")</f>
        <v/>
      </c>
      <c r="G1855" s="22" t="str">
        <f>IFERROR(__xludf.DUMMYFUNCTION("IFERROR(VALUE(REGEXEXTRACT(C1855,""(\d+)\s*/\s*\d+"")),"""")"),"")</f>
        <v/>
      </c>
      <c r="H1855" s="22" t="str">
        <f>IFERROR(__xludf.DUMMYFUNCTION("IFERROR(VALUE(REGEXEXTRACT(C1855,""\d+\s*/\s*(\d+)"")),"""")"),"")</f>
        <v/>
      </c>
      <c r="I1855" s="22" t="str">
        <f t="shared" si="2"/>
        <v/>
      </c>
      <c r="J1855" s="34" t="str">
        <f t="shared" si="3"/>
        <v/>
      </c>
    </row>
    <row r="1856" ht="15.75" customHeight="1">
      <c r="A1856" s="32" t="s">
        <v>113</v>
      </c>
      <c r="B1856" s="32" t="str">
        <f>IF(MOV_CC_NACIONAL!A1856="","",MOV_CC_NACIONAL!A1856)</f>
        <v/>
      </c>
      <c r="C1856" s="32" t="str">
        <f>IF(MOV_CC_NACIONAL!B1856="","",MOV_CC_NACIONAL!B1856)</f>
        <v/>
      </c>
      <c r="D1856" s="33" t="str">
        <f>IF(MOV_CC_NACIONAL!C1856="","",MOV_CC_NACIONAL!C1856)</f>
        <v/>
      </c>
      <c r="E1856" s="32" t="str">
        <f t="shared" si="1"/>
        <v/>
      </c>
      <c r="F1856" s="32" t="str">
        <f>IFERROR(__xludf.DUMMYFUNCTION("IF(C1856="""","""", OR(REGEXMATCH(LOWER(C1856),""cuota""), REGEXMATCH(C1856,""\d+\s*/\s*\d+"")))"),"")</f>
        <v/>
      </c>
      <c r="G1856" s="32" t="str">
        <f>IFERROR(__xludf.DUMMYFUNCTION("IFERROR(VALUE(REGEXEXTRACT(C1856,""(\d+)\s*/\s*\d+"")),"""")"),"")</f>
        <v/>
      </c>
      <c r="H1856" s="32" t="str">
        <f>IFERROR(__xludf.DUMMYFUNCTION("IFERROR(VALUE(REGEXEXTRACT(C1856,""\d+\s*/\s*(\d+)"")),"""")"),"")</f>
        <v/>
      </c>
      <c r="I1856" s="32" t="str">
        <f t="shared" si="2"/>
        <v/>
      </c>
      <c r="J1856" s="33" t="str">
        <f t="shared" si="3"/>
        <v/>
      </c>
    </row>
    <row r="1857" ht="15.75" customHeight="1">
      <c r="A1857" s="22" t="s">
        <v>113</v>
      </c>
      <c r="B1857" s="22" t="str">
        <f>IF(MOV_CC_NACIONAL!A1857="","",MOV_CC_NACIONAL!A1857)</f>
        <v/>
      </c>
      <c r="C1857" s="22" t="str">
        <f>IF(MOV_CC_NACIONAL!B1857="","",MOV_CC_NACIONAL!B1857)</f>
        <v/>
      </c>
      <c r="D1857" s="34" t="str">
        <f>IF(MOV_CC_NACIONAL!C1857="","",MOV_CC_NACIONAL!C1857)</f>
        <v/>
      </c>
      <c r="E1857" s="22" t="str">
        <f t="shared" si="1"/>
        <v/>
      </c>
      <c r="F1857" s="22" t="str">
        <f>IFERROR(__xludf.DUMMYFUNCTION("IF(C1857="""","""", OR(REGEXMATCH(LOWER(C1857),""cuota""), REGEXMATCH(C1857,""\d+\s*/\s*\d+"")))"),"")</f>
        <v/>
      </c>
      <c r="G1857" s="22" t="str">
        <f>IFERROR(__xludf.DUMMYFUNCTION("IFERROR(VALUE(REGEXEXTRACT(C1857,""(\d+)\s*/\s*\d+"")),"""")"),"")</f>
        <v/>
      </c>
      <c r="H1857" s="22" t="str">
        <f>IFERROR(__xludf.DUMMYFUNCTION("IFERROR(VALUE(REGEXEXTRACT(C1857,""\d+\s*/\s*(\d+)"")),"""")"),"")</f>
        <v/>
      </c>
      <c r="I1857" s="22" t="str">
        <f t="shared" si="2"/>
        <v/>
      </c>
      <c r="J1857" s="34" t="str">
        <f t="shared" si="3"/>
        <v/>
      </c>
    </row>
    <row r="1858" ht="15.75" customHeight="1">
      <c r="A1858" s="32" t="s">
        <v>113</v>
      </c>
      <c r="B1858" s="32" t="str">
        <f>IF(MOV_CC_NACIONAL!A1858="","",MOV_CC_NACIONAL!A1858)</f>
        <v/>
      </c>
      <c r="C1858" s="32" t="str">
        <f>IF(MOV_CC_NACIONAL!B1858="","",MOV_CC_NACIONAL!B1858)</f>
        <v/>
      </c>
      <c r="D1858" s="33" t="str">
        <f>IF(MOV_CC_NACIONAL!C1858="","",MOV_CC_NACIONAL!C1858)</f>
        <v/>
      </c>
      <c r="E1858" s="32" t="str">
        <f t="shared" si="1"/>
        <v/>
      </c>
      <c r="F1858" s="32" t="str">
        <f>IFERROR(__xludf.DUMMYFUNCTION("IF(C1858="""","""", OR(REGEXMATCH(LOWER(C1858),""cuota""), REGEXMATCH(C1858,""\d+\s*/\s*\d+"")))"),"")</f>
        <v/>
      </c>
      <c r="G1858" s="32" t="str">
        <f>IFERROR(__xludf.DUMMYFUNCTION("IFERROR(VALUE(REGEXEXTRACT(C1858,""(\d+)\s*/\s*\d+"")),"""")"),"")</f>
        <v/>
      </c>
      <c r="H1858" s="32" t="str">
        <f>IFERROR(__xludf.DUMMYFUNCTION("IFERROR(VALUE(REGEXEXTRACT(C1858,""\d+\s*/\s*(\d+)"")),"""")"),"")</f>
        <v/>
      </c>
      <c r="I1858" s="32" t="str">
        <f t="shared" si="2"/>
        <v/>
      </c>
      <c r="J1858" s="33" t="str">
        <f t="shared" si="3"/>
        <v/>
      </c>
    </row>
    <row r="1859" ht="15.75" customHeight="1">
      <c r="A1859" s="22" t="s">
        <v>113</v>
      </c>
      <c r="B1859" s="22" t="str">
        <f>IF(MOV_CC_NACIONAL!A1859="","",MOV_CC_NACIONAL!A1859)</f>
        <v/>
      </c>
      <c r="C1859" s="22" t="str">
        <f>IF(MOV_CC_NACIONAL!B1859="","",MOV_CC_NACIONAL!B1859)</f>
        <v/>
      </c>
      <c r="D1859" s="34" t="str">
        <f>IF(MOV_CC_NACIONAL!C1859="","",MOV_CC_NACIONAL!C1859)</f>
        <v/>
      </c>
      <c r="E1859" s="22" t="str">
        <f t="shared" si="1"/>
        <v/>
      </c>
      <c r="F1859" s="22" t="str">
        <f>IFERROR(__xludf.DUMMYFUNCTION("IF(C1859="""","""", OR(REGEXMATCH(LOWER(C1859),""cuota""), REGEXMATCH(C1859,""\d+\s*/\s*\d+"")))"),"")</f>
        <v/>
      </c>
      <c r="G1859" s="22" t="str">
        <f>IFERROR(__xludf.DUMMYFUNCTION("IFERROR(VALUE(REGEXEXTRACT(C1859,""(\d+)\s*/\s*\d+"")),"""")"),"")</f>
        <v/>
      </c>
      <c r="H1859" s="22" t="str">
        <f>IFERROR(__xludf.DUMMYFUNCTION("IFERROR(VALUE(REGEXEXTRACT(C1859,""\d+\s*/\s*(\d+)"")),"""")"),"")</f>
        <v/>
      </c>
      <c r="I1859" s="22" t="str">
        <f t="shared" si="2"/>
        <v/>
      </c>
      <c r="J1859" s="34" t="str">
        <f t="shared" si="3"/>
        <v/>
      </c>
    </row>
    <row r="1860" ht="15.75" customHeight="1">
      <c r="A1860" s="32" t="s">
        <v>113</v>
      </c>
      <c r="B1860" s="32" t="str">
        <f>IF(MOV_CC_NACIONAL!A1860="","",MOV_CC_NACIONAL!A1860)</f>
        <v/>
      </c>
      <c r="C1860" s="32" t="str">
        <f>IF(MOV_CC_NACIONAL!B1860="","",MOV_CC_NACIONAL!B1860)</f>
        <v/>
      </c>
      <c r="D1860" s="33" t="str">
        <f>IF(MOV_CC_NACIONAL!C1860="","",MOV_CC_NACIONAL!C1860)</f>
        <v/>
      </c>
      <c r="E1860" s="32" t="str">
        <f t="shared" si="1"/>
        <v/>
      </c>
      <c r="F1860" s="32" t="str">
        <f>IFERROR(__xludf.DUMMYFUNCTION("IF(C1860="""","""", OR(REGEXMATCH(LOWER(C1860),""cuota""), REGEXMATCH(C1860,""\d+\s*/\s*\d+"")))"),"")</f>
        <v/>
      </c>
      <c r="G1860" s="32" t="str">
        <f>IFERROR(__xludf.DUMMYFUNCTION("IFERROR(VALUE(REGEXEXTRACT(C1860,""(\d+)\s*/\s*\d+"")),"""")"),"")</f>
        <v/>
      </c>
      <c r="H1860" s="32" t="str">
        <f>IFERROR(__xludf.DUMMYFUNCTION("IFERROR(VALUE(REGEXEXTRACT(C1860,""\d+\s*/\s*(\d+)"")),"""")"),"")</f>
        <v/>
      </c>
      <c r="I1860" s="32" t="str">
        <f t="shared" si="2"/>
        <v/>
      </c>
      <c r="J1860" s="33" t="str">
        <f t="shared" si="3"/>
        <v/>
      </c>
    </row>
    <row r="1861" ht="15.75" customHeight="1">
      <c r="A1861" s="22" t="s">
        <v>113</v>
      </c>
      <c r="B1861" s="22" t="str">
        <f>IF(MOV_CC_NACIONAL!A1861="","",MOV_CC_NACIONAL!A1861)</f>
        <v/>
      </c>
      <c r="C1861" s="22" t="str">
        <f>IF(MOV_CC_NACIONAL!B1861="","",MOV_CC_NACIONAL!B1861)</f>
        <v/>
      </c>
      <c r="D1861" s="34" t="str">
        <f>IF(MOV_CC_NACIONAL!C1861="","",MOV_CC_NACIONAL!C1861)</f>
        <v/>
      </c>
      <c r="E1861" s="22" t="str">
        <f t="shared" si="1"/>
        <v/>
      </c>
      <c r="F1861" s="22" t="str">
        <f>IFERROR(__xludf.DUMMYFUNCTION("IF(C1861="""","""", OR(REGEXMATCH(LOWER(C1861),""cuota""), REGEXMATCH(C1861,""\d+\s*/\s*\d+"")))"),"")</f>
        <v/>
      </c>
      <c r="G1861" s="22" t="str">
        <f>IFERROR(__xludf.DUMMYFUNCTION("IFERROR(VALUE(REGEXEXTRACT(C1861,""(\d+)\s*/\s*\d+"")),"""")"),"")</f>
        <v/>
      </c>
      <c r="H1861" s="22" t="str">
        <f>IFERROR(__xludf.DUMMYFUNCTION("IFERROR(VALUE(REGEXEXTRACT(C1861,""\d+\s*/\s*(\d+)"")),"""")"),"")</f>
        <v/>
      </c>
      <c r="I1861" s="22" t="str">
        <f t="shared" si="2"/>
        <v/>
      </c>
      <c r="J1861" s="34" t="str">
        <f t="shared" si="3"/>
        <v/>
      </c>
    </row>
    <row r="1862" ht="15.75" customHeight="1">
      <c r="A1862" s="32" t="s">
        <v>113</v>
      </c>
      <c r="B1862" s="32" t="str">
        <f>IF(MOV_CC_NACIONAL!A1862="","",MOV_CC_NACIONAL!A1862)</f>
        <v/>
      </c>
      <c r="C1862" s="32" t="str">
        <f>IF(MOV_CC_NACIONAL!B1862="","",MOV_CC_NACIONAL!B1862)</f>
        <v/>
      </c>
      <c r="D1862" s="33" t="str">
        <f>IF(MOV_CC_NACIONAL!C1862="","",MOV_CC_NACIONAL!C1862)</f>
        <v/>
      </c>
      <c r="E1862" s="32" t="str">
        <f t="shared" si="1"/>
        <v/>
      </c>
      <c r="F1862" s="32" t="str">
        <f>IFERROR(__xludf.DUMMYFUNCTION("IF(C1862="""","""", OR(REGEXMATCH(LOWER(C1862),""cuota""), REGEXMATCH(C1862,""\d+\s*/\s*\d+"")))"),"")</f>
        <v/>
      </c>
      <c r="G1862" s="32" t="str">
        <f>IFERROR(__xludf.DUMMYFUNCTION("IFERROR(VALUE(REGEXEXTRACT(C1862,""(\d+)\s*/\s*\d+"")),"""")"),"")</f>
        <v/>
      </c>
      <c r="H1862" s="32" t="str">
        <f>IFERROR(__xludf.DUMMYFUNCTION("IFERROR(VALUE(REGEXEXTRACT(C1862,""\d+\s*/\s*(\d+)"")),"""")"),"")</f>
        <v/>
      </c>
      <c r="I1862" s="32" t="str">
        <f t="shared" si="2"/>
        <v/>
      </c>
      <c r="J1862" s="33" t="str">
        <f t="shared" si="3"/>
        <v/>
      </c>
    </row>
    <row r="1863" ht="15.75" customHeight="1">
      <c r="A1863" s="22" t="s">
        <v>113</v>
      </c>
      <c r="B1863" s="22" t="str">
        <f>IF(MOV_CC_NACIONAL!A1863="","",MOV_CC_NACIONAL!A1863)</f>
        <v/>
      </c>
      <c r="C1863" s="22" t="str">
        <f>IF(MOV_CC_NACIONAL!B1863="","",MOV_CC_NACIONAL!B1863)</f>
        <v/>
      </c>
      <c r="D1863" s="34" t="str">
        <f>IF(MOV_CC_NACIONAL!C1863="","",MOV_CC_NACIONAL!C1863)</f>
        <v/>
      </c>
      <c r="E1863" s="22" t="str">
        <f t="shared" si="1"/>
        <v/>
      </c>
      <c r="F1863" s="22" t="str">
        <f>IFERROR(__xludf.DUMMYFUNCTION("IF(C1863="""","""", OR(REGEXMATCH(LOWER(C1863),""cuota""), REGEXMATCH(C1863,""\d+\s*/\s*\d+"")))"),"")</f>
        <v/>
      </c>
      <c r="G1863" s="22" t="str">
        <f>IFERROR(__xludf.DUMMYFUNCTION("IFERROR(VALUE(REGEXEXTRACT(C1863,""(\d+)\s*/\s*\d+"")),"""")"),"")</f>
        <v/>
      </c>
      <c r="H1863" s="22" t="str">
        <f>IFERROR(__xludf.DUMMYFUNCTION("IFERROR(VALUE(REGEXEXTRACT(C1863,""\d+\s*/\s*(\d+)"")),"""")"),"")</f>
        <v/>
      </c>
      <c r="I1863" s="22" t="str">
        <f t="shared" si="2"/>
        <v/>
      </c>
      <c r="J1863" s="34" t="str">
        <f t="shared" si="3"/>
        <v/>
      </c>
    </row>
    <row r="1864" ht="15.75" customHeight="1">
      <c r="A1864" s="32" t="s">
        <v>113</v>
      </c>
      <c r="B1864" s="32" t="str">
        <f>IF(MOV_CC_NACIONAL!A1864="","",MOV_CC_NACIONAL!A1864)</f>
        <v/>
      </c>
      <c r="C1864" s="32" t="str">
        <f>IF(MOV_CC_NACIONAL!B1864="","",MOV_CC_NACIONAL!B1864)</f>
        <v/>
      </c>
      <c r="D1864" s="33" t="str">
        <f>IF(MOV_CC_NACIONAL!C1864="","",MOV_CC_NACIONAL!C1864)</f>
        <v/>
      </c>
      <c r="E1864" s="32" t="str">
        <f t="shared" si="1"/>
        <v/>
      </c>
      <c r="F1864" s="32" t="str">
        <f>IFERROR(__xludf.DUMMYFUNCTION("IF(C1864="""","""", OR(REGEXMATCH(LOWER(C1864),""cuota""), REGEXMATCH(C1864,""\d+\s*/\s*\d+"")))"),"")</f>
        <v/>
      </c>
      <c r="G1864" s="32" t="str">
        <f>IFERROR(__xludf.DUMMYFUNCTION("IFERROR(VALUE(REGEXEXTRACT(C1864,""(\d+)\s*/\s*\d+"")),"""")"),"")</f>
        <v/>
      </c>
      <c r="H1864" s="32" t="str">
        <f>IFERROR(__xludf.DUMMYFUNCTION("IFERROR(VALUE(REGEXEXTRACT(C1864,""\d+\s*/\s*(\d+)"")),"""")"),"")</f>
        <v/>
      </c>
      <c r="I1864" s="32" t="str">
        <f t="shared" si="2"/>
        <v/>
      </c>
      <c r="J1864" s="33" t="str">
        <f t="shared" si="3"/>
        <v/>
      </c>
    </row>
    <row r="1865" ht="15.75" customHeight="1">
      <c r="A1865" s="22" t="s">
        <v>113</v>
      </c>
      <c r="B1865" s="22" t="str">
        <f>IF(MOV_CC_NACIONAL!A1865="","",MOV_CC_NACIONAL!A1865)</f>
        <v/>
      </c>
      <c r="C1865" s="22" t="str">
        <f>IF(MOV_CC_NACIONAL!B1865="","",MOV_CC_NACIONAL!B1865)</f>
        <v/>
      </c>
      <c r="D1865" s="34" t="str">
        <f>IF(MOV_CC_NACIONAL!C1865="","",MOV_CC_NACIONAL!C1865)</f>
        <v/>
      </c>
      <c r="E1865" s="22" t="str">
        <f t="shared" si="1"/>
        <v/>
      </c>
      <c r="F1865" s="22" t="str">
        <f>IFERROR(__xludf.DUMMYFUNCTION("IF(C1865="""","""", OR(REGEXMATCH(LOWER(C1865),""cuota""), REGEXMATCH(C1865,""\d+\s*/\s*\d+"")))"),"")</f>
        <v/>
      </c>
      <c r="G1865" s="22" t="str">
        <f>IFERROR(__xludf.DUMMYFUNCTION("IFERROR(VALUE(REGEXEXTRACT(C1865,""(\d+)\s*/\s*\d+"")),"""")"),"")</f>
        <v/>
      </c>
      <c r="H1865" s="22" t="str">
        <f>IFERROR(__xludf.DUMMYFUNCTION("IFERROR(VALUE(REGEXEXTRACT(C1865,""\d+\s*/\s*(\d+)"")),"""")"),"")</f>
        <v/>
      </c>
      <c r="I1865" s="22" t="str">
        <f t="shared" si="2"/>
        <v/>
      </c>
      <c r="J1865" s="34" t="str">
        <f t="shared" si="3"/>
        <v/>
      </c>
    </row>
    <row r="1866" ht="15.75" customHeight="1">
      <c r="A1866" s="32" t="s">
        <v>113</v>
      </c>
      <c r="B1866" s="32" t="str">
        <f>IF(MOV_CC_NACIONAL!A1866="","",MOV_CC_NACIONAL!A1866)</f>
        <v/>
      </c>
      <c r="C1866" s="32" t="str">
        <f>IF(MOV_CC_NACIONAL!B1866="","",MOV_CC_NACIONAL!B1866)</f>
        <v/>
      </c>
      <c r="D1866" s="33" t="str">
        <f>IF(MOV_CC_NACIONAL!C1866="","",MOV_CC_NACIONAL!C1866)</f>
        <v/>
      </c>
      <c r="E1866" s="32" t="str">
        <f t="shared" si="1"/>
        <v/>
      </c>
      <c r="F1866" s="32" t="str">
        <f>IFERROR(__xludf.DUMMYFUNCTION("IF(C1866="""","""", OR(REGEXMATCH(LOWER(C1866),""cuota""), REGEXMATCH(C1866,""\d+\s*/\s*\d+"")))"),"")</f>
        <v/>
      </c>
      <c r="G1866" s="32" t="str">
        <f>IFERROR(__xludf.DUMMYFUNCTION("IFERROR(VALUE(REGEXEXTRACT(C1866,""(\d+)\s*/\s*\d+"")),"""")"),"")</f>
        <v/>
      </c>
      <c r="H1866" s="32" t="str">
        <f>IFERROR(__xludf.DUMMYFUNCTION("IFERROR(VALUE(REGEXEXTRACT(C1866,""\d+\s*/\s*(\d+)"")),"""")"),"")</f>
        <v/>
      </c>
      <c r="I1866" s="32" t="str">
        <f t="shared" si="2"/>
        <v/>
      </c>
      <c r="J1866" s="33" t="str">
        <f t="shared" si="3"/>
        <v/>
      </c>
    </row>
    <row r="1867" ht="15.75" customHeight="1">
      <c r="A1867" s="22" t="s">
        <v>113</v>
      </c>
      <c r="B1867" s="22" t="str">
        <f>IF(MOV_CC_NACIONAL!A1867="","",MOV_CC_NACIONAL!A1867)</f>
        <v/>
      </c>
      <c r="C1867" s="22" t="str">
        <f>IF(MOV_CC_NACIONAL!B1867="","",MOV_CC_NACIONAL!B1867)</f>
        <v/>
      </c>
      <c r="D1867" s="34" t="str">
        <f>IF(MOV_CC_NACIONAL!C1867="","",MOV_CC_NACIONAL!C1867)</f>
        <v/>
      </c>
      <c r="E1867" s="22" t="str">
        <f t="shared" si="1"/>
        <v/>
      </c>
      <c r="F1867" s="22" t="str">
        <f>IFERROR(__xludf.DUMMYFUNCTION("IF(C1867="""","""", OR(REGEXMATCH(LOWER(C1867),""cuota""), REGEXMATCH(C1867,""\d+\s*/\s*\d+"")))"),"")</f>
        <v/>
      </c>
      <c r="G1867" s="22" t="str">
        <f>IFERROR(__xludf.DUMMYFUNCTION("IFERROR(VALUE(REGEXEXTRACT(C1867,""(\d+)\s*/\s*\d+"")),"""")"),"")</f>
        <v/>
      </c>
      <c r="H1867" s="22" t="str">
        <f>IFERROR(__xludf.DUMMYFUNCTION("IFERROR(VALUE(REGEXEXTRACT(C1867,""\d+\s*/\s*(\d+)"")),"""")"),"")</f>
        <v/>
      </c>
      <c r="I1867" s="22" t="str">
        <f t="shared" si="2"/>
        <v/>
      </c>
      <c r="J1867" s="34" t="str">
        <f t="shared" si="3"/>
        <v/>
      </c>
    </row>
    <row r="1868" ht="15.75" customHeight="1">
      <c r="A1868" s="32" t="s">
        <v>113</v>
      </c>
      <c r="B1868" s="32" t="str">
        <f>IF(MOV_CC_NACIONAL!A1868="","",MOV_CC_NACIONAL!A1868)</f>
        <v/>
      </c>
      <c r="C1868" s="32" t="str">
        <f>IF(MOV_CC_NACIONAL!B1868="","",MOV_CC_NACIONAL!B1868)</f>
        <v/>
      </c>
      <c r="D1868" s="33" t="str">
        <f>IF(MOV_CC_NACIONAL!C1868="","",MOV_CC_NACIONAL!C1868)</f>
        <v/>
      </c>
      <c r="E1868" s="32" t="str">
        <f t="shared" si="1"/>
        <v/>
      </c>
      <c r="F1868" s="32" t="str">
        <f>IFERROR(__xludf.DUMMYFUNCTION("IF(C1868="""","""", OR(REGEXMATCH(LOWER(C1868),""cuota""), REGEXMATCH(C1868,""\d+\s*/\s*\d+"")))"),"")</f>
        <v/>
      </c>
      <c r="G1868" s="32" t="str">
        <f>IFERROR(__xludf.DUMMYFUNCTION("IFERROR(VALUE(REGEXEXTRACT(C1868,""(\d+)\s*/\s*\d+"")),"""")"),"")</f>
        <v/>
      </c>
      <c r="H1868" s="32" t="str">
        <f>IFERROR(__xludf.DUMMYFUNCTION("IFERROR(VALUE(REGEXEXTRACT(C1868,""\d+\s*/\s*(\d+)"")),"""")"),"")</f>
        <v/>
      </c>
      <c r="I1868" s="32" t="str">
        <f t="shared" si="2"/>
        <v/>
      </c>
      <c r="J1868" s="33" t="str">
        <f t="shared" si="3"/>
        <v/>
      </c>
    </row>
    <row r="1869" ht="15.75" customHeight="1">
      <c r="A1869" s="22" t="s">
        <v>113</v>
      </c>
      <c r="B1869" s="22" t="str">
        <f>IF(MOV_CC_NACIONAL!A1869="","",MOV_CC_NACIONAL!A1869)</f>
        <v/>
      </c>
      <c r="C1869" s="22" t="str">
        <f>IF(MOV_CC_NACIONAL!B1869="","",MOV_CC_NACIONAL!B1869)</f>
        <v/>
      </c>
      <c r="D1869" s="34" t="str">
        <f>IF(MOV_CC_NACIONAL!C1869="","",MOV_CC_NACIONAL!C1869)</f>
        <v/>
      </c>
      <c r="E1869" s="22" t="str">
        <f t="shared" si="1"/>
        <v/>
      </c>
      <c r="F1869" s="22" t="str">
        <f>IFERROR(__xludf.DUMMYFUNCTION("IF(C1869="""","""", OR(REGEXMATCH(LOWER(C1869),""cuota""), REGEXMATCH(C1869,""\d+\s*/\s*\d+"")))"),"")</f>
        <v/>
      </c>
      <c r="G1869" s="22" t="str">
        <f>IFERROR(__xludf.DUMMYFUNCTION("IFERROR(VALUE(REGEXEXTRACT(C1869,""(\d+)\s*/\s*\d+"")),"""")"),"")</f>
        <v/>
      </c>
      <c r="H1869" s="22" t="str">
        <f>IFERROR(__xludf.DUMMYFUNCTION("IFERROR(VALUE(REGEXEXTRACT(C1869,""\d+\s*/\s*(\d+)"")),"""")"),"")</f>
        <v/>
      </c>
      <c r="I1869" s="22" t="str">
        <f t="shared" si="2"/>
        <v/>
      </c>
      <c r="J1869" s="34" t="str">
        <f t="shared" si="3"/>
        <v/>
      </c>
    </row>
    <row r="1870" ht="15.75" customHeight="1">
      <c r="A1870" s="32" t="s">
        <v>113</v>
      </c>
      <c r="B1870" s="32" t="str">
        <f>IF(MOV_CC_NACIONAL!A1870="","",MOV_CC_NACIONAL!A1870)</f>
        <v/>
      </c>
      <c r="C1870" s="32" t="str">
        <f>IF(MOV_CC_NACIONAL!B1870="","",MOV_CC_NACIONAL!B1870)</f>
        <v/>
      </c>
      <c r="D1870" s="33" t="str">
        <f>IF(MOV_CC_NACIONAL!C1870="","",MOV_CC_NACIONAL!C1870)</f>
        <v/>
      </c>
      <c r="E1870" s="32" t="str">
        <f t="shared" si="1"/>
        <v/>
      </c>
      <c r="F1870" s="32" t="str">
        <f>IFERROR(__xludf.DUMMYFUNCTION("IF(C1870="""","""", OR(REGEXMATCH(LOWER(C1870),""cuota""), REGEXMATCH(C1870,""\d+\s*/\s*\d+"")))"),"")</f>
        <v/>
      </c>
      <c r="G1870" s="32" t="str">
        <f>IFERROR(__xludf.DUMMYFUNCTION("IFERROR(VALUE(REGEXEXTRACT(C1870,""(\d+)\s*/\s*\d+"")),"""")"),"")</f>
        <v/>
      </c>
      <c r="H1870" s="32" t="str">
        <f>IFERROR(__xludf.DUMMYFUNCTION("IFERROR(VALUE(REGEXEXTRACT(C1870,""\d+\s*/\s*(\d+)"")),"""")"),"")</f>
        <v/>
      </c>
      <c r="I1870" s="32" t="str">
        <f t="shared" si="2"/>
        <v/>
      </c>
      <c r="J1870" s="33" t="str">
        <f t="shared" si="3"/>
        <v/>
      </c>
    </row>
    <row r="1871" ht="15.75" customHeight="1">
      <c r="A1871" s="22" t="s">
        <v>113</v>
      </c>
      <c r="B1871" s="22" t="str">
        <f>IF(MOV_CC_NACIONAL!A1871="","",MOV_CC_NACIONAL!A1871)</f>
        <v/>
      </c>
      <c r="C1871" s="22" t="str">
        <f>IF(MOV_CC_NACIONAL!B1871="","",MOV_CC_NACIONAL!B1871)</f>
        <v/>
      </c>
      <c r="D1871" s="34" t="str">
        <f>IF(MOV_CC_NACIONAL!C1871="","",MOV_CC_NACIONAL!C1871)</f>
        <v/>
      </c>
      <c r="E1871" s="22" t="str">
        <f t="shared" si="1"/>
        <v/>
      </c>
      <c r="F1871" s="22" t="str">
        <f>IFERROR(__xludf.DUMMYFUNCTION("IF(C1871="""","""", OR(REGEXMATCH(LOWER(C1871),""cuota""), REGEXMATCH(C1871,""\d+\s*/\s*\d+"")))"),"")</f>
        <v/>
      </c>
      <c r="G1871" s="22" t="str">
        <f>IFERROR(__xludf.DUMMYFUNCTION("IFERROR(VALUE(REGEXEXTRACT(C1871,""(\d+)\s*/\s*\d+"")),"""")"),"")</f>
        <v/>
      </c>
      <c r="H1871" s="22" t="str">
        <f>IFERROR(__xludf.DUMMYFUNCTION("IFERROR(VALUE(REGEXEXTRACT(C1871,""\d+\s*/\s*(\d+)"")),"""")"),"")</f>
        <v/>
      </c>
      <c r="I1871" s="22" t="str">
        <f t="shared" si="2"/>
        <v/>
      </c>
      <c r="J1871" s="34" t="str">
        <f t="shared" si="3"/>
        <v/>
      </c>
    </row>
    <row r="1872" ht="15.75" customHeight="1">
      <c r="A1872" s="32" t="s">
        <v>113</v>
      </c>
      <c r="B1872" s="32" t="str">
        <f>IF(MOV_CC_NACIONAL!A1872="","",MOV_CC_NACIONAL!A1872)</f>
        <v/>
      </c>
      <c r="C1872" s="32" t="str">
        <f>IF(MOV_CC_NACIONAL!B1872="","",MOV_CC_NACIONAL!B1872)</f>
        <v/>
      </c>
      <c r="D1872" s="33" t="str">
        <f>IF(MOV_CC_NACIONAL!C1872="","",MOV_CC_NACIONAL!C1872)</f>
        <v/>
      </c>
      <c r="E1872" s="32" t="str">
        <f t="shared" si="1"/>
        <v/>
      </c>
      <c r="F1872" s="32" t="str">
        <f>IFERROR(__xludf.DUMMYFUNCTION("IF(C1872="""","""", OR(REGEXMATCH(LOWER(C1872),""cuota""), REGEXMATCH(C1872,""\d+\s*/\s*\d+"")))"),"")</f>
        <v/>
      </c>
      <c r="G1872" s="32" t="str">
        <f>IFERROR(__xludf.DUMMYFUNCTION("IFERROR(VALUE(REGEXEXTRACT(C1872,""(\d+)\s*/\s*\d+"")),"""")"),"")</f>
        <v/>
      </c>
      <c r="H1872" s="32" t="str">
        <f>IFERROR(__xludf.DUMMYFUNCTION("IFERROR(VALUE(REGEXEXTRACT(C1872,""\d+\s*/\s*(\d+)"")),"""")"),"")</f>
        <v/>
      </c>
      <c r="I1872" s="32" t="str">
        <f t="shared" si="2"/>
        <v/>
      </c>
      <c r="J1872" s="33" t="str">
        <f t="shared" si="3"/>
        <v/>
      </c>
    </row>
    <row r="1873" ht="15.75" customHeight="1">
      <c r="A1873" s="22" t="s">
        <v>113</v>
      </c>
      <c r="B1873" s="22" t="str">
        <f>IF(MOV_CC_NACIONAL!A1873="","",MOV_CC_NACIONAL!A1873)</f>
        <v/>
      </c>
      <c r="C1873" s="22" t="str">
        <f>IF(MOV_CC_NACIONAL!B1873="","",MOV_CC_NACIONAL!B1873)</f>
        <v/>
      </c>
      <c r="D1873" s="34" t="str">
        <f>IF(MOV_CC_NACIONAL!C1873="","",MOV_CC_NACIONAL!C1873)</f>
        <v/>
      </c>
      <c r="E1873" s="22" t="str">
        <f t="shared" si="1"/>
        <v/>
      </c>
      <c r="F1873" s="22" t="str">
        <f>IFERROR(__xludf.DUMMYFUNCTION("IF(C1873="""","""", OR(REGEXMATCH(LOWER(C1873),""cuota""), REGEXMATCH(C1873,""\d+\s*/\s*\d+"")))"),"")</f>
        <v/>
      </c>
      <c r="G1873" s="22" t="str">
        <f>IFERROR(__xludf.DUMMYFUNCTION("IFERROR(VALUE(REGEXEXTRACT(C1873,""(\d+)\s*/\s*\d+"")),"""")"),"")</f>
        <v/>
      </c>
      <c r="H1873" s="22" t="str">
        <f>IFERROR(__xludf.DUMMYFUNCTION("IFERROR(VALUE(REGEXEXTRACT(C1873,""\d+\s*/\s*(\d+)"")),"""")"),"")</f>
        <v/>
      </c>
      <c r="I1873" s="22" t="str">
        <f t="shared" si="2"/>
        <v/>
      </c>
      <c r="J1873" s="34" t="str">
        <f t="shared" si="3"/>
        <v/>
      </c>
    </row>
    <row r="1874" ht="15.75" customHeight="1">
      <c r="A1874" s="32" t="s">
        <v>113</v>
      </c>
      <c r="B1874" s="32" t="str">
        <f>IF(MOV_CC_NACIONAL!A1874="","",MOV_CC_NACIONAL!A1874)</f>
        <v/>
      </c>
      <c r="C1874" s="32" t="str">
        <f>IF(MOV_CC_NACIONAL!B1874="","",MOV_CC_NACIONAL!B1874)</f>
        <v/>
      </c>
      <c r="D1874" s="33" t="str">
        <f>IF(MOV_CC_NACIONAL!C1874="","",MOV_CC_NACIONAL!C1874)</f>
        <v/>
      </c>
      <c r="E1874" s="32" t="str">
        <f t="shared" si="1"/>
        <v/>
      </c>
      <c r="F1874" s="32" t="str">
        <f>IFERROR(__xludf.DUMMYFUNCTION("IF(C1874="""","""", OR(REGEXMATCH(LOWER(C1874),""cuota""), REGEXMATCH(C1874,""\d+\s*/\s*\d+"")))"),"")</f>
        <v/>
      </c>
      <c r="G1874" s="32" t="str">
        <f>IFERROR(__xludf.DUMMYFUNCTION("IFERROR(VALUE(REGEXEXTRACT(C1874,""(\d+)\s*/\s*\d+"")),"""")"),"")</f>
        <v/>
      </c>
      <c r="H1874" s="32" t="str">
        <f>IFERROR(__xludf.DUMMYFUNCTION("IFERROR(VALUE(REGEXEXTRACT(C1874,""\d+\s*/\s*(\d+)"")),"""")"),"")</f>
        <v/>
      </c>
      <c r="I1874" s="32" t="str">
        <f t="shared" si="2"/>
        <v/>
      </c>
      <c r="J1874" s="33" t="str">
        <f t="shared" si="3"/>
        <v/>
      </c>
    </row>
    <row r="1875" ht="15.75" customHeight="1">
      <c r="A1875" s="22" t="s">
        <v>113</v>
      </c>
      <c r="B1875" s="22" t="str">
        <f>IF(MOV_CC_NACIONAL!A1875="","",MOV_CC_NACIONAL!A1875)</f>
        <v/>
      </c>
      <c r="C1875" s="22" t="str">
        <f>IF(MOV_CC_NACIONAL!B1875="","",MOV_CC_NACIONAL!B1875)</f>
        <v/>
      </c>
      <c r="D1875" s="34" t="str">
        <f>IF(MOV_CC_NACIONAL!C1875="","",MOV_CC_NACIONAL!C1875)</f>
        <v/>
      </c>
      <c r="E1875" s="22" t="str">
        <f t="shared" si="1"/>
        <v/>
      </c>
      <c r="F1875" s="22" t="str">
        <f>IFERROR(__xludf.DUMMYFUNCTION("IF(C1875="""","""", OR(REGEXMATCH(LOWER(C1875),""cuota""), REGEXMATCH(C1875,""\d+\s*/\s*\d+"")))"),"")</f>
        <v/>
      </c>
      <c r="G1875" s="22" t="str">
        <f>IFERROR(__xludf.DUMMYFUNCTION("IFERROR(VALUE(REGEXEXTRACT(C1875,""(\d+)\s*/\s*\d+"")),"""")"),"")</f>
        <v/>
      </c>
      <c r="H1875" s="22" t="str">
        <f>IFERROR(__xludf.DUMMYFUNCTION("IFERROR(VALUE(REGEXEXTRACT(C1875,""\d+\s*/\s*(\d+)"")),"""")"),"")</f>
        <v/>
      </c>
      <c r="I1875" s="22" t="str">
        <f t="shared" si="2"/>
        <v/>
      </c>
      <c r="J1875" s="34" t="str">
        <f t="shared" si="3"/>
        <v/>
      </c>
    </row>
    <row r="1876" ht="15.75" customHeight="1">
      <c r="A1876" s="32" t="s">
        <v>113</v>
      </c>
      <c r="B1876" s="32" t="str">
        <f>IF(MOV_CC_NACIONAL!A1876="","",MOV_CC_NACIONAL!A1876)</f>
        <v/>
      </c>
      <c r="C1876" s="32" t="str">
        <f>IF(MOV_CC_NACIONAL!B1876="","",MOV_CC_NACIONAL!B1876)</f>
        <v/>
      </c>
      <c r="D1876" s="33" t="str">
        <f>IF(MOV_CC_NACIONAL!C1876="","",MOV_CC_NACIONAL!C1876)</f>
        <v/>
      </c>
      <c r="E1876" s="32" t="str">
        <f t="shared" si="1"/>
        <v/>
      </c>
      <c r="F1876" s="32" t="str">
        <f>IFERROR(__xludf.DUMMYFUNCTION("IF(C1876="""","""", OR(REGEXMATCH(LOWER(C1876),""cuota""), REGEXMATCH(C1876,""\d+\s*/\s*\d+"")))"),"")</f>
        <v/>
      </c>
      <c r="G1876" s="32" t="str">
        <f>IFERROR(__xludf.DUMMYFUNCTION("IFERROR(VALUE(REGEXEXTRACT(C1876,""(\d+)\s*/\s*\d+"")),"""")"),"")</f>
        <v/>
      </c>
      <c r="H1876" s="32" t="str">
        <f>IFERROR(__xludf.DUMMYFUNCTION("IFERROR(VALUE(REGEXEXTRACT(C1876,""\d+\s*/\s*(\d+)"")),"""")"),"")</f>
        <v/>
      </c>
      <c r="I1876" s="32" t="str">
        <f t="shared" si="2"/>
        <v/>
      </c>
      <c r="J1876" s="33" t="str">
        <f t="shared" si="3"/>
        <v/>
      </c>
    </row>
    <row r="1877" ht="15.75" customHeight="1">
      <c r="A1877" s="22" t="s">
        <v>113</v>
      </c>
      <c r="B1877" s="22" t="str">
        <f>IF(MOV_CC_NACIONAL!A1877="","",MOV_CC_NACIONAL!A1877)</f>
        <v/>
      </c>
      <c r="C1877" s="22" t="str">
        <f>IF(MOV_CC_NACIONAL!B1877="","",MOV_CC_NACIONAL!B1877)</f>
        <v/>
      </c>
      <c r="D1877" s="34" t="str">
        <f>IF(MOV_CC_NACIONAL!C1877="","",MOV_CC_NACIONAL!C1877)</f>
        <v/>
      </c>
      <c r="E1877" s="22" t="str">
        <f t="shared" si="1"/>
        <v/>
      </c>
      <c r="F1877" s="22" t="str">
        <f>IFERROR(__xludf.DUMMYFUNCTION("IF(C1877="""","""", OR(REGEXMATCH(LOWER(C1877),""cuota""), REGEXMATCH(C1877,""\d+\s*/\s*\d+"")))"),"")</f>
        <v/>
      </c>
      <c r="G1877" s="22" t="str">
        <f>IFERROR(__xludf.DUMMYFUNCTION("IFERROR(VALUE(REGEXEXTRACT(C1877,""(\d+)\s*/\s*\d+"")),"""")"),"")</f>
        <v/>
      </c>
      <c r="H1877" s="22" t="str">
        <f>IFERROR(__xludf.DUMMYFUNCTION("IFERROR(VALUE(REGEXEXTRACT(C1877,""\d+\s*/\s*(\d+)"")),"""")"),"")</f>
        <v/>
      </c>
      <c r="I1877" s="22" t="str">
        <f t="shared" si="2"/>
        <v/>
      </c>
      <c r="J1877" s="34" t="str">
        <f t="shared" si="3"/>
        <v/>
      </c>
    </row>
    <row r="1878" ht="15.75" customHeight="1">
      <c r="A1878" s="32" t="s">
        <v>113</v>
      </c>
      <c r="B1878" s="32" t="str">
        <f>IF(MOV_CC_NACIONAL!A1878="","",MOV_CC_NACIONAL!A1878)</f>
        <v/>
      </c>
      <c r="C1878" s="32" t="str">
        <f>IF(MOV_CC_NACIONAL!B1878="","",MOV_CC_NACIONAL!B1878)</f>
        <v/>
      </c>
      <c r="D1878" s="33" t="str">
        <f>IF(MOV_CC_NACIONAL!C1878="","",MOV_CC_NACIONAL!C1878)</f>
        <v/>
      </c>
      <c r="E1878" s="32" t="str">
        <f t="shared" si="1"/>
        <v/>
      </c>
      <c r="F1878" s="32" t="str">
        <f>IFERROR(__xludf.DUMMYFUNCTION("IF(C1878="""","""", OR(REGEXMATCH(LOWER(C1878),""cuota""), REGEXMATCH(C1878,""\d+\s*/\s*\d+"")))"),"")</f>
        <v/>
      </c>
      <c r="G1878" s="32" t="str">
        <f>IFERROR(__xludf.DUMMYFUNCTION("IFERROR(VALUE(REGEXEXTRACT(C1878,""(\d+)\s*/\s*\d+"")),"""")"),"")</f>
        <v/>
      </c>
      <c r="H1878" s="32" t="str">
        <f>IFERROR(__xludf.DUMMYFUNCTION("IFERROR(VALUE(REGEXEXTRACT(C1878,""\d+\s*/\s*(\d+)"")),"""")"),"")</f>
        <v/>
      </c>
      <c r="I1878" s="32" t="str">
        <f t="shared" si="2"/>
        <v/>
      </c>
      <c r="J1878" s="33" t="str">
        <f t="shared" si="3"/>
        <v/>
      </c>
    </row>
    <row r="1879" ht="15.75" customHeight="1">
      <c r="A1879" s="22" t="s">
        <v>113</v>
      </c>
      <c r="B1879" s="22" t="str">
        <f>IF(MOV_CC_NACIONAL!A1879="","",MOV_CC_NACIONAL!A1879)</f>
        <v/>
      </c>
      <c r="C1879" s="22" t="str">
        <f>IF(MOV_CC_NACIONAL!B1879="","",MOV_CC_NACIONAL!B1879)</f>
        <v/>
      </c>
      <c r="D1879" s="34" t="str">
        <f>IF(MOV_CC_NACIONAL!C1879="","",MOV_CC_NACIONAL!C1879)</f>
        <v/>
      </c>
      <c r="E1879" s="22" t="str">
        <f t="shared" si="1"/>
        <v/>
      </c>
      <c r="F1879" s="22" t="str">
        <f>IFERROR(__xludf.DUMMYFUNCTION("IF(C1879="""","""", OR(REGEXMATCH(LOWER(C1879),""cuota""), REGEXMATCH(C1879,""\d+\s*/\s*\d+"")))"),"")</f>
        <v/>
      </c>
      <c r="G1879" s="22" t="str">
        <f>IFERROR(__xludf.DUMMYFUNCTION("IFERROR(VALUE(REGEXEXTRACT(C1879,""(\d+)\s*/\s*\d+"")),"""")"),"")</f>
        <v/>
      </c>
      <c r="H1879" s="22" t="str">
        <f>IFERROR(__xludf.DUMMYFUNCTION("IFERROR(VALUE(REGEXEXTRACT(C1879,""\d+\s*/\s*(\d+)"")),"""")"),"")</f>
        <v/>
      </c>
      <c r="I1879" s="22" t="str">
        <f t="shared" si="2"/>
        <v/>
      </c>
      <c r="J1879" s="34" t="str">
        <f t="shared" si="3"/>
        <v/>
      </c>
    </row>
    <row r="1880" ht="15.75" customHeight="1">
      <c r="A1880" s="32" t="s">
        <v>113</v>
      </c>
      <c r="B1880" s="32" t="str">
        <f>IF(MOV_CC_NACIONAL!A1880="","",MOV_CC_NACIONAL!A1880)</f>
        <v/>
      </c>
      <c r="C1880" s="32" t="str">
        <f>IF(MOV_CC_NACIONAL!B1880="","",MOV_CC_NACIONAL!B1880)</f>
        <v/>
      </c>
      <c r="D1880" s="33" t="str">
        <f>IF(MOV_CC_NACIONAL!C1880="","",MOV_CC_NACIONAL!C1880)</f>
        <v/>
      </c>
      <c r="E1880" s="32" t="str">
        <f t="shared" si="1"/>
        <v/>
      </c>
      <c r="F1880" s="32" t="str">
        <f>IFERROR(__xludf.DUMMYFUNCTION("IF(C1880="""","""", OR(REGEXMATCH(LOWER(C1880),""cuota""), REGEXMATCH(C1880,""\d+\s*/\s*\d+"")))"),"")</f>
        <v/>
      </c>
      <c r="G1880" s="32" t="str">
        <f>IFERROR(__xludf.DUMMYFUNCTION("IFERROR(VALUE(REGEXEXTRACT(C1880,""(\d+)\s*/\s*\d+"")),"""")"),"")</f>
        <v/>
      </c>
      <c r="H1880" s="32" t="str">
        <f>IFERROR(__xludf.DUMMYFUNCTION("IFERROR(VALUE(REGEXEXTRACT(C1880,""\d+\s*/\s*(\d+)"")),"""")"),"")</f>
        <v/>
      </c>
      <c r="I1880" s="32" t="str">
        <f t="shared" si="2"/>
        <v/>
      </c>
      <c r="J1880" s="33" t="str">
        <f t="shared" si="3"/>
        <v/>
      </c>
    </row>
    <row r="1881" ht="15.75" customHeight="1">
      <c r="A1881" s="22" t="s">
        <v>113</v>
      </c>
      <c r="B1881" s="22" t="str">
        <f>IF(MOV_CC_NACIONAL!A1881="","",MOV_CC_NACIONAL!A1881)</f>
        <v/>
      </c>
      <c r="C1881" s="22" t="str">
        <f>IF(MOV_CC_NACIONAL!B1881="","",MOV_CC_NACIONAL!B1881)</f>
        <v/>
      </c>
      <c r="D1881" s="34" t="str">
        <f>IF(MOV_CC_NACIONAL!C1881="","",MOV_CC_NACIONAL!C1881)</f>
        <v/>
      </c>
      <c r="E1881" s="22" t="str">
        <f t="shared" si="1"/>
        <v/>
      </c>
      <c r="F1881" s="22" t="str">
        <f>IFERROR(__xludf.DUMMYFUNCTION("IF(C1881="""","""", OR(REGEXMATCH(LOWER(C1881),""cuota""), REGEXMATCH(C1881,""\d+\s*/\s*\d+"")))"),"")</f>
        <v/>
      </c>
      <c r="G1881" s="22" t="str">
        <f>IFERROR(__xludf.DUMMYFUNCTION("IFERROR(VALUE(REGEXEXTRACT(C1881,""(\d+)\s*/\s*\d+"")),"""")"),"")</f>
        <v/>
      </c>
      <c r="H1881" s="22" t="str">
        <f>IFERROR(__xludf.DUMMYFUNCTION("IFERROR(VALUE(REGEXEXTRACT(C1881,""\d+\s*/\s*(\d+)"")),"""")"),"")</f>
        <v/>
      </c>
      <c r="I1881" s="22" t="str">
        <f t="shared" si="2"/>
        <v/>
      </c>
      <c r="J1881" s="34" t="str">
        <f t="shared" si="3"/>
        <v/>
      </c>
    </row>
    <row r="1882" ht="15.75" customHeight="1">
      <c r="A1882" s="32" t="s">
        <v>113</v>
      </c>
      <c r="B1882" s="32" t="str">
        <f>IF(MOV_CC_NACIONAL!A1882="","",MOV_CC_NACIONAL!A1882)</f>
        <v/>
      </c>
      <c r="C1882" s="32" t="str">
        <f>IF(MOV_CC_NACIONAL!B1882="","",MOV_CC_NACIONAL!B1882)</f>
        <v/>
      </c>
      <c r="D1882" s="33" t="str">
        <f>IF(MOV_CC_NACIONAL!C1882="","",MOV_CC_NACIONAL!C1882)</f>
        <v/>
      </c>
      <c r="E1882" s="32" t="str">
        <f t="shared" si="1"/>
        <v/>
      </c>
      <c r="F1882" s="32" t="str">
        <f>IFERROR(__xludf.DUMMYFUNCTION("IF(C1882="""","""", OR(REGEXMATCH(LOWER(C1882),""cuota""), REGEXMATCH(C1882,""\d+\s*/\s*\d+"")))"),"")</f>
        <v/>
      </c>
      <c r="G1882" s="32" t="str">
        <f>IFERROR(__xludf.DUMMYFUNCTION("IFERROR(VALUE(REGEXEXTRACT(C1882,""(\d+)\s*/\s*\d+"")),"""")"),"")</f>
        <v/>
      </c>
      <c r="H1882" s="32" t="str">
        <f>IFERROR(__xludf.DUMMYFUNCTION("IFERROR(VALUE(REGEXEXTRACT(C1882,""\d+\s*/\s*(\d+)"")),"""")"),"")</f>
        <v/>
      </c>
      <c r="I1882" s="32" t="str">
        <f t="shared" si="2"/>
        <v/>
      </c>
      <c r="J1882" s="33" t="str">
        <f t="shared" si="3"/>
        <v/>
      </c>
    </row>
    <row r="1883" ht="15.75" customHeight="1">
      <c r="A1883" s="22" t="s">
        <v>113</v>
      </c>
      <c r="B1883" s="22" t="str">
        <f>IF(MOV_CC_NACIONAL!A1883="","",MOV_CC_NACIONAL!A1883)</f>
        <v/>
      </c>
      <c r="C1883" s="22" t="str">
        <f>IF(MOV_CC_NACIONAL!B1883="","",MOV_CC_NACIONAL!B1883)</f>
        <v/>
      </c>
      <c r="D1883" s="34" t="str">
        <f>IF(MOV_CC_NACIONAL!C1883="","",MOV_CC_NACIONAL!C1883)</f>
        <v/>
      </c>
      <c r="E1883" s="22" t="str">
        <f t="shared" si="1"/>
        <v/>
      </c>
      <c r="F1883" s="22" t="str">
        <f>IFERROR(__xludf.DUMMYFUNCTION("IF(C1883="""","""", OR(REGEXMATCH(LOWER(C1883),""cuota""), REGEXMATCH(C1883,""\d+\s*/\s*\d+"")))"),"")</f>
        <v/>
      </c>
      <c r="G1883" s="22" t="str">
        <f>IFERROR(__xludf.DUMMYFUNCTION("IFERROR(VALUE(REGEXEXTRACT(C1883,""(\d+)\s*/\s*\d+"")),"""")"),"")</f>
        <v/>
      </c>
      <c r="H1883" s="22" t="str">
        <f>IFERROR(__xludf.DUMMYFUNCTION("IFERROR(VALUE(REGEXEXTRACT(C1883,""\d+\s*/\s*(\d+)"")),"""")"),"")</f>
        <v/>
      </c>
      <c r="I1883" s="22" t="str">
        <f t="shared" si="2"/>
        <v/>
      </c>
      <c r="J1883" s="34" t="str">
        <f t="shared" si="3"/>
        <v/>
      </c>
    </row>
    <row r="1884" ht="15.75" customHeight="1">
      <c r="A1884" s="32" t="s">
        <v>113</v>
      </c>
      <c r="B1884" s="32" t="str">
        <f>IF(MOV_CC_NACIONAL!A1884="","",MOV_CC_NACIONAL!A1884)</f>
        <v/>
      </c>
      <c r="C1884" s="32" t="str">
        <f>IF(MOV_CC_NACIONAL!B1884="","",MOV_CC_NACIONAL!B1884)</f>
        <v/>
      </c>
      <c r="D1884" s="33" t="str">
        <f>IF(MOV_CC_NACIONAL!C1884="","",MOV_CC_NACIONAL!C1884)</f>
        <v/>
      </c>
      <c r="E1884" s="32" t="str">
        <f t="shared" si="1"/>
        <v/>
      </c>
      <c r="F1884" s="32" t="str">
        <f>IFERROR(__xludf.DUMMYFUNCTION("IF(C1884="""","""", OR(REGEXMATCH(LOWER(C1884),""cuota""), REGEXMATCH(C1884,""\d+\s*/\s*\d+"")))"),"")</f>
        <v/>
      </c>
      <c r="G1884" s="32" t="str">
        <f>IFERROR(__xludf.DUMMYFUNCTION("IFERROR(VALUE(REGEXEXTRACT(C1884,""(\d+)\s*/\s*\d+"")),"""")"),"")</f>
        <v/>
      </c>
      <c r="H1884" s="32" t="str">
        <f>IFERROR(__xludf.DUMMYFUNCTION("IFERROR(VALUE(REGEXEXTRACT(C1884,""\d+\s*/\s*(\d+)"")),"""")"),"")</f>
        <v/>
      </c>
      <c r="I1884" s="32" t="str">
        <f t="shared" si="2"/>
        <v/>
      </c>
      <c r="J1884" s="33" t="str">
        <f t="shared" si="3"/>
        <v/>
      </c>
    </row>
    <row r="1885" ht="15.75" customHeight="1">
      <c r="A1885" s="22" t="s">
        <v>113</v>
      </c>
      <c r="B1885" s="22" t="str">
        <f>IF(MOV_CC_NACIONAL!A1885="","",MOV_CC_NACIONAL!A1885)</f>
        <v/>
      </c>
      <c r="C1885" s="22" t="str">
        <f>IF(MOV_CC_NACIONAL!B1885="","",MOV_CC_NACIONAL!B1885)</f>
        <v/>
      </c>
      <c r="D1885" s="34" t="str">
        <f>IF(MOV_CC_NACIONAL!C1885="","",MOV_CC_NACIONAL!C1885)</f>
        <v/>
      </c>
      <c r="E1885" s="22" t="str">
        <f t="shared" si="1"/>
        <v/>
      </c>
      <c r="F1885" s="22" t="str">
        <f>IFERROR(__xludf.DUMMYFUNCTION("IF(C1885="""","""", OR(REGEXMATCH(LOWER(C1885),""cuota""), REGEXMATCH(C1885,""\d+\s*/\s*\d+"")))"),"")</f>
        <v/>
      </c>
      <c r="G1885" s="22" t="str">
        <f>IFERROR(__xludf.DUMMYFUNCTION("IFERROR(VALUE(REGEXEXTRACT(C1885,""(\d+)\s*/\s*\d+"")),"""")"),"")</f>
        <v/>
      </c>
      <c r="H1885" s="22" t="str">
        <f>IFERROR(__xludf.DUMMYFUNCTION("IFERROR(VALUE(REGEXEXTRACT(C1885,""\d+\s*/\s*(\d+)"")),"""")"),"")</f>
        <v/>
      </c>
      <c r="I1885" s="22" t="str">
        <f t="shared" si="2"/>
        <v/>
      </c>
      <c r="J1885" s="34" t="str">
        <f t="shared" si="3"/>
        <v/>
      </c>
    </row>
    <row r="1886" ht="15.75" customHeight="1">
      <c r="A1886" s="32" t="s">
        <v>113</v>
      </c>
      <c r="B1886" s="32" t="str">
        <f>IF(MOV_CC_NACIONAL!A1886="","",MOV_CC_NACIONAL!A1886)</f>
        <v/>
      </c>
      <c r="C1886" s="32" t="str">
        <f>IF(MOV_CC_NACIONAL!B1886="","",MOV_CC_NACIONAL!B1886)</f>
        <v/>
      </c>
      <c r="D1886" s="33" t="str">
        <f>IF(MOV_CC_NACIONAL!C1886="","",MOV_CC_NACIONAL!C1886)</f>
        <v/>
      </c>
      <c r="E1886" s="32" t="str">
        <f t="shared" si="1"/>
        <v/>
      </c>
      <c r="F1886" s="32" t="str">
        <f>IFERROR(__xludf.DUMMYFUNCTION("IF(C1886="""","""", OR(REGEXMATCH(LOWER(C1886),""cuota""), REGEXMATCH(C1886,""\d+\s*/\s*\d+"")))"),"")</f>
        <v/>
      </c>
      <c r="G1886" s="32" t="str">
        <f>IFERROR(__xludf.DUMMYFUNCTION("IFERROR(VALUE(REGEXEXTRACT(C1886,""(\d+)\s*/\s*\d+"")),"""")"),"")</f>
        <v/>
      </c>
      <c r="H1886" s="32" t="str">
        <f>IFERROR(__xludf.DUMMYFUNCTION("IFERROR(VALUE(REGEXEXTRACT(C1886,""\d+\s*/\s*(\d+)"")),"""")"),"")</f>
        <v/>
      </c>
      <c r="I1886" s="32" t="str">
        <f t="shared" si="2"/>
        <v/>
      </c>
      <c r="J1886" s="33" t="str">
        <f t="shared" si="3"/>
        <v/>
      </c>
    </row>
    <row r="1887" ht="15.75" customHeight="1">
      <c r="A1887" s="22" t="s">
        <v>113</v>
      </c>
      <c r="B1887" s="22" t="str">
        <f>IF(MOV_CC_NACIONAL!A1887="","",MOV_CC_NACIONAL!A1887)</f>
        <v/>
      </c>
      <c r="C1887" s="22" t="str">
        <f>IF(MOV_CC_NACIONAL!B1887="","",MOV_CC_NACIONAL!B1887)</f>
        <v/>
      </c>
      <c r="D1887" s="34" t="str">
        <f>IF(MOV_CC_NACIONAL!C1887="","",MOV_CC_NACIONAL!C1887)</f>
        <v/>
      </c>
      <c r="E1887" s="22" t="str">
        <f t="shared" si="1"/>
        <v/>
      </c>
      <c r="F1887" s="22" t="str">
        <f>IFERROR(__xludf.DUMMYFUNCTION("IF(C1887="""","""", OR(REGEXMATCH(LOWER(C1887),""cuota""), REGEXMATCH(C1887,""\d+\s*/\s*\d+"")))"),"")</f>
        <v/>
      </c>
      <c r="G1887" s="22" t="str">
        <f>IFERROR(__xludf.DUMMYFUNCTION("IFERROR(VALUE(REGEXEXTRACT(C1887,""(\d+)\s*/\s*\d+"")),"""")"),"")</f>
        <v/>
      </c>
      <c r="H1887" s="22" t="str">
        <f>IFERROR(__xludf.DUMMYFUNCTION("IFERROR(VALUE(REGEXEXTRACT(C1887,""\d+\s*/\s*(\d+)"")),"""")"),"")</f>
        <v/>
      </c>
      <c r="I1887" s="22" t="str">
        <f t="shared" si="2"/>
        <v/>
      </c>
      <c r="J1887" s="34" t="str">
        <f t="shared" si="3"/>
        <v/>
      </c>
    </row>
    <row r="1888" ht="15.75" customHeight="1">
      <c r="A1888" s="32" t="s">
        <v>113</v>
      </c>
      <c r="B1888" s="32" t="str">
        <f>IF(MOV_CC_NACIONAL!A1888="","",MOV_CC_NACIONAL!A1888)</f>
        <v/>
      </c>
      <c r="C1888" s="32" t="str">
        <f>IF(MOV_CC_NACIONAL!B1888="","",MOV_CC_NACIONAL!B1888)</f>
        <v/>
      </c>
      <c r="D1888" s="33" t="str">
        <f>IF(MOV_CC_NACIONAL!C1888="","",MOV_CC_NACIONAL!C1888)</f>
        <v/>
      </c>
      <c r="E1888" s="32" t="str">
        <f t="shared" si="1"/>
        <v/>
      </c>
      <c r="F1888" s="32" t="str">
        <f>IFERROR(__xludf.DUMMYFUNCTION("IF(C1888="""","""", OR(REGEXMATCH(LOWER(C1888),""cuota""), REGEXMATCH(C1888,""\d+\s*/\s*\d+"")))"),"")</f>
        <v/>
      </c>
      <c r="G1888" s="32" t="str">
        <f>IFERROR(__xludf.DUMMYFUNCTION("IFERROR(VALUE(REGEXEXTRACT(C1888,""(\d+)\s*/\s*\d+"")),"""")"),"")</f>
        <v/>
      </c>
      <c r="H1888" s="32" t="str">
        <f>IFERROR(__xludf.DUMMYFUNCTION("IFERROR(VALUE(REGEXEXTRACT(C1888,""\d+\s*/\s*(\d+)"")),"""")"),"")</f>
        <v/>
      </c>
      <c r="I1888" s="32" t="str">
        <f t="shared" si="2"/>
        <v/>
      </c>
      <c r="J1888" s="33" t="str">
        <f t="shared" si="3"/>
        <v/>
      </c>
    </row>
    <row r="1889" ht="15.75" customHeight="1">
      <c r="A1889" s="22" t="s">
        <v>113</v>
      </c>
      <c r="B1889" s="22" t="str">
        <f>IF(MOV_CC_NACIONAL!A1889="","",MOV_CC_NACIONAL!A1889)</f>
        <v/>
      </c>
      <c r="C1889" s="22" t="str">
        <f>IF(MOV_CC_NACIONAL!B1889="","",MOV_CC_NACIONAL!B1889)</f>
        <v/>
      </c>
      <c r="D1889" s="34" t="str">
        <f>IF(MOV_CC_NACIONAL!C1889="","",MOV_CC_NACIONAL!C1889)</f>
        <v/>
      </c>
      <c r="E1889" s="22" t="str">
        <f t="shared" si="1"/>
        <v/>
      </c>
      <c r="F1889" s="22" t="str">
        <f>IFERROR(__xludf.DUMMYFUNCTION("IF(C1889="""","""", OR(REGEXMATCH(LOWER(C1889),""cuota""), REGEXMATCH(C1889,""\d+\s*/\s*\d+"")))"),"")</f>
        <v/>
      </c>
      <c r="G1889" s="22" t="str">
        <f>IFERROR(__xludf.DUMMYFUNCTION("IFERROR(VALUE(REGEXEXTRACT(C1889,""(\d+)\s*/\s*\d+"")),"""")"),"")</f>
        <v/>
      </c>
      <c r="H1889" s="22" t="str">
        <f>IFERROR(__xludf.DUMMYFUNCTION("IFERROR(VALUE(REGEXEXTRACT(C1889,""\d+\s*/\s*(\d+)"")),"""")"),"")</f>
        <v/>
      </c>
      <c r="I1889" s="22" t="str">
        <f t="shared" si="2"/>
        <v/>
      </c>
      <c r="J1889" s="34" t="str">
        <f t="shared" si="3"/>
        <v/>
      </c>
    </row>
    <row r="1890" ht="15.75" customHeight="1">
      <c r="A1890" s="32" t="s">
        <v>113</v>
      </c>
      <c r="B1890" s="32" t="str">
        <f>IF(MOV_CC_NACIONAL!A1890="","",MOV_CC_NACIONAL!A1890)</f>
        <v/>
      </c>
      <c r="C1890" s="32" t="str">
        <f>IF(MOV_CC_NACIONAL!B1890="","",MOV_CC_NACIONAL!B1890)</f>
        <v/>
      </c>
      <c r="D1890" s="33" t="str">
        <f>IF(MOV_CC_NACIONAL!C1890="","",MOV_CC_NACIONAL!C1890)</f>
        <v/>
      </c>
      <c r="E1890" s="32" t="str">
        <f t="shared" si="1"/>
        <v/>
      </c>
      <c r="F1890" s="32" t="str">
        <f>IFERROR(__xludf.DUMMYFUNCTION("IF(C1890="""","""", OR(REGEXMATCH(LOWER(C1890),""cuota""), REGEXMATCH(C1890,""\d+\s*/\s*\d+"")))"),"")</f>
        <v/>
      </c>
      <c r="G1890" s="32" t="str">
        <f>IFERROR(__xludf.DUMMYFUNCTION("IFERROR(VALUE(REGEXEXTRACT(C1890,""(\d+)\s*/\s*\d+"")),"""")"),"")</f>
        <v/>
      </c>
      <c r="H1890" s="32" t="str">
        <f>IFERROR(__xludf.DUMMYFUNCTION("IFERROR(VALUE(REGEXEXTRACT(C1890,""\d+\s*/\s*(\d+)"")),"""")"),"")</f>
        <v/>
      </c>
      <c r="I1890" s="32" t="str">
        <f t="shared" si="2"/>
        <v/>
      </c>
      <c r="J1890" s="33" t="str">
        <f t="shared" si="3"/>
        <v/>
      </c>
    </row>
    <row r="1891" ht="15.75" customHeight="1">
      <c r="A1891" s="22" t="s">
        <v>113</v>
      </c>
      <c r="B1891" s="22" t="str">
        <f>IF(MOV_CC_NACIONAL!A1891="","",MOV_CC_NACIONAL!A1891)</f>
        <v/>
      </c>
      <c r="C1891" s="22" t="str">
        <f>IF(MOV_CC_NACIONAL!B1891="","",MOV_CC_NACIONAL!B1891)</f>
        <v/>
      </c>
      <c r="D1891" s="34" t="str">
        <f>IF(MOV_CC_NACIONAL!C1891="","",MOV_CC_NACIONAL!C1891)</f>
        <v/>
      </c>
      <c r="E1891" s="22" t="str">
        <f t="shared" si="1"/>
        <v/>
      </c>
      <c r="F1891" s="22" t="str">
        <f>IFERROR(__xludf.DUMMYFUNCTION("IF(C1891="""","""", OR(REGEXMATCH(LOWER(C1891),""cuota""), REGEXMATCH(C1891,""\d+\s*/\s*\d+"")))"),"")</f>
        <v/>
      </c>
      <c r="G1891" s="22" t="str">
        <f>IFERROR(__xludf.DUMMYFUNCTION("IFERROR(VALUE(REGEXEXTRACT(C1891,""(\d+)\s*/\s*\d+"")),"""")"),"")</f>
        <v/>
      </c>
      <c r="H1891" s="22" t="str">
        <f>IFERROR(__xludf.DUMMYFUNCTION("IFERROR(VALUE(REGEXEXTRACT(C1891,""\d+\s*/\s*(\d+)"")),"""")"),"")</f>
        <v/>
      </c>
      <c r="I1891" s="22" t="str">
        <f t="shared" si="2"/>
        <v/>
      </c>
      <c r="J1891" s="34" t="str">
        <f t="shared" si="3"/>
        <v/>
      </c>
    </row>
    <row r="1892" ht="15.75" customHeight="1">
      <c r="A1892" s="32" t="s">
        <v>113</v>
      </c>
      <c r="B1892" s="32" t="str">
        <f>IF(MOV_CC_NACIONAL!A1892="","",MOV_CC_NACIONAL!A1892)</f>
        <v/>
      </c>
      <c r="C1892" s="32" t="str">
        <f>IF(MOV_CC_NACIONAL!B1892="","",MOV_CC_NACIONAL!B1892)</f>
        <v/>
      </c>
      <c r="D1892" s="33" t="str">
        <f>IF(MOV_CC_NACIONAL!C1892="","",MOV_CC_NACIONAL!C1892)</f>
        <v/>
      </c>
      <c r="E1892" s="32" t="str">
        <f t="shared" si="1"/>
        <v/>
      </c>
      <c r="F1892" s="32" t="str">
        <f>IFERROR(__xludf.DUMMYFUNCTION("IF(C1892="""","""", OR(REGEXMATCH(LOWER(C1892),""cuota""), REGEXMATCH(C1892,""\d+\s*/\s*\d+"")))"),"")</f>
        <v/>
      </c>
      <c r="G1892" s="32" t="str">
        <f>IFERROR(__xludf.DUMMYFUNCTION("IFERROR(VALUE(REGEXEXTRACT(C1892,""(\d+)\s*/\s*\d+"")),"""")"),"")</f>
        <v/>
      </c>
      <c r="H1892" s="32" t="str">
        <f>IFERROR(__xludf.DUMMYFUNCTION("IFERROR(VALUE(REGEXEXTRACT(C1892,""\d+\s*/\s*(\d+)"")),"""")"),"")</f>
        <v/>
      </c>
      <c r="I1892" s="32" t="str">
        <f t="shared" si="2"/>
        <v/>
      </c>
      <c r="J1892" s="33" t="str">
        <f t="shared" si="3"/>
        <v/>
      </c>
    </row>
    <row r="1893" ht="15.75" customHeight="1">
      <c r="A1893" s="22" t="s">
        <v>113</v>
      </c>
      <c r="B1893" s="22" t="str">
        <f>IF(MOV_CC_NACIONAL!A1893="","",MOV_CC_NACIONAL!A1893)</f>
        <v/>
      </c>
      <c r="C1893" s="22" t="str">
        <f>IF(MOV_CC_NACIONAL!B1893="","",MOV_CC_NACIONAL!B1893)</f>
        <v/>
      </c>
      <c r="D1893" s="34" t="str">
        <f>IF(MOV_CC_NACIONAL!C1893="","",MOV_CC_NACIONAL!C1893)</f>
        <v/>
      </c>
      <c r="E1893" s="22" t="str">
        <f t="shared" si="1"/>
        <v/>
      </c>
      <c r="F1893" s="22" t="str">
        <f>IFERROR(__xludf.DUMMYFUNCTION("IF(C1893="""","""", OR(REGEXMATCH(LOWER(C1893),""cuota""), REGEXMATCH(C1893,""\d+\s*/\s*\d+"")))"),"")</f>
        <v/>
      </c>
      <c r="G1893" s="22" t="str">
        <f>IFERROR(__xludf.DUMMYFUNCTION("IFERROR(VALUE(REGEXEXTRACT(C1893,""(\d+)\s*/\s*\d+"")),"""")"),"")</f>
        <v/>
      </c>
      <c r="H1893" s="22" t="str">
        <f>IFERROR(__xludf.DUMMYFUNCTION("IFERROR(VALUE(REGEXEXTRACT(C1893,""\d+\s*/\s*(\d+)"")),"""")"),"")</f>
        <v/>
      </c>
      <c r="I1893" s="22" t="str">
        <f t="shared" si="2"/>
        <v/>
      </c>
      <c r="J1893" s="34" t="str">
        <f t="shared" si="3"/>
        <v/>
      </c>
    </row>
    <row r="1894" ht="15.75" customHeight="1">
      <c r="A1894" s="32" t="s">
        <v>113</v>
      </c>
      <c r="B1894" s="32" t="str">
        <f>IF(MOV_CC_NACIONAL!A1894="","",MOV_CC_NACIONAL!A1894)</f>
        <v/>
      </c>
      <c r="C1894" s="32" t="str">
        <f>IF(MOV_CC_NACIONAL!B1894="","",MOV_CC_NACIONAL!B1894)</f>
        <v/>
      </c>
      <c r="D1894" s="33" t="str">
        <f>IF(MOV_CC_NACIONAL!C1894="","",MOV_CC_NACIONAL!C1894)</f>
        <v/>
      </c>
      <c r="E1894" s="32" t="str">
        <f t="shared" si="1"/>
        <v/>
      </c>
      <c r="F1894" s="32" t="str">
        <f>IFERROR(__xludf.DUMMYFUNCTION("IF(C1894="""","""", OR(REGEXMATCH(LOWER(C1894),""cuota""), REGEXMATCH(C1894,""\d+\s*/\s*\d+"")))"),"")</f>
        <v/>
      </c>
      <c r="G1894" s="32" t="str">
        <f>IFERROR(__xludf.DUMMYFUNCTION("IFERROR(VALUE(REGEXEXTRACT(C1894,""(\d+)\s*/\s*\d+"")),"""")"),"")</f>
        <v/>
      </c>
      <c r="H1894" s="32" t="str">
        <f>IFERROR(__xludf.DUMMYFUNCTION("IFERROR(VALUE(REGEXEXTRACT(C1894,""\d+\s*/\s*(\d+)"")),"""")"),"")</f>
        <v/>
      </c>
      <c r="I1894" s="32" t="str">
        <f t="shared" si="2"/>
        <v/>
      </c>
      <c r="J1894" s="33" t="str">
        <f t="shared" si="3"/>
        <v/>
      </c>
    </row>
    <row r="1895" ht="15.75" customHeight="1">
      <c r="A1895" s="22" t="s">
        <v>113</v>
      </c>
      <c r="B1895" s="22" t="str">
        <f>IF(MOV_CC_NACIONAL!A1895="","",MOV_CC_NACIONAL!A1895)</f>
        <v/>
      </c>
      <c r="C1895" s="22" t="str">
        <f>IF(MOV_CC_NACIONAL!B1895="","",MOV_CC_NACIONAL!B1895)</f>
        <v/>
      </c>
      <c r="D1895" s="34" t="str">
        <f>IF(MOV_CC_NACIONAL!C1895="","",MOV_CC_NACIONAL!C1895)</f>
        <v/>
      </c>
      <c r="E1895" s="22" t="str">
        <f t="shared" si="1"/>
        <v/>
      </c>
      <c r="F1895" s="22" t="str">
        <f>IFERROR(__xludf.DUMMYFUNCTION("IF(C1895="""","""", OR(REGEXMATCH(LOWER(C1895),""cuota""), REGEXMATCH(C1895,""\d+\s*/\s*\d+"")))"),"")</f>
        <v/>
      </c>
      <c r="G1895" s="22" t="str">
        <f>IFERROR(__xludf.DUMMYFUNCTION("IFERROR(VALUE(REGEXEXTRACT(C1895,""(\d+)\s*/\s*\d+"")),"""")"),"")</f>
        <v/>
      </c>
      <c r="H1895" s="22" t="str">
        <f>IFERROR(__xludf.DUMMYFUNCTION("IFERROR(VALUE(REGEXEXTRACT(C1895,""\d+\s*/\s*(\d+)"")),"""")"),"")</f>
        <v/>
      </c>
      <c r="I1895" s="22" t="str">
        <f t="shared" si="2"/>
        <v/>
      </c>
      <c r="J1895" s="34" t="str">
        <f t="shared" si="3"/>
        <v/>
      </c>
    </row>
    <row r="1896" ht="15.75" customHeight="1">
      <c r="A1896" s="32" t="s">
        <v>113</v>
      </c>
      <c r="B1896" s="32" t="str">
        <f>IF(MOV_CC_NACIONAL!A1896="","",MOV_CC_NACIONAL!A1896)</f>
        <v/>
      </c>
      <c r="C1896" s="32" t="str">
        <f>IF(MOV_CC_NACIONAL!B1896="","",MOV_CC_NACIONAL!B1896)</f>
        <v/>
      </c>
      <c r="D1896" s="33" t="str">
        <f>IF(MOV_CC_NACIONAL!C1896="","",MOV_CC_NACIONAL!C1896)</f>
        <v/>
      </c>
      <c r="E1896" s="32" t="str">
        <f t="shared" si="1"/>
        <v/>
      </c>
      <c r="F1896" s="32" t="str">
        <f>IFERROR(__xludf.DUMMYFUNCTION("IF(C1896="""","""", OR(REGEXMATCH(LOWER(C1896),""cuota""), REGEXMATCH(C1896,""\d+\s*/\s*\d+"")))"),"")</f>
        <v/>
      </c>
      <c r="G1896" s="32" t="str">
        <f>IFERROR(__xludf.DUMMYFUNCTION("IFERROR(VALUE(REGEXEXTRACT(C1896,""(\d+)\s*/\s*\d+"")),"""")"),"")</f>
        <v/>
      </c>
      <c r="H1896" s="32" t="str">
        <f>IFERROR(__xludf.DUMMYFUNCTION("IFERROR(VALUE(REGEXEXTRACT(C1896,""\d+\s*/\s*(\d+)"")),"""")"),"")</f>
        <v/>
      </c>
      <c r="I1896" s="32" t="str">
        <f t="shared" si="2"/>
        <v/>
      </c>
      <c r="J1896" s="33" t="str">
        <f t="shared" si="3"/>
        <v/>
      </c>
    </row>
    <row r="1897" ht="15.75" customHeight="1">
      <c r="A1897" s="22" t="s">
        <v>113</v>
      </c>
      <c r="B1897" s="22" t="str">
        <f>IF(MOV_CC_NACIONAL!A1897="","",MOV_CC_NACIONAL!A1897)</f>
        <v/>
      </c>
      <c r="C1897" s="22" t="str">
        <f>IF(MOV_CC_NACIONAL!B1897="","",MOV_CC_NACIONAL!B1897)</f>
        <v/>
      </c>
      <c r="D1897" s="34" t="str">
        <f>IF(MOV_CC_NACIONAL!C1897="","",MOV_CC_NACIONAL!C1897)</f>
        <v/>
      </c>
      <c r="E1897" s="22" t="str">
        <f t="shared" si="1"/>
        <v/>
      </c>
      <c r="F1897" s="22" t="str">
        <f>IFERROR(__xludf.DUMMYFUNCTION("IF(C1897="""","""", OR(REGEXMATCH(LOWER(C1897),""cuota""), REGEXMATCH(C1897,""\d+\s*/\s*\d+"")))"),"")</f>
        <v/>
      </c>
      <c r="G1897" s="22" t="str">
        <f>IFERROR(__xludf.DUMMYFUNCTION("IFERROR(VALUE(REGEXEXTRACT(C1897,""(\d+)\s*/\s*\d+"")),"""")"),"")</f>
        <v/>
      </c>
      <c r="H1897" s="22" t="str">
        <f>IFERROR(__xludf.DUMMYFUNCTION("IFERROR(VALUE(REGEXEXTRACT(C1897,""\d+\s*/\s*(\d+)"")),"""")"),"")</f>
        <v/>
      </c>
      <c r="I1897" s="22" t="str">
        <f t="shared" si="2"/>
        <v/>
      </c>
      <c r="J1897" s="34" t="str">
        <f t="shared" si="3"/>
        <v/>
      </c>
    </row>
    <row r="1898" ht="15.75" customHeight="1">
      <c r="A1898" s="32" t="s">
        <v>113</v>
      </c>
      <c r="B1898" s="32" t="str">
        <f>IF(MOV_CC_NACIONAL!A1898="","",MOV_CC_NACIONAL!A1898)</f>
        <v/>
      </c>
      <c r="C1898" s="32" t="str">
        <f>IF(MOV_CC_NACIONAL!B1898="","",MOV_CC_NACIONAL!B1898)</f>
        <v/>
      </c>
      <c r="D1898" s="33" t="str">
        <f>IF(MOV_CC_NACIONAL!C1898="","",MOV_CC_NACIONAL!C1898)</f>
        <v/>
      </c>
      <c r="E1898" s="32" t="str">
        <f t="shared" si="1"/>
        <v/>
      </c>
      <c r="F1898" s="32" t="str">
        <f>IFERROR(__xludf.DUMMYFUNCTION("IF(C1898="""","""", OR(REGEXMATCH(LOWER(C1898),""cuota""), REGEXMATCH(C1898,""\d+\s*/\s*\d+"")))"),"")</f>
        <v/>
      </c>
      <c r="G1898" s="32" t="str">
        <f>IFERROR(__xludf.DUMMYFUNCTION("IFERROR(VALUE(REGEXEXTRACT(C1898,""(\d+)\s*/\s*\d+"")),"""")"),"")</f>
        <v/>
      </c>
      <c r="H1898" s="32" t="str">
        <f>IFERROR(__xludf.DUMMYFUNCTION("IFERROR(VALUE(REGEXEXTRACT(C1898,""\d+\s*/\s*(\d+)"")),"""")"),"")</f>
        <v/>
      </c>
      <c r="I1898" s="32" t="str">
        <f t="shared" si="2"/>
        <v/>
      </c>
      <c r="J1898" s="33" t="str">
        <f t="shared" si="3"/>
        <v/>
      </c>
    </row>
    <row r="1899" ht="15.75" customHeight="1">
      <c r="A1899" s="22" t="s">
        <v>113</v>
      </c>
      <c r="B1899" s="22" t="str">
        <f>IF(MOV_CC_NACIONAL!A1899="","",MOV_CC_NACIONAL!A1899)</f>
        <v/>
      </c>
      <c r="C1899" s="22" t="str">
        <f>IF(MOV_CC_NACIONAL!B1899="","",MOV_CC_NACIONAL!B1899)</f>
        <v/>
      </c>
      <c r="D1899" s="34" t="str">
        <f>IF(MOV_CC_NACIONAL!C1899="","",MOV_CC_NACIONAL!C1899)</f>
        <v/>
      </c>
      <c r="E1899" s="22" t="str">
        <f t="shared" si="1"/>
        <v/>
      </c>
      <c r="F1899" s="22" t="str">
        <f>IFERROR(__xludf.DUMMYFUNCTION("IF(C1899="""","""", OR(REGEXMATCH(LOWER(C1899),""cuota""), REGEXMATCH(C1899,""\d+\s*/\s*\d+"")))"),"")</f>
        <v/>
      </c>
      <c r="G1899" s="22" t="str">
        <f>IFERROR(__xludf.DUMMYFUNCTION("IFERROR(VALUE(REGEXEXTRACT(C1899,""(\d+)\s*/\s*\d+"")),"""")"),"")</f>
        <v/>
      </c>
      <c r="H1899" s="22" t="str">
        <f>IFERROR(__xludf.DUMMYFUNCTION("IFERROR(VALUE(REGEXEXTRACT(C1899,""\d+\s*/\s*(\d+)"")),"""")"),"")</f>
        <v/>
      </c>
      <c r="I1899" s="22" t="str">
        <f t="shared" si="2"/>
        <v/>
      </c>
      <c r="J1899" s="34" t="str">
        <f t="shared" si="3"/>
        <v/>
      </c>
    </row>
    <row r="1900" ht="15.75" customHeight="1">
      <c r="A1900" s="32" t="s">
        <v>113</v>
      </c>
      <c r="B1900" s="32" t="str">
        <f>IF(MOV_CC_NACIONAL!A1900="","",MOV_CC_NACIONAL!A1900)</f>
        <v/>
      </c>
      <c r="C1900" s="32" t="str">
        <f>IF(MOV_CC_NACIONAL!B1900="","",MOV_CC_NACIONAL!B1900)</f>
        <v/>
      </c>
      <c r="D1900" s="33" t="str">
        <f>IF(MOV_CC_NACIONAL!C1900="","",MOV_CC_NACIONAL!C1900)</f>
        <v/>
      </c>
      <c r="E1900" s="32" t="str">
        <f t="shared" si="1"/>
        <v/>
      </c>
      <c r="F1900" s="32" t="str">
        <f>IFERROR(__xludf.DUMMYFUNCTION("IF(C1900="""","""", OR(REGEXMATCH(LOWER(C1900),""cuota""), REGEXMATCH(C1900,""\d+\s*/\s*\d+"")))"),"")</f>
        <v/>
      </c>
      <c r="G1900" s="32" t="str">
        <f>IFERROR(__xludf.DUMMYFUNCTION("IFERROR(VALUE(REGEXEXTRACT(C1900,""(\d+)\s*/\s*\d+"")),"""")"),"")</f>
        <v/>
      </c>
      <c r="H1900" s="32" t="str">
        <f>IFERROR(__xludf.DUMMYFUNCTION("IFERROR(VALUE(REGEXEXTRACT(C1900,""\d+\s*/\s*(\d+)"")),"""")"),"")</f>
        <v/>
      </c>
      <c r="I1900" s="32" t="str">
        <f t="shared" si="2"/>
        <v/>
      </c>
      <c r="J1900" s="33" t="str">
        <f t="shared" si="3"/>
        <v/>
      </c>
    </row>
    <row r="1901" ht="15.75" customHeight="1">
      <c r="A1901" s="22" t="s">
        <v>113</v>
      </c>
      <c r="B1901" s="22" t="str">
        <f>IF(MOV_CC_NACIONAL!A1901="","",MOV_CC_NACIONAL!A1901)</f>
        <v/>
      </c>
      <c r="C1901" s="22" t="str">
        <f>IF(MOV_CC_NACIONAL!B1901="","",MOV_CC_NACIONAL!B1901)</f>
        <v/>
      </c>
      <c r="D1901" s="34" t="str">
        <f>IF(MOV_CC_NACIONAL!C1901="","",MOV_CC_NACIONAL!C1901)</f>
        <v/>
      </c>
      <c r="E1901" s="22" t="str">
        <f t="shared" si="1"/>
        <v/>
      </c>
      <c r="F1901" s="22" t="str">
        <f>IFERROR(__xludf.DUMMYFUNCTION("IF(C1901="""","""", OR(REGEXMATCH(LOWER(C1901),""cuota""), REGEXMATCH(C1901,""\d+\s*/\s*\d+"")))"),"")</f>
        <v/>
      </c>
      <c r="G1901" s="22" t="str">
        <f>IFERROR(__xludf.DUMMYFUNCTION("IFERROR(VALUE(REGEXEXTRACT(C1901,""(\d+)\s*/\s*\d+"")),"""")"),"")</f>
        <v/>
      </c>
      <c r="H1901" s="22" t="str">
        <f>IFERROR(__xludf.DUMMYFUNCTION("IFERROR(VALUE(REGEXEXTRACT(C1901,""\d+\s*/\s*(\d+)"")),"""")"),"")</f>
        <v/>
      </c>
      <c r="I1901" s="22" t="str">
        <f t="shared" si="2"/>
        <v/>
      </c>
      <c r="J1901" s="34" t="str">
        <f t="shared" si="3"/>
        <v/>
      </c>
    </row>
    <row r="1902" ht="15.75" customHeight="1">
      <c r="A1902" s="32" t="s">
        <v>113</v>
      </c>
      <c r="B1902" s="32" t="str">
        <f>IF(MOV_CC_NACIONAL!A1902="","",MOV_CC_NACIONAL!A1902)</f>
        <v/>
      </c>
      <c r="C1902" s="32" t="str">
        <f>IF(MOV_CC_NACIONAL!B1902="","",MOV_CC_NACIONAL!B1902)</f>
        <v/>
      </c>
      <c r="D1902" s="33" t="str">
        <f>IF(MOV_CC_NACIONAL!C1902="","",MOV_CC_NACIONAL!C1902)</f>
        <v/>
      </c>
      <c r="E1902" s="32" t="str">
        <f t="shared" si="1"/>
        <v/>
      </c>
      <c r="F1902" s="32" t="str">
        <f>IFERROR(__xludf.DUMMYFUNCTION("IF(C1902="""","""", OR(REGEXMATCH(LOWER(C1902),""cuota""), REGEXMATCH(C1902,""\d+\s*/\s*\d+"")))"),"")</f>
        <v/>
      </c>
      <c r="G1902" s="32" t="str">
        <f>IFERROR(__xludf.DUMMYFUNCTION("IFERROR(VALUE(REGEXEXTRACT(C1902,""(\d+)\s*/\s*\d+"")),"""")"),"")</f>
        <v/>
      </c>
      <c r="H1902" s="32" t="str">
        <f>IFERROR(__xludf.DUMMYFUNCTION("IFERROR(VALUE(REGEXEXTRACT(C1902,""\d+\s*/\s*(\d+)"")),"""")"),"")</f>
        <v/>
      </c>
      <c r="I1902" s="32" t="str">
        <f t="shared" si="2"/>
        <v/>
      </c>
      <c r="J1902" s="33" t="str">
        <f t="shared" si="3"/>
        <v/>
      </c>
    </row>
    <row r="1903" ht="15.75" customHeight="1">
      <c r="A1903" s="22" t="s">
        <v>113</v>
      </c>
      <c r="B1903" s="22" t="str">
        <f>IF(MOV_CC_NACIONAL!A1903="","",MOV_CC_NACIONAL!A1903)</f>
        <v/>
      </c>
      <c r="C1903" s="22" t="str">
        <f>IF(MOV_CC_NACIONAL!B1903="","",MOV_CC_NACIONAL!B1903)</f>
        <v/>
      </c>
      <c r="D1903" s="34" t="str">
        <f>IF(MOV_CC_NACIONAL!C1903="","",MOV_CC_NACIONAL!C1903)</f>
        <v/>
      </c>
      <c r="E1903" s="22" t="str">
        <f t="shared" si="1"/>
        <v/>
      </c>
      <c r="F1903" s="22" t="str">
        <f>IFERROR(__xludf.DUMMYFUNCTION("IF(C1903="""","""", OR(REGEXMATCH(LOWER(C1903),""cuota""), REGEXMATCH(C1903,""\d+\s*/\s*\d+"")))"),"")</f>
        <v/>
      </c>
      <c r="G1903" s="22" t="str">
        <f>IFERROR(__xludf.DUMMYFUNCTION("IFERROR(VALUE(REGEXEXTRACT(C1903,""(\d+)\s*/\s*\d+"")),"""")"),"")</f>
        <v/>
      </c>
      <c r="H1903" s="22" t="str">
        <f>IFERROR(__xludf.DUMMYFUNCTION("IFERROR(VALUE(REGEXEXTRACT(C1903,""\d+\s*/\s*(\d+)"")),"""")"),"")</f>
        <v/>
      </c>
      <c r="I1903" s="22" t="str">
        <f t="shared" si="2"/>
        <v/>
      </c>
      <c r="J1903" s="34" t="str">
        <f t="shared" si="3"/>
        <v/>
      </c>
    </row>
    <row r="1904" ht="15.75" customHeight="1">
      <c r="A1904" s="32" t="s">
        <v>113</v>
      </c>
      <c r="B1904" s="32" t="str">
        <f>IF(MOV_CC_NACIONAL!A1904="","",MOV_CC_NACIONAL!A1904)</f>
        <v/>
      </c>
      <c r="C1904" s="32" t="str">
        <f>IF(MOV_CC_NACIONAL!B1904="","",MOV_CC_NACIONAL!B1904)</f>
        <v/>
      </c>
      <c r="D1904" s="33" t="str">
        <f>IF(MOV_CC_NACIONAL!C1904="","",MOV_CC_NACIONAL!C1904)</f>
        <v/>
      </c>
      <c r="E1904" s="32" t="str">
        <f t="shared" si="1"/>
        <v/>
      </c>
      <c r="F1904" s="32" t="str">
        <f>IFERROR(__xludf.DUMMYFUNCTION("IF(C1904="""","""", OR(REGEXMATCH(LOWER(C1904),""cuota""), REGEXMATCH(C1904,""\d+\s*/\s*\d+"")))"),"")</f>
        <v/>
      </c>
      <c r="G1904" s="32" t="str">
        <f>IFERROR(__xludf.DUMMYFUNCTION("IFERROR(VALUE(REGEXEXTRACT(C1904,""(\d+)\s*/\s*\d+"")),"""")"),"")</f>
        <v/>
      </c>
      <c r="H1904" s="32" t="str">
        <f>IFERROR(__xludf.DUMMYFUNCTION("IFERROR(VALUE(REGEXEXTRACT(C1904,""\d+\s*/\s*(\d+)"")),"""")"),"")</f>
        <v/>
      </c>
      <c r="I1904" s="32" t="str">
        <f t="shared" si="2"/>
        <v/>
      </c>
      <c r="J1904" s="33" t="str">
        <f t="shared" si="3"/>
        <v/>
      </c>
    </row>
    <row r="1905" ht="15.75" customHeight="1">
      <c r="A1905" s="22" t="s">
        <v>113</v>
      </c>
      <c r="B1905" s="22" t="str">
        <f>IF(MOV_CC_NACIONAL!A1905="","",MOV_CC_NACIONAL!A1905)</f>
        <v/>
      </c>
      <c r="C1905" s="22" t="str">
        <f>IF(MOV_CC_NACIONAL!B1905="","",MOV_CC_NACIONAL!B1905)</f>
        <v/>
      </c>
      <c r="D1905" s="34" t="str">
        <f>IF(MOV_CC_NACIONAL!C1905="","",MOV_CC_NACIONAL!C1905)</f>
        <v/>
      </c>
      <c r="E1905" s="22" t="str">
        <f t="shared" si="1"/>
        <v/>
      </c>
      <c r="F1905" s="22" t="str">
        <f>IFERROR(__xludf.DUMMYFUNCTION("IF(C1905="""","""", OR(REGEXMATCH(LOWER(C1905),""cuota""), REGEXMATCH(C1905,""\d+\s*/\s*\d+"")))"),"")</f>
        <v/>
      </c>
      <c r="G1905" s="22" t="str">
        <f>IFERROR(__xludf.DUMMYFUNCTION("IFERROR(VALUE(REGEXEXTRACT(C1905,""(\d+)\s*/\s*\d+"")),"""")"),"")</f>
        <v/>
      </c>
      <c r="H1905" s="22" t="str">
        <f>IFERROR(__xludf.DUMMYFUNCTION("IFERROR(VALUE(REGEXEXTRACT(C1905,""\d+\s*/\s*(\d+)"")),"""")"),"")</f>
        <v/>
      </c>
      <c r="I1905" s="22" t="str">
        <f t="shared" si="2"/>
        <v/>
      </c>
      <c r="J1905" s="34" t="str">
        <f t="shared" si="3"/>
        <v/>
      </c>
    </row>
    <row r="1906" ht="15.75" customHeight="1">
      <c r="A1906" s="32" t="s">
        <v>113</v>
      </c>
      <c r="B1906" s="32" t="str">
        <f>IF(MOV_CC_NACIONAL!A1906="","",MOV_CC_NACIONAL!A1906)</f>
        <v/>
      </c>
      <c r="C1906" s="32" t="str">
        <f>IF(MOV_CC_NACIONAL!B1906="","",MOV_CC_NACIONAL!B1906)</f>
        <v/>
      </c>
      <c r="D1906" s="33" t="str">
        <f>IF(MOV_CC_NACIONAL!C1906="","",MOV_CC_NACIONAL!C1906)</f>
        <v/>
      </c>
      <c r="E1906" s="32" t="str">
        <f t="shared" si="1"/>
        <v/>
      </c>
      <c r="F1906" s="32" t="str">
        <f>IFERROR(__xludf.DUMMYFUNCTION("IF(C1906="""","""", OR(REGEXMATCH(LOWER(C1906),""cuota""), REGEXMATCH(C1906,""\d+\s*/\s*\d+"")))"),"")</f>
        <v/>
      </c>
      <c r="G1906" s="32" t="str">
        <f>IFERROR(__xludf.DUMMYFUNCTION("IFERROR(VALUE(REGEXEXTRACT(C1906,""(\d+)\s*/\s*\d+"")),"""")"),"")</f>
        <v/>
      </c>
      <c r="H1906" s="32" t="str">
        <f>IFERROR(__xludf.DUMMYFUNCTION("IFERROR(VALUE(REGEXEXTRACT(C1906,""\d+\s*/\s*(\d+)"")),"""")"),"")</f>
        <v/>
      </c>
      <c r="I1906" s="32" t="str">
        <f t="shared" si="2"/>
        <v/>
      </c>
      <c r="J1906" s="33" t="str">
        <f t="shared" si="3"/>
        <v/>
      </c>
    </row>
    <row r="1907" ht="15.75" customHeight="1">
      <c r="A1907" s="22" t="s">
        <v>113</v>
      </c>
      <c r="B1907" s="22" t="str">
        <f>IF(MOV_CC_NACIONAL!A1907="","",MOV_CC_NACIONAL!A1907)</f>
        <v/>
      </c>
      <c r="C1907" s="22" t="str">
        <f>IF(MOV_CC_NACIONAL!B1907="","",MOV_CC_NACIONAL!B1907)</f>
        <v/>
      </c>
      <c r="D1907" s="34" t="str">
        <f>IF(MOV_CC_NACIONAL!C1907="","",MOV_CC_NACIONAL!C1907)</f>
        <v/>
      </c>
      <c r="E1907" s="22" t="str">
        <f t="shared" si="1"/>
        <v/>
      </c>
      <c r="F1907" s="22" t="str">
        <f>IFERROR(__xludf.DUMMYFUNCTION("IF(C1907="""","""", OR(REGEXMATCH(LOWER(C1907),""cuota""), REGEXMATCH(C1907,""\d+\s*/\s*\d+"")))"),"")</f>
        <v/>
      </c>
      <c r="G1907" s="22" t="str">
        <f>IFERROR(__xludf.DUMMYFUNCTION("IFERROR(VALUE(REGEXEXTRACT(C1907,""(\d+)\s*/\s*\d+"")),"""")"),"")</f>
        <v/>
      </c>
      <c r="H1907" s="22" t="str">
        <f>IFERROR(__xludf.DUMMYFUNCTION("IFERROR(VALUE(REGEXEXTRACT(C1907,""\d+\s*/\s*(\d+)"")),"""")"),"")</f>
        <v/>
      </c>
      <c r="I1907" s="22" t="str">
        <f t="shared" si="2"/>
        <v/>
      </c>
      <c r="J1907" s="34" t="str">
        <f t="shared" si="3"/>
        <v/>
      </c>
    </row>
    <row r="1908" ht="15.75" customHeight="1">
      <c r="A1908" s="32" t="s">
        <v>113</v>
      </c>
      <c r="B1908" s="32" t="str">
        <f>IF(MOV_CC_NACIONAL!A1908="","",MOV_CC_NACIONAL!A1908)</f>
        <v/>
      </c>
      <c r="C1908" s="32" t="str">
        <f>IF(MOV_CC_NACIONAL!B1908="","",MOV_CC_NACIONAL!B1908)</f>
        <v/>
      </c>
      <c r="D1908" s="33" t="str">
        <f>IF(MOV_CC_NACIONAL!C1908="","",MOV_CC_NACIONAL!C1908)</f>
        <v/>
      </c>
      <c r="E1908" s="32" t="str">
        <f t="shared" si="1"/>
        <v/>
      </c>
      <c r="F1908" s="32" t="str">
        <f>IFERROR(__xludf.DUMMYFUNCTION("IF(C1908="""","""", OR(REGEXMATCH(LOWER(C1908),""cuota""), REGEXMATCH(C1908,""\d+\s*/\s*\d+"")))"),"")</f>
        <v/>
      </c>
      <c r="G1908" s="32" t="str">
        <f>IFERROR(__xludf.DUMMYFUNCTION("IFERROR(VALUE(REGEXEXTRACT(C1908,""(\d+)\s*/\s*\d+"")),"""")"),"")</f>
        <v/>
      </c>
      <c r="H1908" s="32" t="str">
        <f>IFERROR(__xludf.DUMMYFUNCTION("IFERROR(VALUE(REGEXEXTRACT(C1908,""\d+\s*/\s*(\d+)"")),"""")"),"")</f>
        <v/>
      </c>
      <c r="I1908" s="32" t="str">
        <f t="shared" si="2"/>
        <v/>
      </c>
      <c r="J1908" s="33" t="str">
        <f t="shared" si="3"/>
        <v/>
      </c>
    </row>
    <row r="1909" ht="15.75" customHeight="1">
      <c r="A1909" s="22" t="s">
        <v>113</v>
      </c>
      <c r="B1909" s="22" t="str">
        <f>IF(MOV_CC_NACIONAL!A1909="","",MOV_CC_NACIONAL!A1909)</f>
        <v/>
      </c>
      <c r="C1909" s="22" t="str">
        <f>IF(MOV_CC_NACIONAL!B1909="","",MOV_CC_NACIONAL!B1909)</f>
        <v/>
      </c>
      <c r="D1909" s="34" t="str">
        <f>IF(MOV_CC_NACIONAL!C1909="","",MOV_CC_NACIONAL!C1909)</f>
        <v/>
      </c>
      <c r="E1909" s="22" t="str">
        <f t="shared" si="1"/>
        <v/>
      </c>
      <c r="F1909" s="22" t="str">
        <f>IFERROR(__xludf.DUMMYFUNCTION("IF(C1909="""","""", OR(REGEXMATCH(LOWER(C1909),""cuota""), REGEXMATCH(C1909,""\d+\s*/\s*\d+"")))"),"")</f>
        <v/>
      </c>
      <c r="G1909" s="22" t="str">
        <f>IFERROR(__xludf.DUMMYFUNCTION("IFERROR(VALUE(REGEXEXTRACT(C1909,""(\d+)\s*/\s*\d+"")),"""")"),"")</f>
        <v/>
      </c>
      <c r="H1909" s="22" t="str">
        <f>IFERROR(__xludf.DUMMYFUNCTION("IFERROR(VALUE(REGEXEXTRACT(C1909,""\d+\s*/\s*(\d+)"")),"""")"),"")</f>
        <v/>
      </c>
      <c r="I1909" s="22" t="str">
        <f t="shared" si="2"/>
        <v/>
      </c>
      <c r="J1909" s="34" t="str">
        <f t="shared" si="3"/>
        <v/>
      </c>
    </row>
    <row r="1910" ht="15.75" customHeight="1">
      <c r="A1910" s="32" t="s">
        <v>113</v>
      </c>
      <c r="B1910" s="32" t="str">
        <f>IF(MOV_CC_NACIONAL!A1910="","",MOV_CC_NACIONAL!A1910)</f>
        <v/>
      </c>
      <c r="C1910" s="32" t="str">
        <f>IF(MOV_CC_NACIONAL!B1910="","",MOV_CC_NACIONAL!B1910)</f>
        <v/>
      </c>
      <c r="D1910" s="33" t="str">
        <f>IF(MOV_CC_NACIONAL!C1910="","",MOV_CC_NACIONAL!C1910)</f>
        <v/>
      </c>
      <c r="E1910" s="32" t="str">
        <f t="shared" si="1"/>
        <v/>
      </c>
      <c r="F1910" s="32" t="str">
        <f>IFERROR(__xludf.DUMMYFUNCTION("IF(C1910="""","""", OR(REGEXMATCH(LOWER(C1910),""cuota""), REGEXMATCH(C1910,""\d+\s*/\s*\d+"")))"),"")</f>
        <v/>
      </c>
      <c r="G1910" s="32" t="str">
        <f>IFERROR(__xludf.DUMMYFUNCTION("IFERROR(VALUE(REGEXEXTRACT(C1910,""(\d+)\s*/\s*\d+"")),"""")"),"")</f>
        <v/>
      </c>
      <c r="H1910" s="32" t="str">
        <f>IFERROR(__xludf.DUMMYFUNCTION("IFERROR(VALUE(REGEXEXTRACT(C1910,""\d+\s*/\s*(\d+)"")),"""")"),"")</f>
        <v/>
      </c>
      <c r="I1910" s="32" t="str">
        <f t="shared" si="2"/>
        <v/>
      </c>
      <c r="J1910" s="33" t="str">
        <f t="shared" si="3"/>
        <v/>
      </c>
    </row>
    <row r="1911" ht="15.75" customHeight="1">
      <c r="A1911" s="22" t="s">
        <v>113</v>
      </c>
      <c r="B1911" s="22" t="str">
        <f>IF(MOV_CC_NACIONAL!A1911="","",MOV_CC_NACIONAL!A1911)</f>
        <v/>
      </c>
      <c r="C1911" s="22" t="str">
        <f>IF(MOV_CC_NACIONAL!B1911="","",MOV_CC_NACIONAL!B1911)</f>
        <v/>
      </c>
      <c r="D1911" s="34" t="str">
        <f>IF(MOV_CC_NACIONAL!C1911="","",MOV_CC_NACIONAL!C1911)</f>
        <v/>
      </c>
      <c r="E1911" s="22" t="str">
        <f t="shared" si="1"/>
        <v/>
      </c>
      <c r="F1911" s="22" t="str">
        <f>IFERROR(__xludf.DUMMYFUNCTION("IF(C1911="""","""", OR(REGEXMATCH(LOWER(C1911),""cuota""), REGEXMATCH(C1911,""\d+\s*/\s*\d+"")))"),"")</f>
        <v/>
      </c>
      <c r="G1911" s="22" t="str">
        <f>IFERROR(__xludf.DUMMYFUNCTION("IFERROR(VALUE(REGEXEXTRACT(C1911,""(\d+)\s*/\s*\d+"")),"""")"),"")</f>
        <v/>
      </c>
      <c r="H1911" s="22" t="str">
        <f>IFERROR(__xludf.DUMMYFUNCTION("IFERROR(VALUE(REGEXEXTRACT(C1911,""\d+\s*/\s*(\d+)"")),"""")"),"")</f>
        <v/>
      </c>
      <c r="I1911" s="22" t="str">
        <f t="shared" si="2"/>
        <v/>
      </c>
      <c r="J1911" s="34" t="str">
        <f t="shared" si="3"/>
        <v/>
      </c>
    </row>
    <row r="1912" ht="15.75" customHeight="1">
      <c r="A1912" s="32" t="s">
        <v>113</v>
      </c>
      <c r="B1912" s="32" t="str">
        <f>IF(MOV_CC_NACIONAL!A1912="","",MOV_CC_NACIONAL!A1912)</f>
        <v/>
      </c>
      <c r="C1912" s="32" t="str">
        <f>IF(MOV_CC_NACIONAL!B1912="","",MOV_CC_NACIONAL!B1912)</f>
        <v/>
      </c>
      <c r="D1912" s="33" t="str">
        <f>IF(MOV_CC_NACIONAL!C1912="","",MOV_CC_NACIONAL!C1912)</f>
        <v/>
      </c>
      <c r="E1912" s="32" t="str">
        <f t="shared" si="1"/>
        <v/>
      </c>
      <c r="F1912" s="32" t="str">
        <f>IFERROR(__xludf.DUMMYFUNCTION("IF(C1912="""","""", OR(REGEXMATCH(LOWER(C1912),""cuota""), REGEXMATCH(C1912,""\d+\s*/\s*\d+"")))"),"")</f>
        <v/>
      </c>
      <c r="G1912" s="32" t="str">
        <f>IFERROR(__xludf.DUMMYFUNCTION("IFERROR(VALUE(REGEXEXTRACT(C1912,""(\d+)\s*/\s*\d+"")),"""")"),"")</f>
        <v/>
      </c>
      <c r="H1912" s="32" t="str">
        <f>IFERROR(__xludf.DUMMYFUNCTION("IFERROR(VALUE(REGEXEXTRACT(C1912,""\d+\s*/\s*(\d+)"")),"""")"),"")</f>
        <v/>
      </c>
      <c r="I1912" s="32" t="str">
        <f t="shared" si="2"/>
        <v/>
      </c>
      <c r="J1912" s="33" t="str">
        <f t="shared" si="3"/>
        <v/>
      </c>
    </row>
    <row r="1913" ht="15.75" customHeight="1">
      <c r="A1913" s="22" t="s">
        <v>113</v>
      </c>
      <c r="B1913" s="22" t="str">
        <f>IF(MOV_CC_NACIONAL!A1913="","",MOV_CC_NACIONAL!A1913)</f>
        <v/>
      </c>
      <c r="C1913" s="22" t="str">
        <f>IF(MOV_CC_NACIONAL!B1913="","",MOV_CC_NACIONAL!B1913)</f>
        <v/>
      </c>
      <c r="D1913" s="34" t="str">
        <f>IF(MOV_CC_NACIONAL!C1913="","",MOV_CC_NACIONAL!C1913)</f>
        <v/>
      </c>
      <c r="E1913" s="22" t="str">
        <f t="shared" si="1"/>
        <v/>
      </c>
      <c r="F1913" s="22" t="str">
        <f>IFERROR(__xludf.DUMMYFUNCTION("IF(C1913="""","""", OR(REGEXMATCH(LOWER(C1913),""cuota""), REGEXMATCH(C1913,""\d+\s*/\s*\d+"")))"),"")</f>
        <v/>
      </c>
      <c r="G1913" s="22" t="str">
        <f>IFERROR(__xludf.DUMMYFUNCTION("IFERROR(VALUE(REGEXEXTRACT(C1913,""(\d+)\s*/\s*\d+"")),"""")"),"")</f>
        <v/>
      </c>
      <c r="H1913" s="22" t="str">
        <f>IFERROR(__xludf.DUMMYFUNCTION("IFERROR(VALUE(REGEXEXTRACT(C1913,""\d+\s*/\s*(\d+)"")),"""")"),"")</f>
        <v/>
      </c>
      <c r="I1913" s="22" t="str">
        <f t="shared" si="2"/>
        <v/>
      </c>
      <c r="J1913" s="34" t="str">
        <f t="shared" si="3"/>
        <v/>
      </c>
    </row>
    <row r="1914" ht="15.75" customHeight="1">
      <c r="A1914" s="32" t="s">
        <v>113</v>
      </c>
      <c r="B1914" s="32" t="str">
        <f>IF(MOV_CC_NACIONAL!A1914="","",MOV_CC_NACIONAL!A1914)</f>
        <v/>
      </c>
      <c r="C1914" s="32" t="str">
        <f>IF(MOV_CC_NACIONAL!B1914="","",MOV_CC_NACIONAL!B1914)</f>
        <v/>
      </c>
      <c r="D1914" s="33" t="str">
        <f>IF(MOV_CC_NACIONAL!C1914="","",MOV_CC_NACIONAL!C1914)</f>
        <v/>
      </c>
      <c r="E1914" s="32" t="str">
        <f t="shared" si="1"/>
        <v/>
      </c>
      <c r="F1914" s="32" t="str">
        <f>IFERROR(__xludf.DUMMYFUNCTION("IF(C1914="""","""", OR(REGEXMATCH(LOWER(C1914),""cuota""), REGEXMATCH(C1914,""\d+\s*/\s*\d+"")))"),"")</f>
        <v/>
      </c>
      <c r="G1914" s="32" t="str">
        <f>IFERROR(__xludf.DUMMYFUNCTION("IFERROR(VALUE(REGEXEXTRACT(C1914,""(\d+)\s*/\s*\d+"")),"""")"),"")</f>
        <v/>
      </c>
      <c r="H1914" s="32" t="str">
        <f>IFERROR(__xludf.DUMMYFUNCTION("IFERROR(VALUE(REGEXEXTRACT(C1914,""\d+\s*/\s*(\d+)"")),"""")"),"")</f>
        <v/>
      </c>
      <c r="I1914" s="32" t="str">
        <f t="shared" si="2"/>
        <v/>
      </c>
      <c r="J1914" s="33" t="str">
        <f t="shared" si="3"/>
        <v/>
      </c>
    </row>
    <row r="1915" ht="15.75" customHeight="1">
      <c r="A1915" s="22" t="s">
        <v>113</v>
      </c>
      <c r="B1915" s="22" t="str">
        <f>IF(MOV_CC_NACIONAL!A1915="","",MOV_CC_NACIONAL!A1915)</f>
        <v/>
      </c>
      <c r="C1915" s="22" t="str">
        <f>IF(MOV_CC_NACIONAL!B1915="","",MOV_CC_NACIONAL!B1915)</f>
        <v/>
      </c>
      <c r="D1915" s="34" t="str">
        <f>IF(MOV_CC_NACIONAL!C1915="","",MOV_CC_NACIONAL!C1915)</f>
        <v/>
      </c>
      <c r="E1915" s="22" t="str">
        <f t="shared" si="1"/>
        <v/>
      </c>
      <c r="F1915" s="22" t="str">
        <f>IFERROR(__xludf.DUMMYFUNCTION("IF(C1915="""","""", OR(REGEXMATCH(LOWER(C1915),""cuota""), REGEXMATCH(C1915,""\d+\s*/\s*\d+"")))"),"")</f>
        <v/>
      </c>
      <c r="G1915" s="22" t="str">
        <f>IFERROR(__xludf.DUMMYFUNCTION("IFERROR(VALUE(REGEXEXTRACT(C1915,""(\d+)\s*/\s*\d+"")),"""")"),"")</f>
        <v/>
      </c>
      <c r="H1915" s="22" t="str">
        <f>IFERROR(__xludf.DUMMYFUNCTION("IFERROR(VALUE(REGEXEXTRACT(C1915,""\d+\s*/\s*(\d+)"")),"""")"),"")</f>
        <v/>
      </c>
      <c r="I1915" s="22" t="str">
        <f t="shared" si="2"/>
        <v/>
      </c>
      <c r="J1915" s="34" t="str">
        <f t="shared" si="3"/>
        <v/>
      </c>
    </row>
    <row r="1916" ht="15.75" customHeight="1">
      <c r="A1916" s="32" t="s">
        <v>113</v>
      </c>
      <c r="B1916" s="32" t="str">
        <f>IF(MOV_CC_NACIONAL!A1916="","",MOV_CC_NACIONAL!A1916)</f>
        <v/>
      </c>
      <c r="C1916" s="32" t="str">
        <f>IF(MOV_CC_NACIONAL!B1916="","",MOV_CC_NACIONAL!B1916)</f>
        <v/>
      </c>
      <c r="D1916" s="33" t="str">
        <f>IF(MOV_CC_NACIONAL!C1916="","",MOV_CC_NACIONAL!C1916)</f>
        <v/>
      </c>
      <c r="E1916" s="32" t="str">
        <f t="shared" si="1"/>
        <v/>
      </c>
      <c r="F1916" s="32" t="str">
        <f>IFERROR(__xludf.DUMMYFUNCTION("IF(C1916="""","""", OR(REGEXMATCH(LOWER(C1916),""cuota""), REGEXMATCH(C1916,""\d+\s*/\s*\d+"")))"),"")</f>
        <v/>
      </c>
      <c r="G1916" s="32" t="str">
        <f>IFERROR(__xludf.DUMMYFUNCTION("IFERROR(VALUE(REGEXEXTRACT(C1916,""(\d+)\s*/\s*\d+"")),"""")"),"")</f>
        <v/>
      </c>
      <c r="H1916" s="32" t="str">
        <f>IFERROR(__xludf.DUMMYFUNCTION("IFERROR(VALUE(REGEXEXTRACT(C1916,""\d+\s*/\s*(\d+)"")),"""")"),"")</f>
        <v/>
      </c>
      <c r="I1916" s="32" t="str">
        <f t="shared" si="2"/>
        <v/>
      </c>
      <c r="J1916" s="33" t="str">
        <f t="shared" si="3"/>
        <v/>
      </c>
    </row>
    <row r="1917" ht="15.75" customHeight="1">
      <c r="A1917" s="22" t="s">
        <v>113</v>
      </c>
      <c r="B1917" s="22" t="str">
        <f>IF(MOV_CC_NACIONAL!A1917="","",MOV_CC_NACIONAL!A1917)</f>
        <v/>
      </c>
      <c r="C1917" s="22" t="str">
        <f>IF(MOV_CC_NACIONAL!B1917="","",MOV_CC_NACIONAL!B1917)</f>
        <v/>
      </c>
      <c r="D1917" s="34" t="str">
        <f>IF(MOV_CC_NACIONAL!C1917="","",MOV_CC_NACIONAL!C1917)</f>
        <v/>
      </c>
      <c r="E1917" s="22" t="str">
        <f t="shared" si="1"/>
        <v/>
      </c>
      <c r="F1917" s="22" t="str">
        <f>IFERROR(__xludf.DUMMYFUNCTION("IF(C1917="""","""", OR(REGEXMATCH(LOWER(C1917),""cuota""), REGEXMATCH(C1917,""\d+\s*/\s*\d+"")))"),"")</f>
        <v/>
      </c>
      <c r="G1917" s="22" t="str">
        <f>IFERROR(__xludf.DUMMYFUNCTION("IFERROR(VALUE(REGEXEXTRACT(C1917,""(\d+)\s*/\s*\d+"")),"""")"),"")</f>
        <v/>
      </c>
      <c r="H1917" s="22" t="str">
        <f>IFERROR(__xludf.DUMMYFUNCTION("IFERROR(VALUE(REGEXEXTRACT(C1917,""\d+\s*/\s*(\d+)"")),"""")"),"")</f>
        <v/>
      </c>
      <c r="I1917" s="22" t="str">
        <f t="shared" si="2"/>
        <v/>
      </c>
      <c r="J1917" s="34" t="str">
        <f t="shared" si="3"/>
        <v/>
      </c>
    </row>
    <row r="1918" ht="15.75" customHeight="1">
      <c r="A1918" s="32" t="s">
        <v>113</v>
      </c>
      <c r="B1918" s="32" t="str">
        <f>IF(MOV_CC_NACIONAL!A1918="","",MOV_CC_NACIONAL!A1918)</f>
        <v/>
      </c>
      <c r="C1918" s="32" t="str">
        <f>IF(MOV_CC_NACIONAL!B1918="","",MOV_CC_NACIONAL!B1918)</f>
        <v/>
      </c>
      <c r="D1918" s="33" t="str">
        <f>IF(MOV_CC_NACIONAL!C1918="","",MOV_CC_NACIONAL!C1918)</f>
        <v/>
      </c>
      <c r="E1918" s="32" t="str">
        <f t="shared" si="1"/>
        <v/>
      </c>
      <c r="F1918" s="32" t="str">
        <f>IFERROR(__xludf.DUMMYFUNCTION("IF(C1918="""","""", OR(REGEXMATCH(LOWER(C1918),""cuota""), REGEXMATCH(C1918,""\d+\s*/\s*\d+"")))"),"")</f>
        <v/>
      </c>
      <c r="G1918" s="32" t="str">
        <f>IFERROR(__xludf.DUMMYFUNCTION("IFERROR(VALUE(REGEXEXTRACT(C1918,""(\d+)\s*/\s*\d+"")),"""")"),"")</f>
        <v/>
      </c>
      <c r="H1918" s="32" t="str">
        <f>IFERROR(__xludf.DUMMYFUNCTION("IFERROR(VALUE(REGEXEXTRACT(C1918,""\d+\s*/\s*(\d+)"")),"""")"),"")</f>
        <v/>
      </c>
      <c r="I1918" s="32" t="str">
        <f t="shared" si="2"/>
        <v/>
      </c>
      <c r="J1918" s="33" t="str">
        <f t="shared" si="3"/>
        <v/>
      </c>
    </row>
    <row r="1919" ht="15.75" customHeight="1">
      <c r="A1919" s="22" t="s">
        <v>113</v>
      </c>
      <c r="B1919" s="22" t="str">
        <f>IF(MOV_CC_NACIONAL!A1919="","",MOV_CC_NACIONAL!A1919)</f>
        <v/>
      </c>
      <c r="C1919" s="22" t="str">
        <f>IF(MOV_CC_NACIONAL!B1919="","",MOV_CC_NACIONAL!B1919)</f>
        <v/>
      </c>
      <c r="D1919" s="34" t="str">
        <f>IF(MOV_CC_NACIONAL!C1919="","",MOV_CC_NACIONAL!C1919)</f>
        <v/>
      </c>
      <c r="E1919" s="22" t="str">
        <f t="shared" si="1"/>
        <v/>
      </c>
      <c r="F1919" s="22" t="str">
        <f>IFERROR(__xludf.DUMMYFUNCTION("IF(C1919="""","""", OR(REGEXMATCH(LOWER(C1919),""cuota""), REGEXMATCH(C1919,""\d+\s*/\s*\d+"")))"),"")</f>
        <v/>
      </c>
      <c r="G1919" s="22" t="str">
        <f>IFERROR(__xludf.DUMMYFUNCTION("IFERROR(VALUE(REGEXEXTRACT(C1919,""(\d+)\s*/\s*\d+"")),"""")"),"")</f>
        <v/>
      </c>
      <c r="H1919" s="22" t="str">
        <f>IFERROR(__xludf.DUMMYFUNCTION("IFERROR(VALUE(REGEXEXTRACT(C1919,""\d+\s*/\s*(\d+)"")),"""")"),"")</f>
        <v/>
      </c>
      <c r="I1919" s="22" t="str">
        <f t="shared" si="2"/>
        <v/>
      </c>
      <c r="J1919" s="34" t="str">
        <f t="shared" si="3"/>
        <v/>
      </c>
    </row>
    <row r="1920" ht="15.75" customHeight="1">
      <c r="A1920" s="32" t="s">
        <v>113</v>
      </c>
      <c r="B1920" s="32" t="str">
        <f>IF(MOV_CC_NACIONAL!A1920="","",MOV_CC_NACIONAL!A1920)</f>
        <v/>
      </c>
      <c r="C1920" s="32" t="str">
        <f>IF(MOV_CC_NACIONAL!B1920="","",MOV_CC_NACIONAL!B1920)</f>
        <v/>
      </c>
      <c r="D1920" s="33" t="str">
        <f>IF(MOV_CC_NACIONAL!C1920="","",MOV_CC_NACIONAL!C1920)</f>
        <v/>
      </c>
      <c r="E1920" s="32" t="str">
        <f t="shared" si="1"/>
        <v/>
      </c>
      <c r="F1920" s="32" t="str">
        <f>IFERROR(__xludf.DUMMYFUNCTION("IF(C1920="""","""", OR(REGEXMATCH(LOWER(C1920),""cuota""), REGEXMATCH(C1920,""\d+\s*/\s*\d+"")))"),"")</f>
        <v/>
      </c>
      <c r="G1920" s="32" t="str">
        <f>IFERROR(__xludf.DUMMYFUNCTION("IFERROR(VALUE(REGEXEXTRACT(C1920,""(\d+)\s*/\s*\d+"")),"""")"),"")</f>
        <v/>
      </c>
      <c r="H1920" s="32" t="str">
        <f>IFERROR(__xludf.DUMMYFUNCTION("IFERROR(VALUE(REGEXEXTRACT(C1920,""\d+\s*/\s*(\d+)"")),"""")"),"")</f>
        <v/>
      </c>
      <c r="I1920" s="32" t="str">
        <f t="shared" si="2"/>
        <v/>
      </c>
      <c r="J1920" s="33" t="str">
        <f t="shared" si="3"/>
        <v/>
      </c>
    </row>
    <row r="1921" ht="15.75" customHeight="1">
      <c r="A1921" s="22" t="s">
        <v>113</v>
      </c>
      <c r="B1921" s="22" t="str">
        <f>IF(MOV_CC_NACIONAL!A1921="","",MOV_CC_NACIONAL!A1921)</f>
        <v/>
      </c>
      <c r="C1921" s="22" t="str">
        <f>IF(MOV_CC_NACIONAL!B1921="","",MOV_CC_NACIONAL!B1921)</f>
        <v/>
      </c>
      <c r="D1921" s="34" t="str">
        <f>IF(MOV_CC_NACIONAL!C1921="","",MOV_CC_NACIONAL!C1921)</f>
        <v/>
      </c>
      <c r="E1921" s="22" t="str">
        <f t="shared" si="1"/>
        <v/>
      </c>
      <c r="F1921" s="22" t="str">
        <f>IFERROR(__xludf.DUMMYFUNCTION("IF(C1921="""","""", OR(REGEXMATCH(LOWER(C1921),""cuota""), REGEXMATCH(C1921,""\d+\s*/\s*\d+"")))"),"")</f>
        <v/>
      </c>
      <c r="G1921" s="22" t="str">
        <f>IFERROR(__xludf.DUMMYFUNCTION("IFERROR(VALUE(REGEXEXTRACT(C1921,""(\d+)\s*/\s*\d+"")),"""")"),"")</f>
        <v/>
      </c>
      <c r="H1921" s="22" t="str">
        <f>IFERROR(__xludf.DUMMYFUNCTION("IFERROR(VALUE(REGEXEXTRACT(C1921,""\d+\s*/\s*(\d+)"")),"""")"),"")</f>
        <v/>
      </c>
      <c r="I1921" s="22" t="str">
        <f t="shared" si="2"/>
        <v/>
      </c>
      <c r="J1921" s="34" t="str">
        <f t="shared" si="3"/>
        <v/>
      </c>
    </row>
    <row r="1922" ht="15.75" customHeight="1">
      <c r="A1922" s="32" t="s">
        <v>113</v>
      </c>
      <c r="B1922" s="32" t="str">
        <f>IF(MOV_CC_NACIONAL!A1922="","",MOV_CC_NACIONAL!A1922)</f>
        <v/>
      </c>
      <c r="C1922" s="32" t="str">
        <f>IF(MOV_CC_NACIONAL!B1922="","",MOV_CC_NACIONAL!B1922)</f>
        <v/>
      </c>
      <c r="D1922" s="33" t="str">
        <f>IF(MOV_CC_NACIONAL!C1922="","",MOV_CC_NACIONAL!C1922)</f>
        <v/>
      </c>
      <c r="E1922" s="32" t="str">
        <f t="shared" si="1"/>
        <v/>
      </c>
      <c r="F1922" s="32" t="str">
        <f>IFERROR(__xludf.DUMMYFUNCTION("IF(C1922="""","""", OR(REGEXMATCH(LOWER(C1922),""cuota""), REGEXMATCH(C1922,""\d+\s*/\s*\d+"")))"),"")</f>
        <v/>
      </c>
      <c r="G1922" s="32" t="str">
        <f>IFERROR(__xludf.DUMMYFUNCTION("IFERROR(VALUE(REGEXEXTRACT(C1922,""(\d+)\s*/\s*\d+"")),"""")"),"")</f>
        <v/>
      </c>
      <c r="H1922" s="32" t="str">
        <f>IFERROR(__xludf.DUMMYFUNCTION("IFERROR(VALUE(REGEXEXTRACT(C1922,""\d+\s*/\s*(\d+)"")),"""")"),"")</f>
        <v/>
      </c>
      <c r="I1922" s="32" t="str">
        <f t="shared" si="2"/>
        <v/>
      </c>
      <c r="J1922" s="33" t="str">
        <f t="shared" si="3"/>
        <v/>
      </c>
    </row>
    <row r="1923" ht="15.75" customHeight="1">
      <c r="A1923" s="22" t="s">
        <v>113</v>
      </c>
      <c r="B1923" s="22" t="str">
        <f>IF(MOV_CC_NACIONAL!A1923="","",MOV_CC_NACIONAL!A1923)</f>
        <v/>
      </c>
      <c r="C1923" s="22" t="str">
        <f>IF(MOV_CC_NACIONAL!B1923="","",MOV_CC_NACIONAL!B1923)</f>
        <v/>
      </c>
      <c r="D1923" s="34" t="str">
        <f>IF(MOV_CC_NACIONAL!C1923="","",MOV_CC_NACIONAL!C1923)</f>
        <v/>
      </c>
      <c r="E1923" s="22" t="str">
        <f t="shared" si="1"/>
        <v/>
      </c>
      <c r="F1923" s="22" t="str">
        <f>IFERROR(__xludf.DUMMYFUNCTION("IF(C1923="""","""", OR(REGEXMATCH(LOWER(C1923),""cuota""), REGEXMATCH(C1923,""\d+\s*/\s*\d+"")))"),"")</f>
        <v/>
      </c>
      <c r="G1923" s="22" t="str">
        <f>IFERROR(__xludf.DUMMYFUNCTION("IFERROR(VALUE(REGEXEXTRACT(C1923,""(\d+)\s*/\s*\d+"")),"""")"),"")</f>
        <v/>
      </c>
      <c r="H1923" s="22" t="str">
        <f>IFERROR(__xludf.DUMMYFUNCTION("IFERROR(VALUE(REGEXEXTRACT(C1923,""\d+\s*/\s*(\d+)"")),"""")"),"")</f>
        <v/>
      </c>
      <c r="I1923" s="22" t="str">
        <f t="shared" si="2"/>
        <v/>
      </c>
      <c r="J1923" s="34" t="str">
        <f t="shared" si="3"/>
        <v/>
      </c>
    </row>
    <row r="1924" ht="15.75" customHeight="1">
      <c r="A1924" s="32" t="s">
        <v>113</v>
      </c>
      <c r="B1924" s="32" t="str">
        <f>IF(MOV_CC_NACIONAL!A1924="","",MOV_CC_NACIONAL!A1924)</f>
        <v/>
      </c>
      <c r="C1924" s="32" t="str">
        <f>IF(MOV_CC_NACIONAL!B1924="","",MOV_CC_NACIONAL!B1924)</f>
        <v/>
      </c>
      <c r="D1924" s="33" t="str">
        <f>IF(MOV_CC_NACIONAL!C1924="","",MOV_CC_NACIONAL!C1924)</f>
        <v/>
      </c>
      <c r="E1924" s="32" t="str">
        <f t="shared" si="1"/>
        <v/>
      </c>
      <c r="F1924" s="32" t="str">
        <f>IFERROR(__xludf.DUMMYFUNCTION("IF(C1924="""","""", OR(REGEXMATCH(LOWER(C1924),""cuota""), REGEXMATCH(C1924,""\d+\s*/\s*\d+"")))"),"")</f>
        <v/>
      </c>
      <c r="G1924" s="32" t="str">
        <f>IFERROR(__xludf.DUMMYFUNCTION("IFERROR(VALUE(REGEXEXTRACT(C1924,""(\d+)\s*/\s*\d+"")),"""")"),"")</f>
        <v/>
      </c>
      <c r="H1924" s="32" t="str">
        <f>IFERROR(__xludf.DUMMYFUNCTION("IFERROR(VALUE(REGEXEXTRACT(C1924,""\d+\s*/\s*(\d+)"")),"""")"),"")</f>
        <v/>
      </c>
      <c r="I1924" s="32" t="str">
        <f t="shared" si="2"/>
        <v/>
      </c>
      <c r="J1924" s="33" t="str">
        <f t="shared" si="3"/>
        <v/>
      </c>
    </row>
    <row r="1925" ht="15.75" customHeight="1">
      <c r="A1925" s="22" t="s">
        <v>113</v>
      </c>
      <c r="B1925" s="22" t="str">
        <f>IF(MOV_CC_NACIONAL!A1925="","",MOV_CC_NACIONAL!A1925)</f>
        <v/>
      </c>
      <c r="C1925" s="22" t="str">
        <f>IF(MOV_CC_NACIONAL!B1925="","",MOV_CC_NACIONAL!B1925)</f>
        <v/>
      </c>
      <c r="D1925" s="34" t="str">
        <f>IF(MOV_CC_NACIONAL!C1925="","",MOV_CC_NACIONAL!C1925)</f>
        <v/>
      </c>
      <c r="E1925" s="22" t="str">
        <f t="shared" si="1"/>
        <v/>
      </c>
      <c r="F1925" s="22" t="str">
        <f>IFERROR(__xludf.DUMMYFUNCTION("IF(C1925="""","""", OR(REGEXMATCH(LOWER(C1925),""cuota""), REGEXMATCH(C1925,""\d+\s*/\s*\d+"")))"),"")</f>
        <v/>
      </c>
      <c r="G1925" s="22" t="str">
        <f>IFERROR(__xludf.DUMMYFUNCTION("IFERROR(VALUE(REGEXEXTRACT(C1925,""(\d+)\s*/\s*\d+"")),"""")"),"")</f>
        <v/>
      </c>
      <c r="H1925" s="22" t="str">
        <f>IFERROR(__xludf.DUMMYFUNCTION("IFERROR(VALUE(REGEXEXTRACT(C1925,""\d+\s*/\s*(\d+)"")),"""")"),"")</f>
        <v/>
      </c>
      <c r="I1925" s="22" t="str">
        <f t="shared" si="2"/>
        <v/>
      </c>
      <c r="J1925" s="34" t="str">
        <f t="shared" si="3"/>
        <v/>
      </c>
    </row>
    <row r="1926" ht="15.75" customHeight="1">
      <c r="A1926" s="32" t="s">
        <v>113</v>
      </c>
      <c r="B1926" s="32" t="str">
        <f>IF(MOV_CC_NACIONAL!A1926="","",MOV_CC_NACIONAL!A1926)</f>
        <v/>
      </c>
      <c r="C1926" s="32" t="str">
        <f>IF(MOV_CC_NACIONAL!B1926="","",MOV_CC_NACIONAL!B1926)</f>
        <v/>
      </c>
      <c r="D1926" s="33" t="str">
        <f>IF(MOV_CC_NACIONAL!C1926="","",MOV_CC_NACIONAL!C1926)</f>
        <v/>
      </c>
      <c r="E1926" s="32" t="str">
        <f t="shared" si="1"/>
        <v/>
      </c>
      <c r="F1926" s="32" t="str">
        <f>IFERROR(__xludf.DUMMYFUNCTION("IF(C1926="""","""", OR(REGEXMATCH(LOWER(C1926),""cuota""), REGEXMATCH(C1926,""\d+\s*/\s*\d+"")))"),"")</f>
        <v/>
      </c>
      <c r="G1926" s="32" t="str">
        <f>IFERROR(__xludf.DUMMYFUNCTION("IFERROR(VALUE(REGEXEXTRACT(C1926,""(\d+)\s*/\s*\d+"")),"""")"),"")</f>
        <v/>
      </c>
      <c r="H1926" s="32" t="str">
        <f>IFERROR(__xludf.DUMMYFUNCTION("IFERROR(VALUE(REGEXEXTRACT(C1926,""\d+\s*/\s*(\d+)"")),"""")"),"")</f>
        <v/>
      </c>
      <c r="I1926" s="32" t="str">
        <f t="shared" si="2"/>
        <v/>
      </c>
      <c r="J1926" s="33" t="str">
        <f t="shared" si="3"/>
        <v/>
      </c>
    </row>
    <row r="1927" ht="15.75" customHeight="1">
      <c r="A1927" s="22" t="s">
        <v>113</v>
      </c>
      <c r="B1927" s="22" t="str">
        <f>IF(MOV_CC_NACIONAL!A1927="","",MOV_CC_NACIONAL!A1927)</f>
        <v/>
      </c>
      <c r="C1927" s="22" t="str">
        <f>IF(MOV_CC_NACIONAL!B1927="","",MOV_CC_NACIONAL!B1927)</f>
        <v/>
      </c>
      <c r="D1927" s="34" t="str">
        <f>IF(MOV_CC_NACIONAL!C1927="","",MOV_CC_NACIONAL!C1927)</f>
        <v/>
      </c>
      <c r="E1927" s="22" t="str">
        <f t="shared" si="1"/>
        <v/>
      </c>
      <c r="F1927" s="22" t="str">
        <f>IFERROR(__xludf.DUMMYFUNCTION("IF(C1927="""","""", OR(REGEXMATCH(LOWER(C1927),""cuota""), REGEXMATCH(C1927,""\d+\s*/\s*\d+"")))"),"")</f>
        <v/>
      </c>
      <c r="G1927" s="22" t="str">
        <f>IFERROR(__xludf.DUMMYFUNCTION("IFERROR(VALUE(REGEXEXTRACT(C1927,""(\d+)\s*/\s*\d+"")),"""")"),"")</f>
        <v/>
      </c>
      <c r="H1927" s="22" t="str">
        <f>IFERROR(__xludf.DUMMYFUNCTION("IFERROR(VALUE(REGEXEXTRACT(C1927,""\d+\s*/\s*(\d+)"")),"""")"),"")</f>
        <v/>
      </c>
      <c r="I1927" s="22" t="str">
        <f t="shared" si="2"/>
        <v/>
      </c>
      <c r="J1927" s="34" t="str">
        <f t="shared" si="3"/>
        <v/>
      </c>
    </row>
    <row r="1928" ht="15.75" customHeight="1">
      <c r="A1928" s="32" t="s">
        <v>113</v>
      </c>
      <c r="B1928" s="32" t="str">
        <f>IF(MOV_CC_NACIONAL!A1928="","",MOV_CC_NACIONAL!A1928)</f>
        <v/>
      </c>
      <c r="C1928" s="32" t="str">
        <f>IF(MOV_CC_NACIONAL!B1928="","",MOV_CC_NACIONAL!B1928)</f>
        <v/>
      </c>
      <c r="D1928" s="33" t="str">
        <f>IF(MOV_CC_NACIONAL!C1928="","",MOV_CC_NACIONAL!C1928)</f>
        <v/>
      </c>
      <c r="E1928" s="32" t="str">
        <f t="shared" si="1"/>
        <v/>
      </c>
      <c r="F1928" s="32" t="str">
        <f>IFERROR(__xludf.DUMMYFUNCTION("IF(C1928="""","""", OR(REGEXMATCH(LOWER(C1928),""cuota""), REGEXMATCH(C1928,""\d+\s*/\s*\d+"")))"),"")</f>
        <v/>
      </c>
      <c r="G1928" s="32" t="str">
        <f>IFERROR(__xludf.DUMMYFUNCTION("IFERROR(VALUE(REGEXEXTRACT(C1928,""(\d+)\s*/\s*\d+"")),"""")"),"")</f>
        <v/>
      </c>
      <c r="H1928" s="32" t="str">
        <f>IFERROR(__xludf.DUMMYFUNCTION("IFERROR(VALUE(REGEXEXTRACT(C1928,""\d+\s*/\s*(\d+)"")),"""")"),"")</f>
        <v/>
      </c>
      <c r="I1928" s="32" t="str">
        <f t="shared" si="2"/>
        <v/>
      </c>
      <c r="J1928" s="33" t="str">
        <f t="shared" si="3"/>
        <v/>
      </c>
    </row>
    <row r="1929" ht="15.75" customHeight="1">
      <c r="A1929" s="22" t="s">
        <v>113</v>
      </c>
      <c r="B1929" s="22" t="str">
        <f>IF(MOV_CC_NACIONAL!A1929="","",MOV_CC_NACIONAL!A1929)</f>
        <v/>
      </c>
      <c r="C1929" s="22" t="str">
        <f>IF(MOV_CC_NACIONAL!B1929="","",MOV_CC_NACIONAL!B1929)</f>
        <v/>
      </c>
      <c r="D1929" s="34" t="str">
        <f>IF(MOV_CC_NACIONAL!C1929="","",MOV_CC_NACIONAL!C1929)</f>
        <v/>
      </c>
      <c r="E1929" s="22" t="str">
        <f t="shared" si="1"/>
        <v/>
      </c>
      <c r="F1929" s="22" t="str">
        <f>IFERROR(__xludf.DUMMYFUNCTION("IF(C1929="""","""", OR(REGEXMATCH(LOWER(C1929),""cuota""), REGEXMATCH(C1929,""\d+\s*/\s*\d+"")))"),"")</f>
        <v/>
      </c>
      <c r="G1929" s="22" t="str">
        <f>IFERROR(__xludf.DUMMYFUNCTION("IFERROR(VALUE(REGEXEXTRACT(C1929,""(\d+)\s*/\s*\d+"")),"""")"),"")</f>
        <v/>
      </c>
      <c r="H1929" s="22" t="str">
        <f>IFERROR(__xludf.DUMMYFUNCTION("IFERROR(VALUE(REGEXEXTRACT(C1929,""\d+\s*/\s*(\d+)"")),"""")"),"")</f>
        <v/>
      </c>
      <c r="I1929" s="22" t="str">
        <f t="shared" si="2"/>
        <v/>
      </c>
      <c r="J1929" s="34" t="str">
        <f t="shared" si="3"/>
        <v/>
      </c>
    </row>
    <row r="1930" ht="15.75" customHeight="1">
      <c r="A1930" s="32" t="s">
        <v>113</v>
      </c>
      <c r="B1930" s="32" t="str">
        <f>IF(MOV_CC_NACIONAL!A1930="","",MOV_CC_NACIONAL!A1930)</f>
        <v/>
      </c>
      <c r="C1930" s="32" t="str">
        <f>IF(MOV_CC_NACIONAL!B1930="","",MOV_CC_NACIONAL!B1930)</f>
        <v/>
      </c>
      <c r="D1930" s="33" t="str">
        <f>IF(MOV_CC_NACIONAL!C1930="","",MOV_CC_NACIONAL!C1930)</f>
        <v/>
      </c>
      <c r="E1930" s="32" t="str">
        <f t="shared" si="1"/>
        <v/>
      </c>
      <c r="F1930" s="32" t="str">
        <f>IFERROR(__xludf.DUMMYFUNCTION("IF(C1930="""","""", OR(REGEXMATCH(LOWER(C1930),""cuota""), REGEXMATCH(C1930,""\d+\s*/\s*\d+"")))"),"")</f>
        <v/>
      </c>
      <c r="G1930" s="32" t="str">
        <f>IFERROR(__xludf.DUMMYFUNCTION("IFERROR(VALUE(REGEXEXTRACT(C1930,""(\d+)\s*/\s*\d+"")),"""")"),"")</f>
        <v/>
      </c>
      <c r="H1930" s="32" t="str">
        <f>IFERROR(__xludf.DUMMYFUNCTION("IFERROR(VALUE(REGEXEXTRACT(C1930,""\d+\s*/\s*(\d+)"")),"""")"),"")</f>
        <v/>
      </c>
      <c r="I1930" s="32" t="str">
        <f t="shared" si="2"/>
        <v/>
      </c>
      <c r="J1930" s="33" t="str">
        <f t="shared" si="3"/>
        <v/>
      </c>
    </row>
    <row r="1931" ht="15.75" customHeight="1">
      <c r="A1931" s="22" t="s">
        <v>113</v>
      </c>
      <c r="B1931" s="22" t="str">
        <f>IF(MOV_CC_NACIONAL!A1931="","",MOV_CC_NACIONAL!A1931)</f>
        <v/>
      </c>
      <c r="C1931" s="22" t="str">
        <f>IF(MOV_CC_NACIONAL!B1931="","",MOV_CC_NACIONAL!B1931)</f>
        <v/>
      </c>
      <c r="D1931" s="34" t="str">
        <f>IF(MOV_CC_NACIONAL!C1931="","",MOV_CC_NACIONAL!C1931)</f>
        <v/>
      </c>
      <c r="E1931" s="22" t="str">
        <f t="shared" si="1"/>
        <v/>
      </c>
      <c r="F1931" s="22" t="str">
        <f>IFERROR(__xludf.DUMMYFUNCTION("IF(C1931="""","""", OR(REGEXMATCH(LOWER(C1931),""cuota""), REGEXMATCH(C1931,""\d+\s*/\s*\d+"")))"),"")</f>
        <v/>
      </c>
      <c r="G1931" s="22" t="str">
        <f>IFERROR(__xludf.DUMMYFUNCTION("IFERROR(VALUE(REGEXEXTRACT(C1931,""(\d+)\s*/\s*\d+"")),"""")"),"")</f>
        <v/>
      </c>
      <c r="H1931" s="22" t="str">
        <f>IFERROR(__xludf.DUMMYFUNCTION("IFERROR(VALUE(REGEXEXTRACT(C1931,""\d+\s*/\s*(\d+)"")),"""")"),"")</f>
        <v/>
      </c>
      <c r="I1931" s="22" t="str">
        <f t="shared" si="2"/>
        <v/>
      </c>
      <c r="J1931" s="34" t="str">
        <f t="shared" si="3"/>
        <v/>
      </c>
    </row>
    <row r="1932" ht="15.75" customHeight="1">
      <c r="A1932" s="32" t="s">
        <v>113</v>
      </c>
      <c r="B1932" s="32" t="str">
        <f>IF(MOV_CC_NACIONAL!A1932="","",MOV_CC_NACIONAL!A1932)</f>
        <v/>
      </c>
      <c r="C1932" s="32" t="str">
        <f>IF(MOV_CC_NACIONAL!B1932="","",MOV_CC_NACIONAL!B1932)</f>
        <v/>
      </c>
      <c r="D1932" s="33" t="str">
        <f>IF(MOV_CC_NACIONAL!C1932="","",MOV_CC_NACIONAL!C1932)</f>
        <v/>
      </c>
      <c r="E1932" s="32" t="str">
        <f t="shared" si="1"/>
        <v/>
      </c>
      <c r="F1932" s="32" t="str">
        <f>IFERROR(__xludf.DUMMYFUNCTION("IF(C1932="""","""", OR(REGEXMATCH(LOWER(C1932),""cuota""), REGEXMATCH(C1932,""\d+\s*/\s*\d+"")))"),"")</f>
        <v/>
      </c>
      <c r="G1932" s="32" t="str">
        <f>IFERROR(__xludf.DUMMYFUNCTION("IFERROR(VALUE(REGEXEXTRACT(C1932,""(\d+)\s*/\s*\d+"")),"""")"),"")</f>
        <v/>
      </c>
      <c r="H1932" s="32" t="str">
        <f>IFERROR(__xludf.DUMMYFUNCTION("IFERROR(VALUE(REGEXEXTRACT(C1932,""\d+\s*/\s*(\d+)"")),"""")"),"")</f>
        <v/>
      </c>
      <c r="I1932" s="32" t="str">
        <f t="shared" si="2"/>
        <v/>
      </c>
      <c r="J1932" s="33" t="str">
        <f t="shared" si="3"/>
        <v/>
      </c>
    </row>
    <row r="1933" ht="15.75" customHeight="1">
      <c r="A1933" s="22" t="s">
        <v>113</v>
      </c>
      <c r="B1933" s="22" t="str">
        <f>IF(MOV_CC_NACIONAL!A1933="","",MOV_CC_NACIONAL!A1933)</f>
        <v/>
      </c>
      <c r="C1933" s="22" t="str">
        <f>IF(MOV_CC_NACIONAL!B1933="","",MOV_CC_NACIONAL!B1933)</f>
        <v/>
      </c>
      <c r="D1933" s="34" t="str">
        <f>IF(MOV_CC_NACIONAL!C1933="","",MOV_CC_NACIONAL!C1933)</f>
        <v/>
      </c>
      <c r="E1933" s="22" t="str">
        <f t="shared" si="1"/>
        <v/>
      </c>
      <c r="F1933" s="22" t="str">
        <f>IFERROR(__xludf.DUMMYFUNCTION("IF(C1933="""","""", OR(REGEXMATCH(LOWER(C1933),""cuota""), REGEXMATCH(C1933,""\d+\s*/\s*\d+"")))"),"")</f>
        <v/>
      </c>
      <c r="G1933" s="22" t="str">
        <f>IFERROR(__xludf.DUMMYFUNCTION("IFERROR(VALUE(REGEXEXTRACT(C1933,""(\d+)\s*/\s*\d+"")),"""")"),"")</f>
        <v/>
      </c>
      <c r="H1933" s="22" t="str">
        <f>IFERROR(__xludf.DUMMYFUNCTION("IFERROR(VALUE(REGEXEXTRACT(C1933,""\d+\s*/\s*(\d+)"")),"""")"),"")</f>
        <v/>
      </c>
      <c r="I1933" s="22" t="str">
        <f t="shared" si="2"/>
        <v/>
      </c>
      <c r="J1933" s="34" t="str">
        <f t="shared" si="3"/>
        <v/>
      </c>
    </row>
    <row r="1934" ht="15.75" customHeight="1">
      <c r="A1934" s="32" t="s">
        <v>113</v>
      </c>
      <c r="B1934" s="32" t="str">
        <f>IF(MOV_CC_NACIONAL!A1934="","",MOV_CC_NACIONAL!A1934)</f>
        <v/>
      </c>
      <c r="C1934" s="32" t="str">
        <f>IF(MOV_CC_NACIONAL!B1934="","",MOV_CC_NACIONAL!B1934)</f>
        <v/>
      </c>
      <c r="D1934" s="33" t="str">
        <f>IF(MOV_CC_NACIONAL!C1934="","",MOV_CC_NACIONAL!C1934)</f>
        <v/>
      </c>
      <c r="E1934" s="32" t="str">
        <f t="shared" si="1"/>
        <v/>
      </c>
      <c r="F1934" s="32" t="str">
        <f>IFERROR(__xludf.DUMMYFUNCTION("IF(C1934="""","""", OR(REGEXMATCH(LOWER(C1934),""cuota""), REGEXMATCH(C1934,""\d+\s*/\s*\d+"")))"),"")</f>
        <v/>
      </c>
      <c r="G1934" s="32" t="str">
        <f>IFERROR(__xludf.DUMMYFUNCTION("IFERROR(VALUE(REGEXEXTRACT(C1934,""(\d+)\s*/\s*\d+"")),"""")"),"")</f>
        <v/>
      </c>
      <c r="H1934" s="32" t="str">
        <f>IFERROR(__xludf.DUMMYFUNCTION("IFERROR(VALUE(REGEXEXTRACT(C1934,""\d+\s*/\s*(\d+)"")),"""")"),"")</f>
        <v/>
      </c>
      <c r="I1934" s="32" t="str">
        <f t="shared" si="2"/>
        <v/>
      </c>
      <c r="J1934" s="33" t="str">
        <f t="shared" si="3"/>
        <v/>
      </c>
    </row>
    <row r="1935" ht="15.75" customHeight="1">
      <c r="A1935" s="22" t="s">
        <v>113</v>
      </c>
      <c r="B1935" s="22" t="str">
        <f>IF(MOV_CC_NACIONAL!A1935="","",MOV_CC_NACIONAL!A1935)</f>
        <v/>
      </c>
      <c r="C1935" s="22" t="str">
        <f>IF(MOV_CC_NACIONAL!B1935="","",MOV_CC_NACIONAL!B1935)</f>
        <v/>
      </c>
      <c r="D1935" s="34" t="str">
        <f>IF(MOV_CC_NACIONAL!C1935="","",MOV_CC_NACIONAL!C1935)</f>
        <v/>
      </c>
      <c r="E1935" s="22" t="str">
        <f t="shared" si="1"/>
        <v/>
      </c>
      <c r="F1935" s="22" t="str">
        <f>IFERROR(__xludf.DUMMYFUNCTION("IF(C1935="""","""", OR(REGEXMATCH(LOWER(C1935),""cuota""), REGEXMATCH(C1935,""\d+\s*/\s*\d+"")))"),"")</f>
        <v/>
      </c>
      <c r="G1935" s="22" t="str">
        <f>IFERROR(__xludf.DUMMYFUNCTION("IFERROR(VALUE(REGEXEXTRACT(C1935,""(\d+)\s*/\s*\d+"")),"""")"),"")</f>
        <v/>
      </c>
      <c r="H1935" s="22" t="str">
        <f>IFERROR(__xludf.DUMMYFUNCTION("IFERROR(VALUE(REGEXEXTRACT(C1935,""\d+\s*/\s*(\d+)"")),"""")"),"")</f>
        <v/>
      </c>
      <c r="I1935" s="22" t="str">
        <f t="shared" si="2"/>
        <v/>
      </c>
      <c r="J1935" s="34" t="str">
        <f t="shared" si="3"/>
        <v/>
      </c>
    </row>
    <row r="1936" ht="15.75" customHeight="1">
      <c r="A1936" s="32" t="s">
        <v>113</v>
      </c>
      <c r="B1936" s="32" t="str">
        <f>IF(MOV_CC_NACIONAL!A1936="","",MOV_CC_NACIONAL!A1936)</f>
        <v/>
      </c>
      <c r="C1936" s="32" t="str">
        <f>IF(MOV_CC_NACIONAL!B1936="","",MOV_CC_NACIONAL!B1936)</f>
        <v/>
      </c>
      <c r="D1936" s="33" t="str">
        <f>IF(MOV_CC_NACIONAL!C1936="","",MOV_CC_NACIONAL!C1936)</f>
        <v/>
      </c>
      <c r="E1936" s="32" t="str">
        <f t="shared" si="1"/>
        <v/>
      </c>
      <c r="F1936" s="32" t="str">
        <f>IFERROR(__xludf.DUMMYFUNCTION("IF(C1936="""","""", OR(REGEXMATCH(LOWER(C1936),""cuota""), REGEXMATCH(C1936,""\d+\s*/\s*\d+"")))"),"")</f>
        <v/>
      </c>
      <c r="G1936" s="32" t="str">
        <f>IFERROR(__xludf.DUMMYFUNCTION("IFERROR(VALUE(REGEXEXTRACT(C1936,""(\d+)\s*/\s*\d+"")),"""")"),"")</f>
        <v/>
      </c>
      <c r="H1936" s="32" t="str">
        <f>IFERROR(__xludf.DUMMYFUNCTION("IFERROR(VALUE(REGEXEXTRACT(C1936,""\d+\s*/\s*(\d+)"")),"""")"),"")</f>
        <v/>
      </c>
      <c r="I1936" s="32" t="str">
        <f t="shared" si="2"/>
        <v/>
      </c>
      <c r="J1936" s="33" t="str">
        <f t="shared" si="3"/>
        <v/>
      </c>
    </row>
    <row r="1937" ht="15.75" customHeight="1">
      <c r="A1937" s="22" t="s">
        <v>113</v>
      </c>
      <c r="B1937" s="22" t="str">
        <f>IF(MOV_CC_NACIONAL!A1937="","",MOV_CC_NACIONAL!A1937)</f>
        <v/>
      </c>
      <c r="C1937" s="22" t="str">
        <f>IF(MOV_CC_NACIONAL!B1937="","",MOV_CC_NACIONAL!B1937)</f>
        <v/>
      </c>
      <c r="D1937" s="34" t="str">
        <f>IF(MOV_CC_NACIONAL!C1937="","",MOV_CC_NACIONAL!C1937)</f>
        <v/>
      </c>
      <c r="E1937" s="22" t="str">
        <f t="shared" si="1"/>
        <v/>
      </c>
      <c r="F1937" s="22" t="str">
        <f>IFERROR(__xludf.DUMMYFUNCTION("IF(C1937="""","""", OR(REGEXMATCH(LOWER(C1937),""cuota""), REGEXMATCH(C1937,""\d+\s*/\s*\d+"")))"),"")</f>
        <v/>
      </c>
      <c r="G1937" s="22" t="str">
        <f>IFERROR(__xludf.DUMMYFUNCTION("IFERROR(VALUE(REGEXEXTRACT(C1937,""(\d+)\s*/\s*\d+"")),"""")"),"")</f>
        <v/>
      </c>
      <c r="H1937" s="22" t="str">
        <f>IFERROR(__xludf.DUMMYFUNCTION("IFERROR(VALUE(REGEXEXTRACT(C1937,""\d+\s*/\s*(\d+)"")),"""")"),"")</f>
        <v/>
      </c>
      <c r="I1937" s="22" t="str">
        <f t="shared" si="2"/>
        <v/>
      </c>
      <c r="J1937" s="34" t="str">
        <f t="shared" si="3"/>
        <v/>
      </c>
    </row>
    <row r="1938" ht="15.75" customHeight="1">
      <c r="A1938" s="32" t="s">
        <v>113</v>
      </c>
      <c r="B1938" s="32" t="str">
        <f>IF(MOV_CC_NACIONAL!A1938="","",MOV_CC_NACIONAL!A1938)</f>
        <v/>
      </c>
      <c r="C1938" s="32" t="str">
        <f>IF(MOV_CC_NACIONAL!B1938="","",MOV_CC_NACIONAL!B1938)</f>
        <v/>
      </c>
      <c r="D1938" s="33" t="str">
        <f>IF(MOV_CC_NACIONAL!C1938="","",MOV_CC_NACIONAL!C1938)</f>
        <v/>
      </c>
      <c r="E1938" s="32" t="str">
        <f t="shared" si="1"/>
        <v/>
      </c>
      <c r="F1938" s="32" t="str">
        <f>IFERROR(__xludf.DUMMYFUNCTION("IF(C1938="""","""", OR(REGEXMATCH(LOWER(C1938),""cuota""), REGEXMATCH(C1938,""\d+\s*/\s*\d+"")))"),"")</f>
        <v/>
      </c>
      <c r="G1938" s="32" t="str">
        <f>IFERROR(__xludf.DUMMYFUNCTION("IFERROR(VALUE(REGEXEXTRACT(C1938,""(\d+)\s*/\s*\d+"")),"""")"),"")</f>
        <v/>
      </c>
      <c r="H1938" s="32" t="str">
        <f>IFERROR(__xludf.DUMMYFUNCTION("IFERROR(VALUE(REGEXEXTRACT(C1938,""\d+\s*/\s*(\d+)"")),"""")"),"")</f>
        <v/>
      </c>
      <c r="I1938" s="32" t="str">
        <f t="shared" si="2"/>
        <v/>
      </c>
      <c r="J1938" s="33" t="str">
        <f t="shared" si="3"/>
        <v/>
      </c>
    </row>
    <row r="1939" ht="15.75" customHeight="1">
      <c r="A1939" s="22" t="s">
        <v>113</v>
      </c>
      <c r="B1939" s="22" t="str">
        <f>IF(MOV_CC_NACIONAL!A1939="","",MOV_CC_NACIONAL!A1939)</f>
        <v/>
      </c>
      <c r="C1939" s="22" t="str">
        <f>IF(MOV_CC_NACIONAL!B1939="","",MOV_CC_NACIONAL!B1939)</f>
        <v/>
      </c>
      <c r="D1939" s="34" t="str">
        <f>IF(MOV_CC_NACIONAL!C1939="","",MOV_CC_NACIONAL!C1939)</f>
        <v/>
      </c>
      <c r="E1939" s="22" t="str">
        <f t="shared" si="1"/>
        <v/>
      </c>
      <c r="F1939" s="22" t="str">
        <f>IFERROR(__xludf.DUMMYFUNCTION("IF(C1939="""","""", OR(REGEXMATCH(LOWER(C1939),""cuota""), REGEXMATCH(C1939,""\d+\s*/\s*\d+"")))"),"")</f>
        <v/>
      </c>
      <c r="G1939" s="22" t="str">
        <f>IFERROR(__xludf.DUMMYFUNCTION("IFERROR(VALUE(REGEXEXTRACT(C1939,""(\d+)\s*/\s*\d+"")),"""")"),"")</f>
        <v/>
      </c>
      <c r="H1939" s="22" t="str">
        <f>IFERROR(__xludf.DUMMYFUNCTION("IFERROR(VALUE(REGEXEXTRACT(C1939,""\d+\s*/\s*(\d+)"")),"""")"),"")</f>
        <v/>
      </c>
      <c r="I1939" s="22" t="str">
        <f t="shared" si="2"/>
        <v/>
      </c>
      <c r="J1939" s="34" t="str">
        <f t="shared" si="3"/>
        <v/>
      </c>
    </row>
    <row r="1940" ht="15.75" customHeight="1">
      <c r="A1940" s="32" t="s">
        <v>113</v>
      </c>
      <c r="B1940" s="32" t="str">
        <f>IF(MOV_CC_NACIONAL!A1940="","",MOV_CC_NACIONAL!A1940)</f>
        <v/>
      </c>
      <c r="C1940" s="32" t="str">
        <f>IF(MOV_CC_NACIONAL!B1940="","",MOV_CC_NACIONAL!B1940)</f>
        <v/>
      </c>
      <c r="D1940" s="33" t="str">
        <f>IF(MOV_CC_NACIONAL!C1940="","",MOV_CC_NACIONAL!C1940)</f>
        <v/>
      </c>
      <c r="E1940" s="32" t="str">
        <f t="shared" si="1"/>
        <v/>
      </c>
      <c r="F1940" s="32" t="str">
        <f>IFERROR(__xludf.DUMMYFUNCTION("IF(C1940="""","""", OR(REGEXMATCH(LOWER(C1940),""cuota""), REGEXMATCH(C1940,""\d+\s*/\s*\d+"")))"),"")</f>
        <v/>
      </c>
      <c r="G1940" s="32" t="str">
        <f>IFERROR(__xludf.DUMMYFUNCTION("IFERROR(VALUE(REGEXEXTRACT(C1940,""(\d+)\s*/\s*\d+"")),"""")"),"")</f>
        <v/>
      </c>
      <c r="H1940" s="32" t="str">
        <f>IFERROR(__xludf.DUMMYFUNCTION("IFERROR(VALUE(REGEXEXTRACT(C1940,""\d+\s*/\s*(\d+)"")),"""")"),"")</f>
        <v/>
      </c>
      <c r="I1940" s="32" t="str">
        <f t="shared" si="2"/>
        <v/>
      </c>
      <c r="J1940" s="33" t="str">
        <f t="shared" si="3"/>
        <v/>
      </c>
    </row>
    <row r="1941" ht="15.75" customHeight="1">
      <c r="A1941" s="22" t="s">
        <v>113</v>
      </c>
      <c r="B1941" s="22" t="str">
        <f>IF(MOV_CC_NACIONAL!A1941="","",MOV_CC_NACIONAL!A1941)</f>
        <v/>
      </c>
      <c r="C1941" s="22" t="str">
        <f>IF(MOV_CC_NACIONAL!B1941="","",MOV_CC_NACIONAL!B1941)</f>
        <v/>
      </c>
      <c r="D1941" s="34" t="str">
        <f>IF(MOV_CC_NACIONAL!C1941="","",MOV_CC_NACIONAL!C1941)</f>
        <v/>
      </c>
      <c r="E1941" s="22" t="str">
        <f t="shared" si="1"/>
        <v/>
      </c>
      <c r="F1941" s="22" t="str">
        <f>IFERROR(__xludf.DUMMYFUNCTION("IF(C1941="""","""", OR(REGEXMATCH(LOWER(C1941),""cuota""), REGEXMATCH(C1941,""\d+\s*/\s*\d+"")))"),"")</f>
        <v/>
      </c>
      <c r="G1941" s="22" t="str">
        <f>IFERROR(__xludf.DUMMYFUNCTION("IFERROR(VALUE(REGEXEXTRACT(C1941,""(\d+)\s*/\s*\d+"")),"""")"),"")</f>
        <v/>
      </c>
      <c r="H1941" s="22" t="str">
        <f>IFERROR(__xludf.DUMMYFUNCTION("IFERROR(VALUE(REGEXEXTRACT(C1941,""\d+\s*/\s*(\d+)"")),"""")"),"")</f>
        <v/>
      </c>
      <c r="I1941" s="22" t="str">
        <f t="shared" si="2"/>
        <v/>
      </c>
      <c r="J1941" s="34" t="str">
        <f t="shared" si="3"/>
        <v/>
      </c>
    </row>
    <row r="1942" ht="15.75" customHeight="1">
      <c r="A1942" s="32" t="s">
        <v>113</v>
      </c>
      <c r="B1942" s="32" t="str">
        <f>IF(MOV_CC_NACIONAL!A1942="","",MOV_CC_NACIONAL!A1942)</f>
        <v/>
      </c>
      <c r="C1942" s="32" t="str">
        <f>IF(MOV_CC_NACIONAL!B1942="","",MOV_CC_NACIONAL!B1942)</f>
        <v/>
      </c>
      <c r="D1942" s="33" t="str">
        <f>IF(MOV_CC_NACIONAL!C1942="","",MOV_CC_NACIONAL!C1942)</f>
        <v/>
      </c>
      <c r="E1942" s="32" t="str">
        <f t="shared" si="1"/>
        <v/>
      </c>
      <c r="F1942" s="32" t="str">
        <f>IFERROR(__xludf.DUMMYFUNCTION("IF(C1942="""","""", OR(REGEXMATCH(LOWER(C1942),""cuota""), REGEXMATCH(C1942,""\d+\s*/\s*\d+"")))"),"")</f>
        <v/>
      </c>
      <c r="G1942" s="32" t="str">
        <f>IFERROR(__xludf.DUMMYFUNCTION("IFERROR(VALUE(REGEXEXTRACT(C1942,""(\d+)\s*/\s*\d+"")),"""")"),"")</f>
        <v/>
      </c>
      <c r="H1942" s="32" t="str">
        <f>IFERROR(__xludf.DUMMYFUNCTION("IFERROR(VALUE(REGEXEXTRACT(C1942,""\d+\s*/\s*(\d+)"")),"""")"),"")</f>
        <v/>
      </c>
      <c r="I1942" s="32" t="str">
        <f t="shared" si="2"/>
        <v/>
      </c>
      <c r="J1942" s="33" t="str">
        <f t="shared" si="3"/>
        <v/>
      </c>
    </row>
    <row r="1943" ht="15.75" customHeight="1">
      <c r="A1943" s="22" t="s">
        <v>113</v>
      </c>
      <c r="B1943" s="22" t="str">
        <f>IF(MOV_CC_NACIONAL!A1943="","",MOV_CC_NACIONAL!A1943)</f>
        <v/>
      </c>
      <c r="C1943" s="22" t="str">
        <f>IF(MOV_CC_NACIONAL!B1943="","",MOV_CC_NACIONAL!B1943)</f>
        <v/>
      </c>
      <c r="D1943" s="34" t="str">
        <f>IF(MOV_CC_NACIONAL!C1943="","",MOV_CC_NACIONAL!C1943)</f>
        <v/>
      </c>
      <c r="E1943" s="22" t="str">
        <f t="shared" si="1"/>
        <v/>
      </c>
      <c r="F1943" s="22" t="str">
        <f>IFERROR(__xludf.DUMMYFUNCTION("IF(C1943="""","""", OR(REGEXMATCH(LOWER(C1943),""cuota""), REGEXMATCH(C1943,""\d+\s*/\s*\d+"")))"),"")</f>
        <v/>
      </c>
      <c r="G1943" s="22" t="str">
        <f>IFERROR(__xludf.DUMMYFUNCTION("IFERROR(VALUE(REGEXEXTRACT(C1943,""(\d+)\s*/\s*\d+"")),"""")"),"")</f>
        <v/>
      </c>
      <c r="H1943" s="22" t="str">
        <f>IFERROR(__xludf.DUMMYFUNCTION("IFERROR(VALUE(REGEXEXTRACT(C1943,""\d+\s*/\s*(\d+)"")),"""")"),"")</f>
        <v/>
      </c>
      <c r="I1943" s="22" t="str">
        <f t="shared" si="2"/>
        <v/>
      </c>
      <c r="J1943" s="34" t="str">
        <f t="shared" si="3"/>
        <v/>
      </c>
    </row>
    <row r="1944" ht="15.75" customHeight="1">
      <c r="A1944" s="32" t="s">
        <v>113</v>
      </c>
      <c r="B1944" s="32" t="str">
        <f>IF(MOV_CC_NACIONAL!A1944="","",MOV_CC_NACIONAL!A1944)</f>
        <v/>
      </c>
      <c r="C1944" s="32" t="str">
        <f>IF(MOV_CC_NACIONAL!B1944="","",MOV_CC_NACIONAL!B1944)</f>
        <v/>
      </c>
      <c r="D1944" s="33" t="str">
        <f>IF(MOV_CC_NACIONAL!C1944="","",MOV_CC_NACIONAL!C1944)</f>
        <v/>
      </c>
      <c r="E1944" s="32" t="str">
        <f t="shared" si="1"/>
        <v/>
      </c>
      <c r="F1944" s="32" t="str">
        <f>IFERROR(__xludf.DUMMYFUNCTION("IF(C1944="""","""", OR(REGEXMATCH(LOWER(C1944),""cuota""), REGEXMATCH(C1944,""\d+\s*/\s*\d+"")))"),"")</f>
        <v/>
      </c>
      <c r="G1944" s="32" t="str">
        <f>IFERROR(__xludf.DUMMYFUNCTION("IFERROR(VALUE(REGEXEXTRACT(C1944,""(\d+)\s*/\s*\d+"")),"""")"),"")</f>
        <v/>
      </c>
      <c r="H1944" s="32" t="str">
        <f>IFERROR(__xludf.DUMMYFUNCTION("IFERROR(VALUE(REGEXEXTRACT(C1944,""\d+\s*/\s*(\d+)"")),"""")"),"")</f>
        <v/>
      </c>
      <c r="I1944" s="32" t="str">
        <f t="shared" si="2"/>
        <v/>
      </c>
      <c r="J1944" s="33" t="str">
        <f t="shared" si="3"/>
        <v/>
      </c>
    </row>
    <row r="1945" ht="15.75" customHeight="1">
      <c r="A1945" s="22" t="s">
        <v>113</v>
      </c>
      <c r="B1945" s="22" t="str">
        <f>IF(MOV_CC_NACIONAL!A1945="","",MOV_CC_NACIONAL!A1945)</f>
        <v/>
      </c>
      <c r="C1945" s="22" t="str">
        <f>IF(MOV_CC_NACIONAL!B1945="","",MOV_CC_NACIONAL!B1945)</f>
        <v/>
      </c>
      <c r="D1945" s="34" t="str">
        <f>IF(MOV_CC_NACIONAL!C1945="","",MOV_CC_NACIONAL!C1945)</f>
        <v/>
      </c>
      <c r="E1945" s="22" t="str">
        <f t="shared" si="1"/>
        <v/>
      </c>
      <c r="F1945" s="22" t="str">
        <f>IFERROR(__xludf.DUMMYFUNCTION("IF(C1945="""","""", OR(REGEXMATCH(LOWER(C1945),""cuota""), REGEXMATCH(C1945,""\d+\s*/\s*\d+"")))"),"")</f>
        <v/>
      </c>
      <c r="G1945" s="22" t="str">
        <f>IFERROR(__xludf.DUMMYFUNCTION("IFERROR(VALUE(REGEXEXTRACT(C1945,""(\d+)\s*/\s*\d+"")),"""")"),"")</f>
        <v/>
      </c>
      <c r="H1945" s="22" t="str">
        <f>IFERROR(__xludf.DUMMYFUNCTION("IFERROR(VALUE(REGEXEXTRACT(C1945,""\d+\s*/\s*(\d+)"")),"""")"),"")</f>
        <v/>
      </c>
      <c r="I1945" s="22" t="str">
        <f t="shared" si="2"/>
        <v/>
      </c>
      <c r="J1945" s="34" t="str">
        <f t="shared" si="3"/>
        <v/>
      </c>
    </row>
    <row r="1946" ht="15.75" customHeight="1">
      <c r="A1946" s="32" t="s">
        <v>113</v>
      </c>
      <c r="B1946" s="32" t="str">
        <f>IF(MOV_CC_NACIONAL!A1946="","",MOV_CC_NACIONAL!A1946)</f>
        <v/>
      </c>
      <c r="C1946" s="32" t="str">
        <f>IF(MOV_CC_NACIONAL!B1946="","",MOV_CC_NACIONAL!B1946)</f>
        <v/>
      </c>
      <c r="D1946" s="33" t="str">
        <f>IF(MOV_CC_NACIONAL!C1946="","",MOV_CC_NACIONAL!C1946)</f>
        <v/>
      </c>
      <c r="E1946" s="32" t="str">
        <f t="shared" si="1"/>
        <v/>
      </c>
      <c r="F1946" s="32" t="str">
        <f>IFERROR(__xludf.DUMMYFUNCTION("IF(C1946="""","""", OR(REGEXMATCH(LOWER(C1946),""cuota""), REGEXMATCH(C1946,""\d+\s*/\s*\d+"")))"),"")</f>
        <v/>
      </c>
      <c r="G1946" s="32" t="str">
        <f>IFERROR(__xludf.DUMMYFUNCTION("IFERROR(VALUE(REGEXEXTRACT(C1946,""(\d+)\s*/\s*\d+"")),"""")"),"")</f>
        <v/>
      </c>
      <c r="H1946" s="32" t="str">
        <f>IFERROR(__xludf.DUMMYFUNCTION("IFERROR(VALUE(REGEXEXTRACT(C1946,""\d+\s*/\s*(\d+)"")),"""")"),"")</f>
        <v/>
      </c>
      <c r="I1946" s="32" t="str">
        <f t="shared" si="2"/>
        <v/>
      </c>
      <c r="J1946" s="33" t="str">
        <f t="shared" si="3"/>
        <v/>
      </c>
    </row>
    <row r="1947" ht="15.75" customHeight="1">
      <c r="A1947" s="22" t="s">
        <v>113</v>
      </c>
      <c r="B1947" s="22" t="str">
        <f>IF(MOV_CC_NACIONAL!A1947="","",MOV_CC_NACIONAL!A1947)</f>
        <v/>
      </c>
      <c r="C1947" s="22" t="str">
        <f>IF(MOV_CC_NACIONAL!B1947="","",MOV_CC_NACIONAL!B1947)</f>
        <v/>
      </c>
      <c r="D1947" s="34" t="str">
        <f>IF(MOV_CC_NACIONAL!C1947="","",MOV_CC_NACIONAL!C1947)</f>
        <v/>
      </c>
      <c r="E1947" s="22" t="str">
        <f t="shared" si="1"/>
        <v/>
      </c>
      <c r="F1947" s="22" t="str">
        <f>IFERROR(__xludf.DUMMYFUNCTION("IF(C1947="""","""", OR(REGEXMATCH(LOWER(C1947),""cuota""), REGEXMATCH(C1947,""\d+\s*/\s*\d+"")))"),"")</f>
        <v/>
      </c>
      <c r="G1947" s="22" t="str">
        <f>IFERROR(__xludf.DUMMYFUNCTION("IFERROR(VALUE(REGEXEXTRACT(C1947,""(\d+)\s*/\s*\d+"")),"""")"),"")</f>
        <v/>
      </c>
      <c r="H1947" s="22" t="str">
        <f>IFERROR(__xludf.DUMMYFUNCTION("IFERROR(VALUE(REGEXEXTRACT(C1947,""\d+\s*/\s*(\d+)"")),"""")"),"")</f>
        <v/>
      </c>
      <c r="I1947" s="22" t="str">
        <f t="shared" si="2"/>
        <v/>
      </c>
      <c r="J1947" s="34" t="str">
        <f t="shared" si="3"/>
        <v/>
      </c>
    </row>
    <row r="1948" ht="15.75" customHeight="1">
      <c r="A1948" s="32" t="s">
        <v>113</v>
      </c>
      <c r="B1948" s="32" t="str">
        <f>IF(MOV_CC_NACIONAL!A1948="","",MOV_CC_NACIONAL!A1948)</f>
        <v/>
      </c>
      <c r="C1948" s="32" t="str">
        <f>IF(MOV_CC_NACIONAL!B1948="","",MOV_CC_NACIONAL!B1948)</f>
        <v/>
      </c>
      <c r="D1948" s="33" t="str">
        <f>IF(MOV_CC_NACIONAL!C1948="","",MOV_CC_NACIONAL!C1948)</f>
        <v/>
      </c>
      <c r="E1948" s="32" t="str">
        <f t="shared" si="1"/>
        <v/>
      </c>
      <c r="F1948" s="32" t="str">
        <f>IFERROR(__xludf.DUMMYFUNCTION("IF(C1948="""","""", OR(REGEXMATCH(LOWER(C1948),""cuota""), REGEXMATCH(C1948,""\d+\s*/\s*\d+"")))"),"")</f>
        <v/>
      </c>
      <c r="G1948" s="32" t="str">
        <f>IFERROR(__xludf.DUMMYFUNCTION("IFERROR(VALUE(REGEXEXTRACT(C1948,""(\d+)\s*/\s*\d+"")),"""")"),"")</f>
        <v/>
      </c>
      <c r="H1948" s="32" t="str">
        <f>IFERROR(__xludf.DUMMYFUNCTION("IFERROR(VALUE(REGEXEXTRACT(C1948,""\d+\s*/\s*(\d+)"")),"""")"),"")</f>
        <v/>
      </c>
      <c r="I1948" s="32" t="str">
        <f t="shared" si="2"/>
        <v/>
      </c>
      <c r="J1948" s="33" t="str">
        <f t="shared" si="3"/>
        <v/>
      </c>
    </row>
    <row r="1949" ht="15.75" customHeight="1">
      <c r="A1949" s="22" t="s">
        <v>113</v>
      </c>
      <c r="B1949" s="22" t="str">
        <f>IF(MOV_CC_NACIONAL!A1949="","",MOV_CC_NACIONAL!A1949)</f>
        <v/>
      </c>
      <c r="C1949" s="22" t="str">
        <f>IF(MOV_CC_NACIONAL!B1949="","",MOV_CC_NACIONAL!B1949)</f>
        <v/>
      </c>
      <c r="D1949" s="34" t="str">
        <f>IF(MOV_CC_NACIONAL!C1949="","",MOV_CC_NACIONAL!C1949)</f>
        <v/>
      </c>
      <c r="E1949" s="22" t="str">
        <f t="shared" si="1"/>
        <v/>
      </c>
      <c r="F1949" s="22" t="str">
        <f>IFERROR(__xludf.DUMMYFUNCTION("IF(C1949="""","""", OR(REGEXMATCH(LOWER(C1949),""cuota""), REGEXMATCH(C1949,""\d+\s*/\s*\d+"")))"),"")</f>
        <v/>
      </c>
      <c r="G1949" s="22" t="str">
        <f>IFERROR(__xludf.DUMMYFUNCTION("IFERROR(VALUE(REGEXEXTRACT(C1949,""(\d+)\s*/\s*\d+"")),"""")"),"")</f>
        <v/>
      </c>
      <c r="H1949" s="22" t="str">
        <f>IFERROR(__xludf.DUMMYFUNCTION("IFERROR(VALUE(REGEXEXTRACT(C1949,""\d+\s*/\s*(\d+)"")),"""")"),"")</f>
        <v/>
      </c>
      <c r="I1949" s="22" t="str">
        <f t="shared" si="2"/>
        <v/>
      </c>
      <c r="J1949" s="34" t="str">
        <f t="shared" si="3"/>
        <v/>
      </c>
    </row>
    <row r="1950" ht="15.75" customHeight="1">
      <c r="A1950" s="32" t="s">
        <v>113</v>
      </c>
      <c r="B1950" s="32" t="str">
        <f>IF(MOV_CC_NACIONAL!A1950="","",MOV_CC_NACIONAL!A1950)</f>
        <v/>
      </c>
      <c r="C1950" s="32" t="str">
        <f>IF(MOV_CC_NACIONAL!B1950="","",MOV_CC_NACIONAL!B1950)</f>
        <v/>
      </c>
      <c r="D1950" s="33" t="str">
        <f>IF(MOV_CC_NACIONAL!C1950="","",MOV_CC_NACIONAL!C1950)</f>
        <v/>
      </c>
      <c r="E1950" s="32" t="str">
        <f t="shared" si="1"/>
        <v/>
      </c>
      <c r="F1950" s="32" t="str">
        <f>IFERROR(__xludf.DUMMYFUNCTION("IF(C1950="""","""", OR(REGEXMATCH(LOWER(C1950),""cuota""), REGEXMATCH(C1950,""\d+\s*/\s*\d+"")))"),"")</f>
        <v/>
      </c>
      <c r="G1950" s="32" t="str">
        <f>IFERROR(__xludf.DUMMYFUNCTION("IFERROR(VALUE(REGEXEXTRACT(C1950,""(\d+)\s*/\s*\d+"")),"""")"),"")</f>
        <v/>
      </c>
      <c r="H1950" s="32" t="str">
        <f>IFERROR(__xludf.DUMMYFUNCTION("IFERROR(VALUE(REGEXEXTRACT(C1950,""\d+\s*/\s*(\d+)"")),"""")"),"")</f>
        <v/>
      </c>
      <c r="I1950" s="32" t="str">
        <f t="shared" si="2"/>
        <v/>
      </c>
      <c r="J1950" s="33" t="str">
        <f t="shared" si="3"/>
        <v/>
      </c>
    </row>
    <row r="1951" ht="15.75" customHeight="1">
      <c r="A1951" s="22" t="s">
        <v>113</v>
      </c>
      <c r="B1951" s="22" t="str">
        <f>IF(MOV_CC_NACIONAL!A1951="","",MOV_CC_NACIONAL!A1951)</f>
        <v/>
      </c>
      <c r="C1951" s="22" t="str">
        <f>IF(MOV_CC_NACIONAL!B1951="","",MOV_CC_NACIONAL!B1951)</f>
        <v/>
      </c>
      <c r="D1951" s="34" t="str">
        <f>IF(MOV_CC_NACIONAL!C1951="","",MOV_CC_NACIONAL!C1951)</f>
        <v/>
      </c>
      <c r="E1951" s="22" t="str">
        <f t="shared" si="1"/>
        <v/>
      </c>
      <c r="F1951" s="22" t="str">
        <f>IFERROR(__xludf.DUMMYFUNCTION("IF(C1951="""","""", OR(REGEXMATCH(LOWER(C1951),""cuota""), REGEXMATCH(C1951,""\d+\s*/\s*\d+"")))"),"")</f>
        <v/>
      </c>
      <c r="G1951" s="22" t="str">
        <f>IFERROR(__xludf.DUMMYFUNCTION("IFERROR(VALUE(REGEXEXTRACT(C1951,""(\d+)\s*/\s*\d+"")),"""")"),"")</f>
        <v/>
      </c>
      <c r="H1951" s="22" t="str">
        <f>IFERROR(__xludf.DUMMYFUNCTION("IFERROR(VALUE(REGEXEXTRACT(C1951,""\d+\s*/\s*(\d+)"")),"""")"),"")</f>
        <v/>
      </c>
      <c r="I1951" s="22" t="str">
        <f t="shared" si="2"/>
        <v/>
      </c>
      <c r="J1951" s="34" t="str">
        <f t="shared" si="3"/>
        <v/>
      </c>
    </row>
    <row r="1952" ht="15.75" customHeight="1">
      <c r="A1952" s="32" t="s">
        <v>113</v>
      </c>
      <c r="B1952" s="32" t="str">
        <f>IF(MOV_CC_NACIONAL!A1952="","",MOV_CC_NACIONAL!A1952)</f>
        <v/>
      </c>
      <c r="C1952" s="32" t="str">
        <f>IF(MOV_CC_NACIONAL!B1952="","",MOV_CC_NACIONAL!B1952)</f>
        <v/>
      </c>
      <c r="D1952" s="33" t="str">
        <f>IF(MOV_CC_NACIONAL!C1952="","",MOV_CC_NACIONAL!C1952)</f>
        <v/>
      </c>
      <c r="E1952" s="32" t="str">
        <f t="shared" si="1"/>
        <v/>
      </c>
      <c r="F1952" s="32" t="str">
        <f>IFERROR(__xludf.DUMMYFUNCTION("IF(C1952="""","""", OR(REGEXMATCH(LOWER(C1952),""cuota""), REGEXMATCH(C1952,""\d+\s*/\s*\d+"")))"),"")</f>
        <v/>
      </c>
      <c r="G1952" s="32" t="str">
        <f>IFERROR(__xludf.DUMMYFUNCTION("IFERROR(VALUE(REGEXEXTRACT(C1952,""(\d+)\s*/\s*\d+"")),"""")"),"")</f>
        <v/>
      </c>
      <c r="H1952" s="32" t="str">
        <f>IFERROR(__xludf.DUMMYFUNCTION("IFERROR(VALUE(REGEXEXTRACT(C1952,""\d+\s*/\s*(\d+)"")),"""")"),"")</f>
        <v/>
      </c>
      <c r="I1952" s="32" t="str">
        <f t="shared" si="2"/>
        <v/>
      </c>
      <c r="J1952" s="33" t="str">
        <f t="shared" si="3"/>
        <v/>
      </c>
    </row>
    <row r="1953" ht="15.75" customHeight="1">
      <c r="A1953" s="22" t="s">
        <v>113</v>
      </c>
      <c r="B1953" s="22" t="str">
        <f>IF(MOV_CC_NACIONAL!A1953="","",MOV_CC_NACIONAL!A1953)</f>
        <v/>
      </c>
      <c r="C1953" s="22" t="str">
        <f>IF(MOV_CC_NACIONAL!B1953="","",MOV_CC_NACIONAL!B1953)</f>
        <v/>
      </c>
      <c r="D1953" s="34" t="str">
        <f>IF(MOV_CC_NACIONAL!C1953="","",MOV_CC_NACIONAL!C1953)</f>
        <v/>
      </c>
      <c r="E1953" s="22" t="str">
        <f t="shared" si="1"/>
        <v/>
      </c>
      <c r="F1953" s="22" t="str">
        <f>IFERROR(__xludf.DUMMYFUNCTION("IF(C1953="""","""", OR(REGEXMATCH(LOWER(C1953),""cuota""), REGEXMATCH(C1953,""\d+\s*/\s*\d+"")))"),"")</f>
        <v/>
      </c>
      <c r="G1953" s="22" t="str">
        <f>IFERROR(__xludf.DUMMYFUNCTION("IFERROR(VALUE(REGEXEXTRACT(C1953,""(\d+)\s*/\s*\d+"")),"""")"),"")</f>
        <v/>
      </c>
      <c r="H1953" s="22" t="str">
        <f>IFERROR(__xludf.DUMMYFUNCTION("IFERROR(VALUE(REGEXEXTRACT(C1953,""\d+\s*/\s*(\d+)"")),"""")"),"")</f>
        <v/>
      </c>
      <c r="I1953" s="22" t="str">
        <f t="shared" si="2"/>
        <v/>
      </c>
      <c r="J1953" s="34" t="str">
        <f t="shared" si="3"/>
        <v/>
      </c>
    </row>
    <row r="1954" ht="15.75" customHeight="1">
      <c r="A1954" s="32" t="s">
        <v>113</v>
      </c>
      <c r="B1954" s="32" t="str">
        <f>IF(MOV_CC_NACIONAL!A1954="","",MOV_CC_NACIONAL!A1954)</f>
        <v/>
      </c>
      <c r="C1954" s="32" t="str">
        <f>IF(MOV_CC_NACIONAL!B1954="","",MOV_CC_NACIONAL!B1954)</f>
        <v/>
      </c>
      <c r="D1954" s="33" t="str">
        <f>IF(MOV_CC_NACIONAL!C1954="","",MOV_CC_NACIONAL!C1954)</f>
        <v/>
      </c>
      <c r="E1954" s="32" t="str">
        <f t="shared" si="1"/>
        <v/>
      </c>
      <c r="F1954" s="32" t="str">
        <f>IFERROR(__xludf.DUMMYFUNCTION("IF(C1954="""","""", OR(REGEXMATCH(LOWER(C1954),""cuota""), REGEXMATCH(C1954,""\d+\s*/\s*\d+"")))"),"")</f>
        <v/>
      </c>
      <c r="G1954" s="32" t="str">
        <f>IFERROR(__xludf.DUMMYFUNCTION("IFERROR(VALUE(REGEXEXTRACT(C1954,""(\d+)\s*/\s*\d+"")),"""")"),"")</f>
        <v/>
      </c>
      <c r="H1954" s="32" t="str">
        <f>IFERROR(__xludf.DUMMYFUNCTION("IFERROR(VALUE(REGEXEXTRACT(C1954,""\d+\s*/\s*(\d+)"")),"""")"),"")</f>
        <v/>
      </c>
      <c r="I1954" s="32" t="str">
        <f t="shared" si="2"/>
        <v/>
      </c>
      <c r="J1954" s="33" t="str">
        <f t="shared" si="3"/>
        <v/>
      </c>
    </row>
    <row r="1955" ht="15.75" customHeight="1">
      <c r="A1955" s="22" t="s">
        <v>113</v>
      </c>
      <c r="B1955" s="22" t="str">
        <f>IF(MOV_CC_NACIONAL!A1955="","",MOV_CC_NACIONAL!A1955)</f>
        <v/>
      </c>
      <c r="C1955" s="22" t="str">
        <f>IF(MOV_CC_NACIONAL!B1955="","",MOV_CC_NACIONAL!B1955)</f>
        <v/>
      </c>
      <c r="D1955" s="34" t="str">
        <f>IF(MOV_CC_NACIONAL!C1955="","",MOV_CC_NACIONAL!C1955)</f>
        <v/>
      </c>
      <c r="E1955" s="22" t="str">
        <f t="shared" si="1"/>
        <v/>
      </c>
      <c r="F1955" s="22" t="str">
        <f>IFERROR(__xludf.DUMMYFUNCTION("IF(C1955="""","""", OR(REGEXMATCH(LOWER(C1955),""cuota""), REGEXMATCH(C1955,""\d+\s*/\s*\d+"")))"),"")</f>
        <v/>
      </c>
      <c r="G1955" s="22" t="str">
        <f>IFERROR(__xludf.DUMMYFUNCTION("IFERROR(VALUE(REGEXEXTRACT(C1955,""(\d+)\s*/\s*\d+"")),"""")"),"")</f>
        <v/>
      </c>
      <c r="H1955" s="22" t="str">
        <f>IFERROR(__xludf.DUMMYFUNCTION("IFERROR(VALUE(REGEXEXTRACT(C1955,""\d+\s*/\s*(\d+)"")),"""")"),"")</f>
        <v/>
      </c>
      <c r="I1955" s="22" t="str">
        <f t="shared" si="2"/>
        <v/>
      </c>
      <c r="J1955" s="34" t="str">
        <f t="shared" si="3"/>
        <v/>
      </c>
    </row>
    <row r="1956" ht="15.75" customHeight="1">
      <c r="A1956" s="32" t="s">
        <v>113</v>
      </c>
      <c r="B1956" s="32" t="str">
        <f>IF(MOV_CC_NACIONAL!A1956="","",MOV_CC_NACIONAL!A1956)</f>
        <v/>
      </c>
      <c r="C1956" s="32" t="str">
        <f>IF(MOV_CC_NACIONAL!B1956="","",MOV_CC_NACIONAL!B1956)</f>
        <v/>
      </c>
      <c r="D1956" s="33" t="str">
        <f>IF(MOV_CC_NACIONAL!C1956="","",MOV_CC_NACIONAL!C1956)</f>
        <v/>
      </c>
      <c r="E1956" s="32" t="str">
        <f t="shared" si="1"/>
        <v/>
      </c>
      <c r="F1956" s="32" t="str">
        <f>IFERROR(__xludf.DUMMYFUNCTION("IF(C1956="""","""", OR(REGEXMATCH(LOWER(C1956),""cuota""), REGEXMATCH(C1956,""\d+\s*/\s*\d+"")))"),"")</f>
        <v/>
      </c>
      <c r="G1956" s="32" t="str">
        <f>IFERROR(__xludf.DUMMYFUNCTION("IFERROR(VALUE(REGEXEXTRACT(C1956,""(\d+)\s*/\s*\d+"")),"""")"),"")</f>
        <v/>
      </c>
      <c r="H1956" s="32" t="str">
        <f>IFERROR(__xludf.DUMMYFUNCTION("IFERROR(VALUE(REGEXEXTRACT(C1956,""\d+\s*/\s*(\d+)"")),"""")"),"")</f>
        <v/>
      </c>
      <c r="I1956" s="32" t="str">
        <f t="shared" si="2"/>
        <v/>
      </c>
      <c r="J1956" s="33" t="str">
        <f t="shared" si="3"/>
        <v/>
      </c>
    </row>
    <row r="1957" ht="15.75" customHeight="1">
      <c r="A1957" s="22" t="s">
        <v>113</v>
      </c>
      <c r="B1957" s="22" t="str">
        <f>IF(MOV_CC_NACIONAL!A1957="","",MOV_CC_NACIONAL!A1957)</f>
        <v/>
      </c>
      <c r="C1957" s="22" t="str">
        <f>IF(MOV_CC_NACIONAL!B1957="","",MOV_CC_NACIONAL!B1957)</f>
        <v/>
      </c>
      <c r="D1957" s="34" t="str">
        <f>IF(MOV_CC_NACIONAL!C1957="","",MOV_CC_NACIONAL!C1957)</f>
        <v/>
      </c>
      <c r="E1957" s="22" t="str">
        <f t="shared" si="1"/>
        <v/>
      </c>
      <c r="F1957" s="22" t="str">
        <f>IFERROR(__xludf.DUMMYFUNCTION("IF(C1957="""","""", OR(REGEXMATCH(LOWER(C1957),""cuota""), REGEXMATCH(C1957,""\d+\s*/\s*\d+"")))"),"")</f>
        <v/>
      </c>
      <c r="G1957" s="22" t="str">
        <f>IFERROR(__xludf.DUMMYFUNCTION("IFERROR(VALUE(REGEXEXTRACT(C1957,""(\d+)\s*/\s*\d+"")),"""")"),"")</f>
        <v/>
      </c>
      <c r="H1957" s="22" t="str">
        <f>IFERROR(__xludf.DUMMYFUNCTION("IFERROR(VALUE(REGEXEXTRACT(C1957,""\d+\s*/\s*(\d+)"")),"""")"),"")</f>
        <v/>
      </c>
      <c r="I1957" s="22" t="str">
        <f t="shared" si="2"/>
        <v/>
      </c>
      <c r="J1957" s="34" t="str">
        <f t="shared" si="3"/>
        <v/>
      </c>
    </row>
    <row r="1958" ht="15.75" customHeight="1">
      <c r="A1958" s="32" t="s">
        <v>113</v>
      </c>
      <c r="B1958" s="32" t="str">
        <f>IF(MOV_CC_NACIONAL!A1958="","",MOV_CC_NACIONAL!A1958)</f>
        <v/>
      </c>
      <c r="C1958" s="32" t="str">
        <f>IF(MOV_CC_NACIONAL!B1958="","",MOV_CC_NACIONAL!B1958)</f>
        <v/>
      </c>
      <c r="D1958" s="33" t="str">
        <f>IF(MOV_CC_NACIONAL!C1958="","",MOV_CC_NACIONAL!C1958)</f>
        <v/>
      </c>
      <c r="E1958" s="32" t="str">
        <f t="shared" si="1"/>
        <v/>
      </c>
      <c r="F1958" s="32" t="str">
        <f>IFERROR(__xludf.DUMMYFUNCTION("IF(C1958="""","""", OR(REGEXMATCH(LOWER(C1958),""cuota""), REGEXMATCH(C1958,""\d+\s*/\s*\d+"")))"),"")</f>
        <v/>
      </c>
      <c r="G1958" s="32" t="str">
        <f>IFERROR(__xludf.DUMMYFUNCTION("IFERROR(VALUE(REGEXEXTRACT(C1958,""(\d+)\s*/\s*\d+"")),"""")"),"")</f>
        <v/>
      </c>
      <c r="H1958" s="32" t="str">
        <f>IFERROR(__xludf.DUMMYFUNCTION("IFERROR(VALUE(REGEXEXTRACT(C1958,""\d+\s*/\s*(\d+)"")),"""")"),"")</f>
        <v/>
      </c>
      <c r="I1958" s="32" t="str">
        <f t="shared" si="2"/>
        <v/>
      </c>
      <c r="J1958" s="33" t="str">
        <f t="shared" si="3"/>
        <v/>
      </c>
    </row>
    <row r="1959" ht="15.75" customHeight="1">
      <c r="A1959" s="22" t="s">
        <v>113</v>
      </c>
      <c r="B1959" s="22" t="str">
        <f>IF(MOV_CC_NACIONAL!A1959="","",MOV_CC_NACIONAL!A1959)</f>
        <v/>
      </c>
      <c r="C1959" s="22" t="str">
        <f>IF(MOV_CC_NACIONAL!B1959="","",MOV_CC_NACIONAL!B1959)</f>
        <v/>
      </c>
      <c r="D1959" s="34" t="str">
        <f>IF(MOV_CC_NACIONAL!C1959="","",MOV_CC_NACIONAL!C1959)</f>
        <v/>
      </c>
      <c r="E1959" s="22" t="str">
        <f t="shared" si="1"/>
        <v/>
      </c>
      <c r="F1959" s="22" t="str">
        <f>IFERROR(__xludf.DUMMYFUNCTION("IF(C1959="""","""", OR(REGEXMATCH(LOWER(C1959),""cuota""), REGEXMATCH(C1959,""\d+\s*/\s*\d+"")))"),"")</f>
        <v/>
      </c>
      <c r="G1959" s="22" t="str">
        <f>IFERROR(__xludf.DUMMYFUNCTION("IFERROR(VALUE(REGEXEXTRACT(C1959,""(\d+)\s*/\s*\d+"")),"""")"),"")</f>
        <v/>
      </c>
      <c r="H1959" s="22" t="str">
        <f>IFERROR(__xludf.DUMMYFUNCTION("IFERROR(VALUE(REGEXEXTRACT(C1959,""\d+\s*/\s*(\d+)"")),"""")"),"")</f>
        <v/>
      </c>
      <c r="I1959" s="22" t="str">
        <f t="shared" si="2"/>
        <v/>
      </c>
      <c r="J1959" s="34" t="str">
        <f t="shared" si="3"/>
        <v/>
      </c>
    </row>
    <row r="1960" ht="15.75" customHeight="1">
      <c r="A1960" s="32" t="s">
        <v>113</v>
      </c>
      <c r="B1960" s="32" t="str">
        <f>IF(MOV_CC_NACIONAL!A1960="","",MOV_CC_NACIONAL!A1960)</f>
        <v/>
      </c>
      <c r="C1960" s="32" t="str">
        <f>IF(MOV_CC_NACIONAL!B1960="","",MOV_CC_NACIONAL!B1960)</f>
        <v/>
      </c>
      <c r="D1960" s="33" t="str">
        <f>IF(MOV_CC_NACIONAL!C1960="","",MOV_CC_NACIONAL!C1960)</f>
        <v/>
      </c>
      <c r="E1960" s="32" t="str">
        <f t="shared" si="1"/>
        <v/>
      </c>
      <c r="F1960" s="32" t="str">
        <f>IFERROR(__xludf.DUMMYFUNCTION("IF(C1960="""","""", OR(REGEXMATCH(LOWER(C1960),""cuota""), REGEXMATCH(C1960,""\d+\s*/\s*\d+"")))"),"")</f>
        <v/>
      </c>
      <c r="G1960" s="32" t="str">
        <f>IFERROR(__xludf.DUMMYFUNCTION("IFERROR(VALUE(REGEXEXTRACT(C1960,""(\d+)\s*/\s*\d+"")),"""")"),"")</f>
        <v/>
      </c>
      <c r="H1960" s="32" t="str">
        <f>IFERROR(__xludf.DUMMYFUNCTION("IFERROR(VALUE(REGEXEXTRACT(C1960,""\d+\s*/\s*(\d+)"")),"""")"),"")</f>
        <v/>
      </c>
      <c r="I1960" s="32" t="str">
        <f t="shared" si="2"/>
        <v/>
      </c>
      <c r="J1960" s="33" t="str">
        <f t="shared" si="3"/>
        <v/>
      </c>
    </row>
    <row r="1961" ht="15.75" customHeight="1">
      <c r="A1961" s="22" t="s">
        <v>113</v>
      </c>
      <c r="B1961" s="22" t="str">
        <f>IF(MOV_CC_NACIONAL!A1961="","",MOV_CC_NACIONAL!A1961)</f>
        <v/>
      </c>
      <c r="C1961" s="22" t="str">
        <f>IF(MOV_CC_NACIONAL!B1961="","",MOV_CC_NACIONAL!B1961)</f>
        <v/>
      </c>
      <c r="D1961" s="34" t="str">
        <f>IF(MOV_CC_NACIONAL!C1961="","",MOV_CC_NACIONAL!C1961)</f>
        <v/>
      </c>
      <c r="E1961" s="22" t="str">
        <f t="shared" si="1"/>
        <v/>
      </c>
      <c r="F1961" s="22" t="str">
        <f>IFERROR(__xludf.DUMMYFUNCTION("IF(C1961="""","""", OR(REGEXMATCH(LOWER(C1961),""cuota""), REGEXMATCH(C1961,""\d+\s*/\s*\d+"")))"),"")</f>
        <v/>
      </c>
      <c r="G1961" s="22" t="str">
        <f>IFERROR(__xludf.DUMMYFUNCTION("IFERROR(VALUE(REGEXEXTRACT(C1961,""(\d+)\s*/\s*\d+"")),"""")"),"")</f>
        <v/>
      </c>
      <c r="H1961" s="22" t="str">
        <f>IFERROR(__xludf.DUMMYFUNCTION("IFERROR(VALUE(REGEXEXTRACT(C1961,""\d+\s*/\s*(\d+)"")),"""")"),"")</f>
        <v/>
      </c>
      <c r="I1961" s="22" t="str">
        <f t="shared" si="2"/>
        <v/>
      </c>
      <c r="J1961" s="34" t="str">
        <f t="shared" si="3"/>
        <v/>
      </c>
    </row>
    <row r="1962" ht="15.75" customHeight="1">
      <c r="A1962" s="32" t="s">
        <v>113</v>
      </c>
      <c r="B1962" s="32" t="str">
        <f>IF(MOV_CC_NACIONAL!A1962="","",MOV_CC_NACIONAL!A1962)</f>
        <v/>
      </c>
      <c r="C1962" s="32" t="str">
        <f>IF(MOV_CC_NACIONAL!B1962="","",MOV_CC_NACIONAL!B1962)</f>
        <v/>
      </c>
      <c r="D1962" s="33" t="str">
        <f>IF(MOV_CC_NACIONAL!C1962="","",MOV_CC_NACIONAL!C1962)</f>
        <v/>
      </c>
      <c r="E1962" s="32" t="str">
        <f t="shared" si="1"/>
        <v/>
      </c>
      <c r="F1962" s="32" t="str">
        <f>IFERROR(__xludf.DUMMYFUNCTION("IF(C1962="""","""", OR(REGEXMATCH(LOWER(C1962),""cuota""), REGEXMATCH(C1962,""\d+\s*/\s*\d+"")))"),"")</f>
        <v/>
      </c>
      <c r="G1962" s="32" t="str">
        <f>IFERROR(__xludf.DUMMYFUNCTION("IFERROR(VALUE(REGEXEXTRACT(C1962,""(\d+)\s*/\s*\d+"")),"""")"),"")</f>
        <v/>
      </c>
      <c r="H1962" s="32" t="str">
        <f>IFERROR(__xludf.DUMMYFUNCTION("IFERROR(VALUE(REGEXEXTRACT(C1962,""\d+\s*/\s*(\d+)"")),"""")"),"")</f>
        <v/>
      </c>
      <c r="I1962" s="32" t="str">
        <f t="shared" si="2"/>
        <v/>
      </c>
      <c r="J1962" s="33" t="str">
        <f t="shared" si="3"/>
        <v/>
      </c>
    </row>
    <row r="1963" ht="15.75" customHeight="1">
      <c r="A1963" s="22" t="s">
        <v>113</v>
      </c>
      <c r="B1963" s="22" t="str">
        <f>IF(MOV_CC_NACIONAL!A1963="","",MOV_CC_NACIONAL!A1963)</f>
        <v/>
      </c>
      <c r="C1963" s="22" t="str">
        <f>IF(MOV_CC_NACIONAL!B1963="","",MOV_CC_NACIONAL!B1963)</f>
        <v/>
      </c>
      <c r="D1963" s="34" t="str">
        <f>IF(MOV_CC_NACIONAL!C1963="","",MOV_CC_NACIONAL!C1963)</f>
        <v/>
      </c>
      <c r="E1963" s="22" t="str">
        <f t="shared" si="1"/>
        <v/>
      </c>
      <c r="F1963" s="22" t="str">
        <f>IFERROR(__xludf.DUMMYFUNCTION("IF(C1963="""","""", OR(REGEXMATCH(LOWER(C1963),""cuota""), REGEXMATCH(C1963,""\d+\s*/\s*\d+"")))"),"")</f>
        <v/>
      </c>
      <c r="G1963" s="22" t="str">
        <f>IFERROR(__xludf.DUMMYFUNCTION("IFERROR(VALUE(REGEXEXTRACT(C1963,""(\d+)\s*/\s*\d+"")),"""")"),"")</f>
        <v/>
      </c>
      <c r="H1963" s="22" t="str">
        <f>IFERROR(__xludf.DUMMYFUNCTION("IFERROR(VALUE(REGEXEXTRACT(C1963,""\d+\s*/\s*(\d+)"")),"""")"),"")</f>
        <v/>
      </c>
      <c r="I1963" s="22" t="str">
        <f t="shared" si="2"/>
        <v/>
      </c>
      <c r="J1963" s="34" t="str">
        <f t="shared" si="3"/>
        <v/>
      </c>
    </row>
    <row r="1964" ht="15.75" customHeight="1">
      <c r="A1964" s="32" t="s">
        <v>113</v>
      </c>
      <c r="B1964" s="32" t="str">
        <f>IF(MOV_CC_NACIONAL!A1964="","",MOV_CC_NACIONAL!A1964)</f>
        <v/>
      </c>
      <c r="C1964" s="32" t="str">
        <f>IF(MOV_CC_NACIONAL!B1964="","",MOV_CC_NACIONAL!B1964)</f>
        <v/>
      </c>
      <c r="D1964" s="33" t="str">
        <f>IF(MOV_CC_NACIONAL!C1964="","",MOV_CC_NACIONAL!C1964)</f>
        <v/>
      </c>
      <c r="E1964" s="32" t="str">
        <f t="shared" si="1"/>
        <v/>
      </c>
      <c r="F1964" s="32" t="str">
        <f>IFERROR(__xludf.DUMMYFUNCTION("IF(C1964="""","""", OR(REGEXMATCH(LOWER(C1964),""cuota""), REGEXMATCH(C1964,""\d+\s*/\s*\d+"")))"),"")</f>
        <v/>
      </c>
      <c r="G1964" s="32" t="str">
        <f>IFERROR(__xludf.DUMMYFUNCTION("IFERROR(VALUE(REGEXEXTRACT(C1964,""(\d+)\s*/\s*\d+"")),"""")"),"")</f>
        <v/>
      </c>
      <c r="H1964" s="32" t="str">
        <f>IFERROR(__xludf.DUMMYFUNCTION("IFERROR(VALUE(REGEXEXTRACT(C1964,""\d+\s*/\s*(\d+)"")),"""")"),"")</f>
        <v/>
      </c>
      <c r="I1964" s="32" t="str">
        <f t="shared" si="2"/>
        <v/>
      </c>
      <c r="J1964" s="33" t="str">
        <f t="shared" si="3"/>
        <v/>
      </c>
    </row>
    <row r="1965" ht="15.75" customHeight="1">
      <c r="A1965" s="22" t="s">
        <v>113</v>
      </c>
      <c r="B1965" s="22" t="str">
        <f>IF(MOV_CC_NACIONAL!A1965="","",MOV_CC_NACIONAL!A1965)</f>
        <v/>
      </c>
      <c r="C1965" s="22" t="str">
        <f>IF(MOV_CC_NACIONAL!B1965="","",MOV_CC_NACIONAL!B1965)</f>
        <v/>
      </c>
      <c r="D1965" s="34" t="str">
        <f>IF(MOV_CC_NACIONAL!C1965="","",MOV_CC_NACIONAL!C1965)</f>
        <v/>
      </c>
      <c r="E1965" s="22" t="str">
        <f t="shared" si="1"/>
        <v/>
      </c>
      <c r="F1965" s="22" t="str">
        <f>IFERROR(__xludf.DUMMYFUNCTION("IF(C1965="""","""", OR(REGEXMATCH(LOWER(C1965),""cuota""), REGEXMATCH(C1965,""\d+\s*/\s*\d+"")))"),"")</f>
        <v/>
      </c>
      <c r="G1965" s="22" t="str">
        <f>IFERROR(__xludf.DUMMYFUNCTION("IFERROR(VALUE(REGEXEXTRACT(C1965,""(\d+)\s*/\s*\d+"")),"""")"),"")</f>
        <v/>
      </c>
      <c r="H1965" s="22" t="str">
        <f>IFERROR(__xludf.DUMMYFUNCTION("IFERROR(VALUE(REGEXEXTRACT(C1965,""\d+\s*/\s*(\d+)"")),"""")"),"")</f>
        <v/>
      </c>
      <c r="I1965" s="22" t="str">
        <f t="shared" si="2"/>
        <v/>
      </c>
      <c r="J1965" s="34" t="str">
        <f t="shared" si="3"/>
        <v/>
      </c>
    </row>
    <row r="1966" ht="15.75" customHeight="1">
      <c r="A1966" s="32" t="s">
        <v>113</v>
      </c>
      <c r="B1966" s="32" t="str">
        <f>IF(MOV_CC_NACIONAL!A1966="","",MOV_CC_NACIONAL!A1966)</f>
        <v/>
      </c>
      <c r="C1966" s="32" t="str">
        <f>IF(MOV_CC_NACIONAL!B1966="","",MOV_CC_NACIONAL!B1966)</f>
        <v/>
      </c>
      <c r="D1966" s="33" t="str">
        <f>IF(MOV_CC_NACIONAL!C1966="","",MOV_CC_NACIONAL!C1966)</f>
        <v/>
      </c>
      <c r="E1966" s="32" t="str">
        <f t="shared" si="1"/>
        <v/>
      </c>
      <c r="F1966" s="32" t="str">
        <f>IFERROR(__xludf.DUMMYFUNCTION("IF(C1966="""","""", OR(REGEXMATCH(LOWER(C1966),""cuota""), REGEXMATCH(C1966,""\d+\s*/\s*\d+"")))"),"")</f>
        <v/>
      </c>
      <c r="G1966" s="32" t="str">
        <f>IFERROR(__xludf.DUMMYFUNCTION("IFERROR(VALUE(REGEXEXTRACT(C1966,""(\d+)\s*/\s*\d+"")),"""")"),"")</f>
        <v/>
      </c>
      <c r="H1966" s="32" t="str">
        <f>IFERROR(__xludf.DUMMYFUNCTION("IFERROR(VALUE(REGEXEXTRACT(C1966,""\d+\s*/\s*(\d+)"")),"""")"),"")</f>
        <v/>
      </c>
      <c r="I1966" s="32" t="str">
        <f t="shared" si="2"/>
        <v/>
      </c>
      <c r="J1966" s="33" t="str">
        <f t="shared" si="3"/>
        <v/>
      </c>
    </row>
    <row r="1967" ht="15.75" customHeight="1">
      <c r="A1967" s="22" t="s">
        <v>113</v>
      </c>
      <c r="B1967" s="22" t="str">
        <f>IF(MOV_CC_NACIONAL!A1967="","",MOV_CC_NACIONAL!A1967)</f>
        <v/>
      </c>
      <c r="C1967" s="22" t="str">
        <f>IF(MOV_CC_NACIONAL!B1967="","",MOV_CC_NACIONAL!B1967)</f>
        <v/>
      </c>
      <c r="D1967" s="34" t="str">
        <f>IF(MOV_CC_NACIONAL!C1967="","",MOV_CC_NACIONAL!C1967)</f>
        <v/>
      </c>
      <c r="E1967" s="22" t="str">
        <f t="shared" si="1"/>
        <v/>
      </c>
      <c r="F1967" s="22" t="str">
        <f>IFERROR(__xludf.DUMMYFUNCTION("IF(C1967="""","""", OR(REGEXMATCH(LOWER(C1967),""cuota""), REGEXMATCH(C1967,""\d+\s*/\s*\d+"")))"),"")</f>
        <v/>
      </c>
      <c r="G1967" s="22" t="str">
        <f>IFERROR(__xludf.DUMMYFUNCTION("IFERROR(VALUE(REGEXEXTRACT(C1967,""(\d+)\s*/\s*\d+"")),"""")"),"")</f>
        <v/>
      </c>
      <c r="H1967" s="22" t="str">
        <f>IFERROR(__xludf.DUMMYFUNCTION("IFERROR(VALUE(REGEXEXTRACT(C1967,""\d+\s*/\s*(\d+)"")),"""")"),"")</f>
        <v/>
      </c>
      <c r="I1967" s="22" t="str">
        <f t="shared" si="2"/>
        <v/>
      </c>
      <c r="J1967" s="34" t="str">
        <f t="shared" si="3"/>
        <v/>
      </c>
    </row>
    <row r="1968" ht="15.75" customHeight="1">
      <c r="A1968" s="32" t="s">
        <v>113</v>
      </c>
      <c r="B1968" s="32" t="str">
        <f>IF(MOV_CC_NACIONAL!A1968="","",MOV_CC_NACIONAL!A1968)</f>
        <v/>
      </c>
      <c r="C1968" s="32" t="str">
        <f>IF(MOV_CC_NACIONAL!B1968="","",MOV_CC_NACIONAL!B1968)</f>
        <v/>
      </c>
      <c r="D1968" s="33" t="str">
        <f>IF(MOV_CC_NACIONAL!C1968="","",MOV_CC_NACIONAL!C1968)</f>
        <v/>
      </c>
      <c r="E1968" s="32" t="str">
        <f t="shared" si="1"/>
        <v/>
      </c>
      <c r="F1968" s="32" t="str">
        <f>IFERROR(__xludf.DUMMYFUNCTION("IF(C1968="""","""", OR(REGEXMATCH(LOWER(C1968),""cuota""), REGEXMATCH(C1968,""\d+\s*/\s*\d+"")))"),"")</f>
        <v/>
      </c>
      <c r="G1968" s="32" t="str">
        <f>IFERROR(__xludf.DUMMYFUNCTION("IFERROR(VALUE(REGEXEXTRACT(C1968,""(\d+)\s*/\s*\d+"")),"""")"),"")</f>
        <v/>
      </c>
      <c r="H1968" s="32" t="str">
        <f>IFERROR(__xludf.DUMMYFUNCTION("IFERROR(VALUE(REGEXEXTRACT(C1968,""\d+\s*/\s*(\d+)"")),"""")"),"")</f>
        <v/>
      </c>
      <c r="I1968" s="32" t="str">
        <f t="shared" si="2"/>
        <v/>
      </c>
      <c r="J1968" s="33" t="str">
        <f t="shared" si="3"/>
        <v/>
      </c>
    </row>
    <row r="1969" ht="15.75" customHeight="1">
      <c r="A1969" s="22" t="s">
        <v>113</v>
      </c>
      <c r="B1969" s="22" t="str">
        <f>IF(MOV_CC_NACIONAL!A1969="","",MOV_CC_NACIONAL!A1969)</f>
        <v/>
      </c>
      <c r="C1969" s="22" t="str">
        <f>IF(MOV_CC_NACIONAL!B1969="","",MOV_CC_NACIONAL!B1969)</f>
        <v/>
      </c>
      <c r="D1969" s="34" t="str">
        <f>IF(MOV_CC_NACIONAL!C1969="","",MOV_CC_NACIONAL!C1969)</f>
        <v/>
      </c>
      <c r="E1969" s="22" t="str">
        <f t="shared" si="1"/>
        <v/>
      </c>
      <c r="F1969" s="22" t="str">
        <f>IFERROR(__xludf.DUMMYFUNCTION("IF(C1969="""","""", OR(REGEXMATCH(LOWER(C1969),""cuota""), REGEXMATCH(C1969,""\d+\s*/\s*\d+"")))"),"")</f>
        <v/>
      </c>
      <c r="G1969" s="22" t="str">
        <f>IFERROR(__xludf.DUMMYFUNCTION("IFERROR(VALUE(REGEXEXTRACT(C1969,""(\d+)\s*/\s*\d+"")),"""")"),"")</f>
        <v/>
      </c>
      <c r="H1969" s="22" t="str">
        <f>IFERROR(__xludf.DUMMYFUNCTION("IFERROR(VALUE(REGEXEXTRACT(C1969,""\d+\s*/\s*(\d+)"")),"""")"),"")</f>
        <v/>
      </c>
      <c r="I1969" s="22" t="str">
        <f t="shared" si="2"/>
        <v/>
      </c>
      <c r="J1969" s="34" t="str">
        <f t="shared" si="3"/>
        <v/>
      </c>
    </row>
    <row r="1970" ht="15.75" customHeight="1">
      <c r="A1970" s="32" t="s">
        <v>113</v>
      </c>
      <c r="B1970" s="32" t="str">
        <f>IF(MOV_CC_NACIONAL!A1970="","",MOV_CC_NACIONAL!A1970)</f>
        <v/>
      </c>
      <c r="C1970" s="32" t="str">
        <f>IF(MOV_CC_NACIONAL!B1970="","",MOV_CC_NACIONAL!B1970)</f>
        <v/>
      </c>
      <c r="D1970" s="33" t="str">
        <f>IF(MOV_CC_NACIONAL!C1970="","",MOV_CC_NACIONAL!C1970)</f>
        <v/>
      </c>
      <c r="E1970" s="32" t="str">
        <f t="shared" si="1"/>
        <v/>
      </c>
      <c r="F1970" s="32" t="str">
        <f>IFERROR(__xludf.DUMMYFUNCTION("IF(C1970="""","""", OR(REGEXMATCH(LOWER(C1970),""cuota""), REGEXMATCH(C1970,""\d+\s*/\s*\d+"")))"),"")</f>
        <v/>
      </c>
      <c r="G1970" s="32" t="str">
        <f>IFERROR(__xludf.DUMMYFUNCTION("IFERROR(VALUE(REGEXEXTRACT(C1970,""(\d+)\s*/\s*\d+"")),"""")"),"")</f>
        <v/>
      </c>
      <c r="H1970" s="32" t="str">
        <f>IFERROR(__xludf.DUMMYFUNCTION("IFERROR(VALUE(REGEXEXTRACT(C1970,""\d+\s*/\s*(\d+)"")),"""")"),"")</f>
        <v/>
      </c>
      <c r="I1970" s="32" t="str">
        <f t="shared" si="2"/>
        <v/>
      </c>
      <c r="J1970" s="33" t="str">
        <f t="shared" si="3"/>
        <v/>
      </c>
    </row>
    <row r="1971" ht="15.75" customHeight="1">
      <c r="A1971" s="22" t="s">
        <v>113</v>
      </c>
      <c r="B1971" s="22" t="str">
        <f>IF(MOV_CC_NACIONAL!A1971="","",MOV_CC_NACIONAL!A1971)</f>
        <v/>
      </c>
      <c r="C1971" s="22" t="str">
        <f>IF(MOV_CC_NACIONAL!B1971="","",MOV_CC_NACIONAL!B1971)</f>
        <v/>
      </c>
      <c r="D1971" s="34" t="str">
        <f>IF(MOV_CC_NACIONAL!C1971="","",MOV_CC_NACIONAL!C1971)</f>
        <v/>
      </c>
      <c r="E1971" s="22" t="str">
        <f t="shared" si="1"/>
        <v/>
      </c>
      <c r="F1971" s="22" t="str">
        <f>IFERROR(__xludf.DUMMYFUNCTION("IF(C1971="""","""", OR(REGEXMATCH(LOWER(C1971),""cuota""), REGEXMATCH(C1971,""\d+\s*/\s*\d+"")))"),"")</f>
        <v/>
      </c>
      <c r="G1971" s="22" t="str">
        <f>IFERROR(__xludf.DUMMYFUNCTION("IFERROR(VALUE(REGEXEXTRACT(C1971,""(\d+)\s*/\s*\d+"")),"""")"),"")</f>
        <v/>
      </c>
      <c r="H1971" s="22" t="str">
        <f>IFERROR(__xludf.DUMMYFUNCTION("IFERROR(VALUE(REGEXEXTRACT(C1971,""\d+\s*/\s*(\d+)"")),"""")"),"")</f>
        <v/>
      </c>
      <c r="I1971" s="22" t="str">
        <f t="shared" si="2"/>
        <v/>
      </c>
      <c r="J1971" s="34" t="str">
        <f t="shared" si="3"/>
        <v/>
      </c>
    </row>
    <row r="1972" ht="15.75" customHeight="1">
      <c r="A1972" s="32" t="s">
        <v>113</v>
      </c>
      <c r="B1972" s="32" t="str">
        <f>IF(MOV_CC_NACIONAL!A1972="","",MOV_CC_NACIONAL!A1972)</f>
        <v/>
      </c>
      <c r="C1972" s="32" t="str">
        <f>IF(MOV_CC_NACIONAL!B1972="","",MOV_CC_NACIONAL!B1972)</f>
        <v/>
      </c>
      <c r="D1972" s="33" t="str">
        <f>IF(MOV_CC_NACIONAL!C1972="","",MOV_CC_NACIONAL!C1972)</f>
        <v/>
      </c>
      <c r="E1972" s="32" t="str">
        <f t="shared" si="1"/>
        <v/>
      </c>
      <c r="F1972" s="32" t="str">
        <f>IFERROR(__xludf.DUMMYFUNCTION("IF(C1972="""","""", OR(REGEXMATCH(LOWER(C1972),""cuota""), REGEXMATCH(C1972,""\d+\s*/\s*\d+"")))"),"")</f>
        <v/>
      </c>
      <c r="G1972" s="32" t="str">
        <f>IFERROR(__xludf.DUMMYFUNCTION("IFERROR(VALUE(REGEXEXTRACT(C1972,""(\d+)\s*/\s*\d+"")),"""")"),"")</f>
        <v/>
      </c>
      <c r="H1972" s="32" t="str">
        <f>IFERROR(__xludf.DUMMYFUNCTION("IFERROR(VALUE(REGEXEXTRACT(C1972,""\d+\s*/\s*(\d+)"")),"""")"),"")</f>
        <v/>
      </c>
      <c r="I1972" s="32" t="str">
        <f t="shared" si="2"/>
        <v/>
      </c>
      <c r="J1972" s="33" t="str">
        <f t="shared" si="3"/>
        <v/>
      </c>
    </row>
    <row r="1973" ht="15.75" customHeight="1">
      <c r="A1973" s="22" t="s">
        <v>113</v>
      </c>
      <c r="B1973" s="22" t="str">
        <f>IF(MOV_CC_NACIONAL!A1973="","",MOV_CC_NACIONAL!A1973)</f>
        <v/>
      </c>
      <c r="C1973" s="22" t="str">
        <f>IF(MOV_CC_NACIONAL!B1973="","",MOV_CC_NACIONAL!B1973)</f>
        <v/>
      </c>
      <c r="D1973" s="34" t="str">
        <f>IF(MOV_CC_NACIONAL!C1973="","",MOV_CC_NACIONAL!C1973)</f>
        <v/>
      </c>
      <c r="E1973" s="22" t="str">
        <f t="shared" si="1"/>
        <v/>
      </c>
      <c r="F1973" s="22" t="str">
        <f>IFERROR(__xludf.DUMMYFUNCTION("IF(C1973="""","""", OR(REGEXMATCH(LOWER(C1973),""cuota""), REGEXMATCH(C1973,""\d+\s*/\s*\d+"")))"),"")</f>
        <v/>
      </c>
      <c r="G1973" s="22" t="str">
        <f>IFERROR(__xludf.DUMMYFUNCTION("IFERROR(VALUE(REGEXEXTRACT(C1973,""(\d+)\s*/\s*\d+"")),"""")"),"")</f>
        <v/>
      </c>
      <c r="H1973" s="22" t="str">
        <f>IFERROR(__xludf.DUMMYFUNCTION("IFERROR(VALUE(REGEXEXTRACT(C1973,""\d+\s*/\s*(\d+)"")),"""")"),"")</f>
        <v/>
      </c>
      <c r="I1973" s="22" t="str">
        <f t="shared" si="2"/>
        <v/>
      </c>
      <c r="J1973" s="34" t="str">
        <f t="shared" si="3"/>
        <v/>
      </c>
    </row>
    <row r="1974" ht="15.75" customHeight="1">
      <c r="A1974" s="32" t="s">
        <v>113</v>
      </c>
      <c r="B1974" s="32" t="str">
        <f>IF(MOV_CC_NACIONAL!A1974="","",MOV_CC_NACIONAL!A1974)</f>
        <v/>
      </c>
      <c r="C1974" s="32" t="str">
        <f>IF(MOV_CC_NACIONAL!B1974="","",MOV_CC_NACIONAL!B1974)</f>
        <v/>
      </c>
      <c r="D1974" s="33" t="str">
        <f>IF(MOV_CC_NACIONAL!C1974="","",MOV_CC_NACIONAL!C1974)</f>
        <v/>
      </c>
      <c r="E1974" s="32" t="str">
        <f t="shared" si="1"/>
        <v/>
      </c>
      <c r="F1974" s="32" t="str">
        <f>IFERROR(__xludf.DUMMYFUNCTION("IF(C1974="""","""", OR(REGEXMATCH(LOWER(C1974),""cuota""), REGEXMATCH(C1974,""\d+\s*/\s*\d+"")))"),"")</f>
        <v/>
      </c>
      <c r="G1974" s="32" t="str">
        <f>IFERROR(__xludf.DUMMYFUNCTION("IFERROR(VALUE(REGEXEXTRACT(C1974,""(\d+)\s*/\s*\d+"")),"""")"),"")</f>
        <v/>
      </c>
      <c r="H1974" s="32" t="str">
        <f>IFERROR(__xludf.DUMMYFUNCTION("IFERROR(VALUE(REGEXEXTRACT(C1974,""\d+\s*/\s*(\d+)"")),"""")"),"")</f>
        <v/>
      </c>
      <c r="I1974" s="32" t="str">
        <f t="shared" si="2"/>
        <v/>
      </c>
      <c r="J1974" s="33" t="str">
        <f t="shared" si="3"/>
        <v/>
      </c>
    </row>
    <row r="1975" ht="15.75" customHeight="1">
      <c r="A1975" s="22" t="s">
        <v>113</v>
      </c>
      <c r="B1975" s="22" t="str">
        <f>IF(MOV_CC_NACIONAL!A1975="","",MOV_CC_NACIONAL!A1975)</f>
        <v/>
      </c>
      <c r="C1975" s="22" t="str">
        <f>IF(MOV_CC_NACIONAL!B1975="","",MOV_CC_NACIONAL!B1975)</f>
        <v/>
      </c>
      <c r="D1975" s="34" t="str">
        <f>IF(MOV_CC_NACIONAL!C1975="","",MOV_CC_NACIONAL!C1975)</f>
        <v/>
      </c>
      <c r="E1975" s="22" t="str">
        <f t="shared" si="1"/>
        <v/>
      </c>
      <c r="F1975" s="22" t="str">
        <f>IFERROR(__xludf.DUMMYFUNCTION("IF(C1975="""","""", OR(REGEXMATCH(LOWER(C1975),""cuota""), REGEXMATCH(C1975,""\d+\s*/\s*\d+"")))"),"")</f>
        <v/>
      </c>
      <c r="G1975" s="22" t="str">
        <f>IFERROR(__xludf.DUMMYFUNCTION("IFERROR(VALUE(REGEXEXTRACT(C1975,""(\d+)\s*/\s*\d+"")),"""")"),"")</f>
        <v/>
      </c>
      <c r="H1975" s="22" t="str">
        <f>IFERROR(__xludf.DUMMYFUNCTION("IFERROR(VALUE(REGEXEXTRACT(C1975,""\d+\s*/\s*(\d+)"")),"""")"),"")</f>
        <v/>
      </c>
      <c r="I1975" s="22" t="str">
        <f t="shared" si="2"/>
        <v/>
      </c>
      <c r="J1975" s="34" t="str">
        <f t="shared" si="3"/>
        <v/>
      </c>
    </row>
    <row r="1976" ht="15.75" customHeight="1">
      <c r="A1976" s="32" t="s">
        <v>113</v>
      </c>
      <c r="B1976" s="32" t="str">
        <f>IF(MOV_CC_NACIONAL!A1976="","",MOV_CC_NACIONAL!A1976)</f>
        <v/>
      </c>
      <c r="C1976" s="32" t="str">
        <f>IF(MOV_CC_NACIONAL!B1976="","",MOV_CC_NACIONAL!B1976)</f>
        <v/>
      </c>
      <c r="D1976" s="33" t="str">
        <f>IF(MOV_CC_NACIONAL!C1976="","",MOV_CC_NACIONAL!C1976)</f>
        <v/>
      </c>
      <c r="E1976" s="32" t="str">
        <f t="shared" si="1"/>
        <v/>
      </c>
      <c r="F1976" s="32" t="str">
        <f>IFERROR(__xludf.DUMMYFUNCTION("IF(C1976="""","""", OR(REGEXMATCH(LOWER(C1976),""cuota""), REGEXMATCH(C1976,""\d+\s*/\s*\d+"")))"),"")</f>
        <v/>
      </c>
      <c r="G1976" s="32" t="str">
        <f>IFERROR(__xludf.DUMMYFUNCTION("IFERROR(VALUE(REGEXEXTRACT(C1976,""(\d+)\s*/\s*\d+"")),"""")"),"")</f>
        <v/>
      </c>
      <c r="H1976" s="32" t="str">
        <f>IFERROR(__xludf.DUMMYFUNCTION("IFERROR(VALUE(REGEXEXTRACT(C1976,""\d+\s*/\s*(\d+)"")),"""")"),"")</f>
        <v/>
      </c>
      <c r="I1976" s="32" t="str">
        <f t="shared" si="2"/>
        <v/>
      </c>
      <c r="J1976" s="33" t="str">
        <f t="shared" si="3"/>
        <v/>
      </c>
    </row>
    <row r="1977" ht="15.75" customHeight="1">
      <c r="A1977" s="22" t="s">
        <v>113</v>
      </c>
      <c r="B1977" s="22" t="str">
        <f>IF(MOV_CC_NACIONAL!A1977="","",MOV_CC_NACIONAL!A1977)</f>
        <v/>
      </c>
      <c r="C1977" s="22" t="str">
        <f>IF(MOV_CC_NACIONAL!B1977="","",MOV_CC_NACIONAL!B1977)</f>
        <v/>
      </c>
      <c r="D1977" s="34" t="str">
        <f>IF(MOV_CC_NACIONAL!C1977="","",MOV_CC_NACIONAL!C1977)</f>
        <v/>
      </c>
      <c r="E1977" s="22" t="str">
        <f t="shared" si="1"/>
        <v/>
      </c>
      <c r="F1977" s="22" t="str">
        <f>IFERROR(__xludf.DUMMYFUNCTION("IF(C1977="""","""", OR(REGEXMATCH(LOWER(C1977),""cuota""), REGEXMATCH(C1977,""\d+\s*/\s*\d+"")))"),"")</f>
        <v/>
      </c>
      <c r="G1977" s="22" t="str">
        <f>IFERROR(__xludf.DUMMYFUNCTION("IFERROR(VALUE(REGEXEXTRACT(C1977,""(\d+)\s*/\s*\d+"")),"""")"),"")</f>
        <v/>
      </c>
      <c r="H1977" s="22" t="str">
        <f>IFERROR(__xludf.DUMMYFUNCTION("IFERROR(VALUE(REGEXEXTRACT(C1977,""\d+\s*/\s*(\d+)"")),"""")"),"")</f>
        <v/>
      </c>
      <c r="I1977" s="22" t="str">
        <f t="shared" si="2"/>
        <v/>
      </c>
      <c r="J1977" s="34" t="str">
        <f t="shared" si="3"/>
        <v/>
      </c>
    </row>
    <row r="1978" ht="15.75" customHeight="1">
      <c r="A1978" s="32" t="s">
        <v>113</v>
      </c>
      <c r="B1978" s="32" t="str">
        <f>IF(MOV_CC_NACIONAL!A1978="","",MOV_CC_NACIONAL!A1978)</f>
        <v/>
      </c>
      <c r="C1978" s="32" t="str">
        <f>IF(MOV_CC_NACIONAL!B1978="","",MOV_CC_NACIONAL!B1978)</f>
        <v/>
      </c>
      <c r="D1978" s="33" t="str">
        <f>IF(MOV_CC_NACIONAL!C1978="","",MOV_CC_NACIONAL!C1978)</f>
        <v/>
      </c>
      <c r="E1978" s="32" t="str">
        <f t="shared" si="1"/>
        <v/>
      </c>
      <c r="F1978" s="32" t="str">
        <f>IFERROR(__xludf.DUMMYFUNCTION("IF(C1978="""","""", OR(REGEXMATCH(LOWER(C1978),""cuota""), REGEXMATCH(C1978,""\d+\s*/\s*\d+"")))"),"")</f>
        <v/>
      </c>
      <c r="G1978" s="32" t="str">
        <f>IFERROR(__xludf.DUMMYFUNCTION("IFERROR(VALUE(REGEXEXTRACT(C1978,""(\d+)\s*/\s*\d+"")),"""")"),"")</f>
        <v/>
      </c>
      <c r="H1978" s="32" t="str">
        <f>IFERROR(__xludf.DUMMYFUNCTION("IFERROR(VALUE(REGEXEXTRACT(C1978,""\d+\s*/\s*(\d+)"")),"""")"),"")</f>
        <v/>
      </c>
      <c r="I1978" s="32" t="str">
        <f t="shared" si="2"/>
        <v/>
      </c>
      <c r="J1978" s="33" t="str">
        <f t="shared" si="3"/>
        <v/>
      </c>
    </row>
    <row r="1979" ht="15.75" customHeight="1">
      <c r="A1979" s="22" t="s">
        <v>113</v>
      </c>
      <c r="B1979" s="22" t="str">
        <f>IF(MOV_CC_NACIONAL!A1979="","",MOV_CC_NACIONAL!A1979)</f>
        <v/>
      </c>
      <c r="C1979" s="22" t="str">
        <f>IF(MOV_CC_NACIONAL!B1979="","",MOV_CC_NACIONAL!B1979)</f>
        <v/>
      </c>
      <c r="D1979" s="34" t="str">
        <f>IF(MOV_CC_NACIONAL!C1979="","",MOV_CC_NACIONAL!C1979)</f>
        <v/>
      </c>
      <c r="E1979" s="22" t="str">
        <f t="shared" si="1"/>
        <v/>
      </c>
      <c r="F1979" s="22" t="str">
        <f>IFERROR(__xludf.DUMMYFUNCTION("IF(C1979="""","""", OR(REGEXMATCH(LOWER(C1979),""cuota""), REGEXMATCH(C1979,""\d+\s*/\s*\d+"")))"),"")</f>
        <v/>
      </c>
      <c r="G1979" s="22" t="str">
        <f>IFERROR(__xludf.DUMMYFUNCTION("IFERROR(VALUE(REGEXEXTRACT(C1979,""(\d+)\s*/\s*\d+"")),"""")"),"")</f>
        <v/>
      </c>
      <c r="H1979" s="22" t="str">
        <f>IFERROR(__xludf.DUMMYFUNCTION("IFERROR(VALUE(REGEXEXTRACT(C1979,""\d+\s*/\s*(\d+)"")),"""")"),"")</f>
        <v/>
      </c>
      <c r="I1979" s="22" t="str">
        <f t="shared" si="2"/>
        <v/>
      </c>
      <c r="J1979" s="34" t="str">
        <f t="shared" si="3"/>
        <v/>
      </c>
    </row>
    <row r="1980" ht="15.75" customHeight="1">
      <c r="A1980" s="32" t="s">
        <v>113</v>
      </c>
      <c r="B1980" s="32" t="str">
        <f>IF(MOV_CC_NACIONAL!A1980="","",MOV_CC_NACIONAL!A1980)</f>
        <v/>
      </c>
      <c r="C1980" s="32" t="str">
        <f>IF(MOV_CC_NACIONAL!B1980="","",MOV_CC_NACIONAL!B1980)</f>
        <v/>
      </c>
      <c r="D1980" s="33" t="str">
        <f>IF(MOV_CC_NACIONAL!C1980="","",MOV_CC_NACIONAL!C1980)</f>
        <v/>
      </c>
      <c r="E1980" s="32" t="str">
        <f t="shared" si="1"/>
        <v/>
      </c>
      <c r="F1980" s="32" t="str">
        <f>IFERROR(__xludf.DUMMYFUNCTION("IF(C1980="""","""", OR(REGEXMATCH(LOWER(C1980),""cuota""), REGEXMATCH(C1980,""\d+\s*/\s*\d+"")))"),"")</f>
        <v/>
      </c>
      <c r="G1980" s="32" t="str">
        <f>IFERROR(__xludf.DUMMYFUNCTION("IFERROR(VALUE(REGEXEXTRACT(C1980,""(\d+)\s*/\s*\d+"")),"""")"),"")</f>
        <v/>
      </c>
      <c r="H1980" s="32" t="str">
        <f>IFERROR(__xludf.DUMMYFUNCTION("IFERROR(VALUE(REGEXEXTRACT(C1980,""\d+\s*/\s*(\d+)"")),"""")"),"")</f>
        <v/>
      </c>
      <c r="I1980" s="32" t="str">
        <f t="shared" si="2"/>
        <v/>
      </c>
      <c r="J1980" s="33" t="str">
        <f t="shared" si="3"/>
        <v/>
      </c>
    </row>
    <row r="1981" ht="15.75" customHeight="1">
      <c r="A1981" s="22" t="s">
        <v>113</v>
      </c>
      <c r="B1981" s="22" t="str">
        <f>IF(MOV_CC_NACIONAL!A1981="","",MOV_CC_NACIONAL!A1981)</f>
        <v/>
      </c>
      <c r="C1981" s="22" t="str">
        <f>IF(MOV_CC_NACIONAL!B1981="","",MOV_CC_NACIONAL!B1981)</f>
        <v/>
      </c>
      <c r="D1981" s="34" t="str">
        <f>IF(MOV_CC_NACIONAL!C1981="","",MOV_CC_NACIONAL!C1981)</f>
        <v/>
      </c>
      <c r="E1981" s="22" t="str">
        <f t="shared" si="1"/>
        <v/>
      </c>
      <c r="F1981" s="22" t="str">
        <f>IFERROR(__xludf.DUMMYFUNCTION("IF(C1981="""","""", OR(REGEXMATCH(LOWER(C1981),""cuota""), REGEXMATCH(C1981,""\d+\s*/\s*\d+"")))"),"")</f>
        <v/>
      </c>
      <c r="G1981" s="22" t="str">
        <f>IFERROR(__xludf.DUMMYFUNCTION("IFERROR(VALUE(REGEXEXTRACT(C1981,""(\d+)\s*/\s*\d+"")),"""")"),"")</f>
        <v/>
      </c>
      <c r="H1981" s="22" t="str">
        <f>IFERROR(__xludf.DUMMYFUNCTION("IFERROR(VALUE(REGEXEXTRACT(C1981,""\d+\s*/\s*(\d+)"")),"""")"),"")</f>
        <v/>
      </c>
      <c r="I1981" s="22" t="str">
        <f t="shared" si="2"/>
        <v/>
      </c>
      <c r="J1981" s="34" t="str">
        <f t="shared" si="3"/>
        <v/>
      </c>
    </row>
    <row r="1982" ht="15.75" customHeight="1">
      <c r="A1982" s="32" t="s">
        <v>113</v>
      </c>
      <c r="B1982" s="32" t="str">
        <f>IF(MOV_CC_NACIONAL!A1982="","",MOV_CC_NACIONAL!A1982)</f>
        <v/>
      </c>
      <c r="C1982" s="32" t="str">
        <f>IF(MOV_CC_NACIONAL!B1982="","",MOV_CC_NACIONAL!B1982)</f>
        <v/>
      </c>
      <c r="D1982" s="33" t="str">
        <f>IF(MOV_CC_NACIONAL!C1982="","",MOV_CC_NACIONAL!C1982)</f>
        <v/>
      </c>
      <c r="E1982" s="32" t="str">
        <f t="shared" si="1"/>
        <v/>
      </c>
      <c r="F1982" s="32" t="str">
        <f>IFERROR(__xludf.DUMMYFUNCTION("IF(C1982="""","""", OR(REGEXMATCH(LOWER(C1982),""cuota""), REGEXMATCH(C1982,""\d+\s*/\s*\d+"")))"),"")</f>
        <v/>
      </c>
      <c r="G1982" s="32" t="str">
        <f>IFERROR(__xludf.DUMMYFUNCTION("IFERROR(VALUE(REGEXEXTRACT(C1982,""(\d+)\s*/\s*\d+"")),"""")"),"")</f>
        <v/>
      </c>
      <c r="H1982" s="32" t="str">
        <f>IFERROR(__xludf.DUMMYFUNCTION("IFERROR(VALUE(REGEXEXTRACT(C1982,""\d+\s*/\s*(\d+)"")),"""")"),"")</f>
        <v/>
      </c>
      <c r="I1982" s="32" t="str">
        <f t="shared" si="2"/>
        <v/>
      </c>
      <c r="J1982" s="33" t="str">
        <f t="shared" si="3"/>
        <v/>
      </c>
    </row>
    <row r="1983" ht="15.75" customHeight="1">
      <c r="A1983" s="22" t="s">
        <v>113</v>
      </c>
      <c r="B1983" s="22" t="str">
        <f>IF(MOV_CC_NACIONAL!A1983="","",MOV_CC_NACIONAL!A1983)</f>
        <v/>
      </c>
      <c r="C1983" s="22" t="str">
        <f>IF(MOV_CC_NACIONAL!B1983="","",MOV_CC_NACIONAL!B1983)</f>
        <v/>
      </c>
      <c r="D1983" s="34" t="str">
        <f>IF(MOV_CC_NACIONAL!C1983="","",MOV_CC_NACIONAL!C1983)</f>
        <v/>
      </c>
      <c r="E1983" s="22" t="str">
        <f t="shared" si="1"/>
        <v/>
      </c>
      <c r="F1983" s="22" t="str">
        <f>IFERROR(__xludf.DUMMYFUNCTION("IF(C1983="""","""", OR(REGEXMATCH(LOWER(C1983),""cuota""), REGEXMATCH(C1983,""\d+\s*/\s*\d+"")))"),"")</f>
        <v/>
      </c>
      <c r="G1983" s="22" t="str">
        <f>IFERROR(__xludf.DUMMYFUNCTION("IFERROR(VALUE(REGEXEXTRACT(C1983,""(\d+)\s*/\s*\d+"")),"""")"),"")</f>
        <v/>
      </c>
      <c r="H1983" s="22" t="str">
        <f>IFERROR(__xludf.DUMMYFUNCTION("IFERROR(VALUE(REGEXEXTRACT(C1983,""\d+\s*/\s*(\d+)"")),"""")"),"")</f>
        <v/>
      </c>
      <c r="I1983" s="22" t="str">
        <f t="shared" si="2"/>
        <v/>
      </c>
      <c r="J1983" s="34" t="str">
        <f t="shared" si="3"/>
        <v/>
      </c>
    </row>
    <row r="1984" ht="15.75" customHeight="1">
      <c r="A1984" s="32" t="s">
        <v>113</v>
      </c>
      <c r="B1984" s="32" t="str">
        <f>IF(MOV_CC_NACIONAL!A1984="","",MOV_CC_NACIONAL!A1984)</f>
        <v/>
      </c>
      <c r="C1984" s="32" t="str">
        <f>IF(MOV_CC_NACIONAL!B1984="","",MOV_CC_NACIONAL!B1984)</f>
        <v/>
      </c>
      <c r="D1984" s="33" t="str">
        <f>IF(MOV_CC_NACIONAL!C1984="","",MOV_CC_NACIONAL!C1984)</f>
        <v/>
      </c>
      <c r="E1984" s="32" t="str">
        <f t="shared" si="1"/>
        <v/>
      </c>
      <c r="F1984" s="32" t="str">
        <f>IFERROR(__xludf.DUMMYFUNCTION("IF(C1984="""","""", OR(REGEXMATCH(LOWER(C1984),""cuota""), REGEXMATCH(C1984,""\d+\s*/\s*\d+"")))"),"")</f>
        <v/>
      </c>
      <c r="G1984" s="32" t="str">
        <f>IFERROR(__xludf.DUMMYFUNCTION("IFERROR(VALUE(REGEXEXTRACT(C1984,""(\d+)\s*/\s*\d+"")),"""")"),"")</f>
        <v/>
      </c>
      <c r="H1984" s="32" t="str">
        <f>IFERROR(__xludf.DUMMYFUNCTION("IFERROR(VALUE(REGEXEXTRACT(C1984,""\d+\s*/\s*(\d+)"")),"""")"),"")</f>
        <v/>
      </c>
      <c r="I1984" s="32" t="str">
        <f t="shared" si="2"/>
        <v/>
      </c>
      <c r="J1984" s="33" t="str">
        <f t="shared" si="3"/>
        <v/>
      </c>
    </row>
    <row r="1985" ht="15.75" customHeight="1">
      <c r="A1985" s="22" t="s">
        <v>113</v>
      </c>
      <c r="B1985" s="22" t="str">
        <f>IF(MOV_CC_NACIONAL!A1985="","",MOV_CC_NACIONAL!A1985)</f>
        <v/>
      </c>
      <c r="C1985" s="22" t="str">
        <f>IF(MOV_CC_NACIONAL!B1985="","",MOV_CC_NACIONAL!B1985)</f>
        <v/>
      </c>
      <c r="D1985" s="34" t="str">
        <f>IF(MOV_CC_NACIONAL!C1985="","",MOV_CC_NACIONAL!C1985)</f>
        <v/>
      </c>
      <c r="E1985" s="22" t="str">
        <f t="shared" si="1"/>
        <v/>
      </c>
      <c r="F1985" s="22" t="str">
        <f>IFERROR(__xludf.DUMMYFUNCTION("IF(C1985="""","""", OR(REGEXMATCH(LOWER(C1985),""cuota""), REGEXMATCH(C1985,""\d+\s*/\s*\d+"")))"),"")</f>
        <v/>
      </c>
      <c r="G1985" s="22" t="str">
        <f>IFERROR(__xludf.DUMMYFUNCTION("IFERROR(VALUE(REGEXEXTRACT(C1985,""(\d+)\s*/\s*\d+"")),"""")"),"")</f>
        <v/>
      </c>
      <c r="H1985" s="22" t="str">
        <f>IFERROR(__xludf.DUMMYFUNCTION("IFERROR(VALUE(REGEXEXTRACT(C1985,""\d+\s*/\s*(\d+)"")),"""")"),"")</f>
        <v/>
      </c>
      <c r="I1985" s="22" t="str">
        <f t="shared" si="2"/>
        <v/>
      </c>
      <c r="J1985" s="34" t="str">
        <f t="shared" si="3"/>
        <v/>
      </c>
    </row>
    <row r="1986" ht="15.75" customHeight="1">
      <c r="A1986" s="32" t="s">
        <v>113</v>
      </c>
      <c r="B1986" s="32" t="str">
        <f>IF(MOV_CC_NACIONAL!A1986="","",MOV_CC_NACIONAL!A1986)</f>
        <v/>
      </c>
      <c r="C1986" s="32" t="str">
        <f>IF(MOV_CC_NACIONAL!B1986="","",MOV_CC_NACIONAL!B1986)</f>
        <v/>
      </c>
      <c r="D1986" s="33" t="str">
        <f>IF(MOV_CC_NACIONAL!C1986="","",MOV_CC_NACIONAL!C1986)</f>
        <v/>
      </c>
      <c r="E1986" s="32" t="str">
        <f t="shared" si="1"/>
        <v/>
      </c>
      <c r="F1986" s="32" t="str">
        <f>IFERROR(__xludf.DUMMYFUNCTION("IF(C1986="""","""", OR(REGEXMATCH(LOWER(C1986),""cuota""), REGEXMATCH(C1986,""\d+\s*/\s*\d+"")))"),"")</f>
        <v/>
      </c>
      <c r="G1986" s="32" t="str">
        <f>IFERROR(__xludf.DUMMYFUNCTION("IFERROR(VALUE(REGEXEXTRACT(C1986,""(\d+)\s*/\s*\d+"")),"""")"),"")</f>
        <v/>
      </c>
      <c r="H1986" s="32" t="str">
        <f>IFERROR(__xludf.DUMMYFUNCTION("IFERROR(VALUE(REGEXEXTRACT(C1986,""\d+\s*/\s*(\d+)"")),"""")"),"")</f>
        <v/>
      </c>
      <c r="I1986" s="32" t="str">
        <f t="shared" si="2"/>
        <v/>
      </c>
      <c r="J1986" s="33" t="str">
        <f t="shared" si="3"/>
        <v/>
      </c>
    </row>
    <row r="1987" ht="15.75" customHeight="1">
      <c r="A1987" s="22" t="s">
        <v>113</v>
      </c>
      <c r="B1987" s="22" t="str">
        <f>IF(MOV_CC_NACIONAL!A1987="","",MOV_CC_NACIONAL!A1987)</f>
        <v/>
      </c>
      <c r="C1987" s="22" t="str">
        <f>IF(MOV_CC_NACIONAL!B1987="","",MOV_CC_NACIONAL!B1987)</f>
        <v/>
      </c>
      <c r="D1987" s="34" t="str">
        <f>IF(MOV_CC_NACIONAL!C1987="","",MOV_CC_NACIONAL!C1987)</f>
        <v/>
      </c>
      <c r="E1987" s="22" t="str">
        <f t="shared" si="1"/>
        <v/>
      </c>
      <c r="F1987" s="22" t="str">
        <f>IFERROR(__xludf.DUMMYFUNCTION("IF(C1987="""","""", OR(REGEXMATCH(LOWER(C1987),""cuota""), REGEXMATCH(C1987,""\d+\s*/\s*\d+"")))"),"")</f>
        <v/>
      </c>
      <c r="G1987" s="22" t="str">
        <f>IFERROR(__xludf.DUMMYFUNCTION("IFERROR(VALUE(REGEXEXTRACT(C1987,""(\d+)\s*/\s*\d+"")),"""")"),"")</f>
        <v/>
      </c>
      <c r="H1987" s="22" t="str">
        <f>IFERROR(__xludf.DUMMYFUNCTION("IFERROR(VALUE(REGEXEXTRACT(C1987,""\d+\s*/\s*(\d+)"")),"""")"),"")</f>
        <v/>
      </c>
      <c r="I1987" s="22" t="str">
        <f t="shared" si="2"/>
        <v/>
      </c>
      <c r="J1987" s="34" t="str">
        <f t="shared" si="3"/>
        <v/>
      </c>
    </row>
    <row r="1988" ht="15.75" customHeight="1">
      <c r="A1988" s="32" t="s">
        <v>113</v>
      </c>
      <c r="B1988" s="32" t="str">
        <f>IF(MOV_CC_NACIONAL!A1988="","",MOV_CC_NACIONAL!A1988)</f>
        <v/>
      </c>
      <c r="C1988" s="32" t="str">
        <f>IF(MOV_CC_NACIONAL!B1988="","",MOV_CC_NACIONAL!B1988)</f>
        <v/>
      </c>
      <c r="D1988" s="33" t="str">
        <f>IF(MOV_CC_NACIONAL!C1988="","",MOV_CC_NACIONAL!C1988)</f>
        <v/>
      </c>
      <c r="E1988" s="32" t="str">
        <f t="shared" si="1"/>
        <v/>
      </c>
      <c r="F1988" s="32" t="str">
        <f>IFERROR(__xludf.DUMMYFUNCTION("IF(C1988="""","""", OR(REGEXMATCH(LOWER(C1988),""cuota""), REGEXMATCH(C1988,""\d+\s*/\s*\d+"")))"),"")</f>
        <v/>
      </c>
      <c r="G1988" s="32" t="str">
        <f>IFERROR(__xludf.DUMMYFUNCTION("IFERROR(VALUE(REGEXEXTRACT(C1988,""(\d+)\s*/\s*\d+"")),"""")"),"")</f>
        <v/>
      </c>
      <c r="H1988" s="32" t="str">
        <f>IFERROR(__xludf.DUMMYFUNCTION("IFERROR(VALUE(REGEXEXTRACT(C1988,""\d+\s*/\s*(\d+)"")),"""")"),"")</f>
        <v/>
      </c>
      <c r="I1988" s="32" t="str">
        <f t="shared" si="2"/>
        <v/>
      </c>
      <c r="J1988" s="33" t="str">
        <f t="shared" si="3"/>
        <v/>
      </c>
    </row>
    <row r="1989" ht="15.75" customHeight="1">
      <c r="A1989" s="22" t="s">
        <v>113</v>
      </c>
      <c r="B1989" s="22" t="str">
        <f>IF(MOV_CC_NACIONAL!A1989="","",MOV_CC_NACIONAL!A1989)</f>
        <v/>
      </c>
      <c r="C1989" s="22" t="str">
        <f>IF(MOV_CC_NACIONAL!B1989="","",MOV_CC_NACIONAL!B1989)</f>
        <v/>
      </c>
      <c r="D1989" s="34" t="str">
        <f>IF(MOV_CC_NACIONAL!C1989="","",MOV_CC_NACIONAL!C1989)</f>
        <v/>
      </c>
      <c r="E1989" s="22" t="str">
        <f t="shared" si="1"/>
        <v/>
      </c>
      <c r="F1989" s="22" t="str">
        <f>IFERROR(__xludf.DUMMYFUNCTION("IF(C1989="""","""", OR(REGEXMATCH(LOWER(C1989),""cuota""), REGEXMATCH(C1989,""\d+\s*/\s*\d+"")))"),"")</f>
        <v/>
      </c>
      <c r="G1989" s="22" t="str">
        <f>IFERROR(__xludf.DUMMYFUNCTION("IFERROR(VALUE(REGEXEXTRACT(C1989,""(\d+)\s*/\s*\d+"")),"""")"),"")</f>
        <v/>
      </c>
      <c r="H1989" s="22" t="str">
        <f>IFERROR(__xludf.DUMMYFUNCTION("IFERROR(VALUE(REGEXEXTRACT(C1989,""\d+\s*/\s*(\d+)"")),"""")"),"")</f>
        <v/>
      </c>
      <c r="I1989" s="22" t="str">
        <f t="shared" si="2"/>
        <v/>
      </c>
      <c r="J1989" s="34" t="str">
        <f t="shared" si="3"/>
        <v/>
      </c>
    </row>
    <row r="1990" ht="15.75" customHeight="1">
      <c r="A1990" s="32" t="s">
        <v>113</v>
      </c>
      <c r="B1990" s="32" t="str">
        <f>IF(MOV_CC_NACIONAL!A1990="","",MOV_CC_NACIONAL!A1990)</f>
        <v/>
      </c>
      <c r="C1990" s="32" t="str">
        <f>IF(MOV_CC_NACIONAL!B1990="","",MOV_CC_NACIONAL!B1990)</f>
        <v/>
      </c>
      <c r="D1990" s="33" t="str">
        <f>IF(MOV_CC_NACIONAL!C1990="","",MOV_CC_NACIONAL!C1990)</f>
        <v/>
      </c>
      <c r="E1990" s="32" t="str">
        <f t="shared" si="1"/>
        <v/>
      </c>
      <c r="F1990" s="32" t="str">
        <f>IFERROR(__xludf.DUMMYFUNCTION("IF(C1990="""","""", OR(REGEXMATCH(LOWER(C1990),""cuota""), REGEXMATCH(C1990,""\d+\s*/\s*\d+"")))"),"")</f>
        <v/>
      </c>
      <c r="G1990" s="32" t="str">
        <f>IFERROR(__xludf.DUMMYFUNCTION("IFERROR(VALUE(REGEXEXTRACT(C1990,""(\d+)\s*/\s*\d+"")),"""")"),"")</f>
        <v/>
      </c>
      <c r="H1990" s="32" t="str">
        <f>IFERROR(__xludf.DUMMYFUNCTION("IFERROR(VALUE(REGEXEXTRACT(C1990,""\d+\s*/\s*(\d+)"")),"""")"),"")</f>
        <v/>
      </c>
      <c r="I1990" s="32" t="str">
        <f t="shared" si="2"/>
        <v/>
      </c>
      <c r="J1990" s="33" t="str">
        <f t="shared" si="3"/>
        <v/>
      </c>
    </row>
    <row r="1991" ht="15.75" customHeight="1">
      <c r="A1991" s="22" t="s">
        <v>113</v>
      </c>
      <c r="B1991" s="22" t="str">
        <f>IF(MOV_CC_NACIONAL!A1991="","",MOV_CC_NACIONAL!A1991)</f>
        <v/>
      </c>
      <c r="C1991" s="22" t="str">
        <f>IF(MOV_CC_NACIONAL!B1991="","",MOV_CC_NACIONAL!B1991)</f>
        <v/>
      </c>
      <c r="D1991" s="34" t="str">
        <f>IF(MOV_CC_NACIONAL!C1991="","",MOV_CC_NACIONAL!C1991)</f>
        <v/>
      </c>
      <c r="E1991" s="22" t="str">
        <f t="shared" si="1"/>
        <v/>
      </c>
      <c r="F1991" s="22" t="str">
        <f>IFERROR(__xludf.DUMMYFUNCTION("IF(C1991="""","""", OR(REGEXMATCH(LOWER(C1991),""cuota""), REGEXMATCH(C1991,""\d+\s*/\s*\d+"")))"),"")</f>
        <v/>
      </c>
      <c r="G1991" s="22" t="str">
        <f>IFERROR(__xludf.DUMMYFUNCTION("IFERROR(VALUE(REGEXEXTRACT(C1991,""(\d+)\s*/\s*\d+"")),"""")"),"")</f>
        <v/>
      </c>
      <c r="H1991" s="22" t="str">
        <f>IFERROR(__xludf.DUMMYFUNCTION("IFERROR(VALUE(REGEXEXTRACT(C1991,""\d+\s*/\s*(\d+)"")),"""")"),"")</f>
        <v/>
      </c>
      <c r="I1991" s="22" t="str">
        <f t="shared" si="2"/>
        <v/>
      </c>
      <c r="J1991" s="34" t="str">
        <f t="shared" si="3"/>
        <v/>
      </c>
    </row>
    <row r="1992" ht="15.75" customHeight="1">
      <c r="A1992" s="32" t="s">
        <v>113</v>
      </c>
      <c r="B1992" s="32" t="str">
        <f>IF(MOV_CC_NACIONAL!A1992="","",MOV_CC_NACIONAL!A1992)</f>
        <v/>
      </c>
      <c r="C1992" s="32" t="str">
        <f>IF(MOV_CC_NACIONAL!B1992="","",MOV_CC_NACIONAL!B1992)</f>
        <v/>
      </c>
      <c r="D1992" s="33" t="str">
        <f>IF(MOV_CC_NACIONAL!C1992="","",MOV_CC_NACIONAL!C1992)</f>
        <v/>
      </c>
      <c r="E1992" s="32" t="str">
        <f t="shared" si="1"/>
        <v/>
      </c>
      <c r="F1992" s="32" t="str">
        <f>IFERROR(__xludf.DUMMYFUNCTION("IF(C1992="""","""", OR(REGEXMATCH(LOWER(C1992),""cuota""), REGEXMATCH(C1992,""\d+\s*/\s*\d+"")))"),"")</f>
        <v/>
      </c>
      <c r="G1992" s="32" t="str">
        <f>IFERROR(__xludf.DUMMYFUNCTION("IFERROR(VALUE(REGEXEXTRACT(C1992,""(\d+)\s*/\s*\d+"")),"""")"),"")</f>
        <v/>
      </c>
      <c r="H1992" s="32" t="str">
        <f>IFERROR(__xludf.DUMMYFUNCTION("IFERROR(VALUE(REGEXEXTRACT(C1992,""\d+\s*/\s*(\d+)"")),"""")"),"")</f>
        <v/>
      </c>
      <c r="I1992" s="32" t="str">
        <f t="shared" si="2"/>
        <v/>
      </c>
      <c r="J1992" s="33" t="str">
        <f t="shared" si="3"/>
        <v/>
      </c>
    </row>
    <row r="1993" ht="15.75" customHeight="1">
      <c r="A1993" s="22" t="s">
        <v>113</v>
      </c>
      <c r="B1993" s="22" t="str">
        <f>IF(MOV_CC_NACIONAL!A1993="","",MOV_CC_NACIONAL!A1993)</f>
        <v/>
      </c>
      <c r="C1993" s="22" t="str">
        <f>IF(MOV_CC_NACIONAL!B1993="","",MOV_CC_NACIONAL!B1993)</f>
        <v/>
      </c>
      <c r="D1993" s="34" t="str">
        <f>IF(MOV_CC_NACIONAL!C1993="","",MOV_CC_NACIONAL!C1993)</f>
        <v/>
      </c>
      <c r="E1993" s="22" t="str">
        <f t="shared" si="1"/>
        <v/>
      </c>
      <c r="F1993" s="22" t="str">
        <f>IFERROR(__xludf.DUMMYFUNCTION("IF(C1993="""","""", OR(REGEXMATCH(LOWER(C1993),""cuota""), REGEXMATCH(C1993,""\d+\s*/\s*\d+"")))"),"")</f>
        <v/>
      </c>
      <c r="G1993" s="22" t="str">
        <f>IFERROR(__xludf.DUMMYFUNCTION("IFERROR(VALUE(REGEXEXTRACT(C1993,""(\d+)\s*/\s*\d+"")),"""")"),"")</f>
        <v/>
      </c>
      <c r="H1993" s="22" t="str">
        <f>IFERROR(__xludf.DUMMYFUNCTION("IFERROR(VALUE(REGEXEXTRACT(C1993,""\d+\s*/\s*(\d+)"")),"""")"),"")</f>
        <v/>
      </c>
      <c r="I1993" s="22" t="str">
        <f t="shared" si="2"/>
        <v/>
      </c>
      <c r="J1993" s="34" t="str">
        <f t="shared" si="3"/>
        <v/>
      </c>
    </row>
    <row r="1994" ht="15.75" customHeight="1">
      <c r="A1994" s="32" t="s">
        <v>113</v>
      </c>
      <c r="B1994" s="32" t="str">
        <f>IF(MOV_CC_NACIONAL!A1994="","",MOV_CC_NACIONAL!A1994)</f>
        <v/>
      </c>
      <c r="C1994" s="32" t="str">
        <f>IF(MOV_CC_NACIONAL!B1994="","",MOV_CC_NACIONAL!B1994)</f>
        <v/>
      </c>
      <c r="D1994" s="33" t="str">
        <f>IF(MOV_CC_NACIONAL!C1994="","",MOV_CC_NACIONAL!C1994)</f>
        <v/>
      </c>
      <c r="E1994" s="32" t="str">
        <f t="shared" si="1"/>
        <v/>
      </c>
      <c r="F1994" s="32" t="str">
        <f>IFERROR(__xludf.DUMMYFUNCTION("IF(C1994="""","""", OR(REGEXMATCH(LOWER(C1994),""cuota""), REGEXMATCH(C1994,""\d+\s*/\s*\d+"")))"),"")</f>
        <v/>
      </c>
      <c r="G1994" s="32" t="str">
        <f>IFERROR(__xludf.DUMMYFUNCTION("IFERROR(VALUE(REGEXEXTRACT(C1994,""(\d+)\s*/\s*\d+"")),"""")"),"")</f>
        <v/>
      </c>
      <c r="H1994" s="32" t="str">
        <f>IFERROR(__xludf.DUMMYFUNCTION("IFERROR(VALUE(REGEXEXTRACT(C1994,""\d+\s*/\s*(\d+)"")),"""")"),"")</f>
        <v/>
      </c>
      <c r="I1994" s="32" t="str">
        <f t="shared" si="2"/>
        <v/>
      </c>
      <c r="J1994" s="33" t="str">
        <f t="shared" si="3"/>
        <v/>
      </c>
    </row>
    <row r="1995" ht="15.75" customHeight="1">
      <c r="A1995" s="22" t="s">
        <v>113</v>
      </c>
      <c r="B1995" s="22" t="str">
        <f>IF(MOV_CC_NACIONAL!A1995="","",MOV_CC_NACIONAL!A1995)</f>
        <v/>
      </c>
      <c r="C1995" s="22" t="str">
        <f>IF(MOV_CC_NACIONAL!B1995="","",MOV_CC_NACIONAL!B1995)</f>
        <v/>
      </c>
      <c r="D1995" s="34" t="str">
        <f>IF(MOV_CC_NACIONAL!C1995="","",MOV_CC_NACIONAL!C1995)</f>
        <v/>
      </c>
      <c r="E1995" s="22" t="str">
        <f t="shared" si="1"/>
        <v/>
      </c>
      <c r="F1995" s="22" t="str">
        <f>IFERROR(__xludf.DUMMYFUNCTION("IF(C1995="""","""", OR(REGEXMATCH(LOWER(C1995),""cuota""), REGEXMATCH(C1995,""\d+\s*/\s*\d+"")))"),"")</f>
        <v/>
      </c>
      <c r="G1995" s="22" t="str">
        <f>IFERROR(__xludf.DUMMYFUNCTION("IFERROR(VALUE(REGEXEXTRACT(C1995,""(\d+)\s*/\s*\d+"")),"""")"),"")</f>
        <v/>
      </c>
      <c r="H1995" s="22" t="str">
        <f>IFERROR(__xludf.DUMMYFUNCTION("IFERROR(VALUE(REGEXEXTRACT(C1995,""\d+\s*/\s*(\d+)"")),"""")"),"")</f>
        <v/>
      </c>
      <c r="I1995" s="22" t="str">
        <f t="shared" si="2"/>
        <v/>
      </c>
      <c r="J1995" s="34" t="str">
        <f t="shared" si="3"/>
        <v/>
      </c>
    </row>
    <row r="1996" ht="15.75" customHeight="1">
      <c r="A1996" s="32" t="s">
        <v>113</v>
      </c>
      <c r="B1996" s="32" t="str">
        <f>IF(MOV_CC_NACIONAL!A1996="","",MOV_CC_NACIONAL!A1996)</f>
        <v/>
      </c>
      <c r="C1996" s="32" t="str">
        <f>IF(MOV_CC_NACIONAL!B1996="","",MOV_CC_NACIONAL!B1996)</f>
        <v/>
      </c>
      <c r="D1996" s="33" t="str">
        <f>IF(MOV_CC_NACIONAL!C1996="","",MOV_CC_NACIONAL!C1996)</f>
        <v/>
      </c>
      <c r="E1996" s="32" t="str">
        <f t="shared" si="1"/>
        <v/>
      </c>
      <c r="F1996" s="32" t="str">
        <f>IFERROR(__xludf.DUMMYFUNCTION("IF(C1996="""","""", OR(REGEXMATCH(LOWER(C1996),""cuota""), REGEXMATCH(C1996,""\d+\s*/\s*\d+"")))"),"")</f>
        <v/>
      </c>
      <c r="G1996" s="32" t="str">
        <f>IFERROR(__xludf.DUMMYFUNCTION("IFERROR(VALUE(REGEXEXTRACT(C1996,""(\d+)\s*/\s*\d+"")),"""")"),"")</f>
        <v/>
      </c>
      <c r="H1996" s="32" t="str">
        <f>IFERROR(__xludf.DUMMYFUNCTION("IFERROR(VALUE(REGEXEXTRACT(C1996,""\d+\s*/\s*(\d+)"")),"""")"),"")</f>
        <v/>
      </c>
      <c r="I1996" s="32" t="str">
        <f t="shared" si="2"/>
        <v/>
      </c>
      <c r="J1996" s="33" t="str">
        <f t="shared" si="3"/>
        <v/>
      </c>
    </row>
    <row r="1997" ht="15.75" customHeight="1">
      <c r="A1997" s="22" t="s">
        <v>113</v>
      </c>
      <c r="B1997" s="22" t="str">
        <f>IF(MOV_CC_NACIONAL!A1997="","",MOV_CC_NACIONAL!A1997)</f>
        <v/>
      </c>
      <c r="C1997" s="22" t="str">
        <f>IF(MOV_CC_NACIONAL!B1997="","",MOV_CC_NACIONAL!B1997)</f>
        <v/>
      </c>
      <c r="D1997" s="34" t="str">
        <f>IF(MOV_CC_NACIONAL!C1997="","",MOV_CC_NACIONAL!C1997)</f>
        <v/>
      </c>
      <c r="E1997" s="22" t="str">
        <f t="shared" si="1"/>
        <v/>
      </c>
      <c r="F1997" s="22" t="str">
        <f>IFERROR(__xludf.DUMMYFUNCTION("IF(C1997="""","""", OR(REGEXMATCH(LOWER(C1997),""cuota""), REGEXMATCH(C1997,""\d+\s*/\s*\d+"")))"),"")</f>
        <v/>
      </c>
      <c r="G1997" s="22" t="str">
        <f>IFERROR(__xludf.DUMMYFUNCTION("IFERROR(VALUE(REGEXEXTRACT(C1997,""(\d+)\s*/\s*\d+"")),"""")"),"")</f>
        <v/>
      </c>
      <c r="H1997" s="22" t="str">
        <f>IFERROR(__xludf.DUMMYFUNCTION("IFERROR(VALUE(REGEXEXTRACT(C1997,""\d+\s*/\s*(\d+)"")),"""")"),"")</f>
        <v/>
      </c>
      <c r="I1997" s="22" t="str">
        <f t="shared" si="2"/>
        <v/>
      </c>
      <c r="J1997" s="34" t="str">
        <f t="shared" si="3"/>
        <v/>
      </c>
    </row>
    <row r="1998" ht="15.75" customHeight="1">
      <c r="A1998" s="32" t="s">
        <v>113</v>
      </c>
      <c r="B1998" s="32" t="str">
        <f>IF(MOV_CC_NACIONAL!A1998="","",MOV_CC_NACIONAL!A1998)</f>
        <v/>
      </c>
      <c r="C1998" s="32" t="str">
        <f>IF(MOV_CC_NACIONAL!B1998="","",MOV_CC_NACIONAL!B1998)</f>
        <v/>
      </c>
      <c r="D1998" s="33" t="str">
        <f>IF(MOV_CC_NACIONAL!C1998="","",MOV_CC_NACIONAL!C1998)</f>
        <v/>
      </c>
      <c r="E1998" s="32" t="str">
        <f t="shared" si="1"/>
        <v/>
      </c>
      <c r="F1998" s="32" t="str">
        <f>IFERROR(__xludf.DUMMYFUNCTION("IF(C1998="""","""", OR(REGEXMATCH(LOWER(C1998),""cuota""), REGEXMATCH(C1998,""\d+\s*/\s*\d+"")))"),"")</f>
        <v/>
      </c>
      <c r="G1998" s="32" t="str">
        <f>IFERROR(__xludf.DUMMYFUNCTION("IFERROR(VALUE(REGEXEXTRACT(C1998,""(\d+)\s*/\s*\d+"")),"""")"),"")</f>
        <v/>
      </c>
      <c r="H1998" s="32" t="str">
        <f>IFERROR(__xludf.DUMMYFUNCTION("IFERROR(VALUE(REGEXEXTRACT(C1998,""\d+\s*/\s*(\d+)"")),"""")"),"")</f>
        <v/>
      </c>
      <c r="I1998" s="32" t="str">
        <f t="shared" si="2"/>
        <v/>
      </c>
      <c r="J1998" s="33" t="str">
        <f t="shared" si="3"/>
        <v/>
      </c>
    </row>
    <row r="1999" ht="15.75" customHeight="1">
      <c r="A1999" s="22" t="s">
        <v>113</v>
      </c>
      <c r="B1999" s="22" t="str">
        <f>IF(MOV_CC_NACIONAL!A1999="","",MOV_CC_NACIONAL!A1999)</f>
        <v/>
      </c>
      <c r="C1999" s="22" t="str">
        <f>IF(MOV_CC_NACIONAL!B1999="","",MOV_CC_NACIONAL!B1999)</f>
        <v/>
      </c>
      <c r="D1999" s="34" t="str">
        <f>IF(MOV_CC_NACIONAL!C1999="","",MOV_CC_NACIONAL!C1999)</f>
        <v/>
      </c>
      <c r="E1999" s="22" t="str">
        <f t="shared" si="1"/>
        <v/>
      </c>
      <c r="F1999" s="22" t="str">
        <f>IFERROR(__xludf.DUMMYFUNCTION("IF(C1999="""","""", OR(REGEXMATCH(LOWER(C1999),""cuota""), REGEXMATCH(C1999,""\d+\s*/\s*\d+"")))"),"")</f>
        <v/>
      </c>
      <c r="G1999" s="22" t="str">
        <f>IFERROR(__xludf.DUMMYFUNCTION("IFERROR(VALUE(REGEXEXTRACT(C1999,""(\d+)\s*/\s*\d+"")),"""")"),"")</f>
        <v/>
      </c>
      <c r="H1999" s="22" t="str">
        <f>IFERROR(__xludf.DUMMYFUNCTION("IFERROR(VALUE(REGEXEXTRACT(C1999,""\d+\s*/\s*(\d+)"")),"""")"),"")</f>
        <v/>
      </c>
      <c r="I1999" s="22" t="str">
        <f t="shared" si="2"/>
        <v/>
      </c>
      <c r="J1999" s="34" t="str">
        <f t="shared" si="3"/>
        <v/>
      </c>
    </row>
    <row r="2000" ht="15.75" customHeight="1">
      <c r="A2000" s="32" t="s">
        <v>113</v>
      </c>
      <c r="B2000" s="32" t="str">
        <f>IF(MOV_CC_NACIONAL!A2000="","",MOV_CC_NACIONAL!A2000)</f>
        <v/>
      </c>
      <c r="C2000" s="32" t="str">
        <f>IF(MOV_CC_NACIONAL!B2000="","",MOV_CC_NACIONAL!B2000)</f>
        <v/>
      </c>
      <c r="D2000" s="33" t="str">
        <f>IF(MOV_CC_NACIONAL!C2000="","",MOV_CC_NACIONAL!C2000)</f>
        <v/>
      </c>
      <c r="E2000" s="32" t="str">
        <f t="shared" si="1"/>
        <v/>
      </c>
      <c r="F2000" s="32" t="str">
        <f>IFERROR(__xludf.DUMMYFUNCTION("IF(C2000="""","""", OR(REGEXMATCH(LOWER(C2000),""cuota""), REGEXMATCH(C2000,""\d+\s*/\s*\d+"")))"),"")</f>
        <v/>
      </c>
      <c r="G2000" s="32" t="str">
        <f>IFERROR(__xludf.DUMMYFUNCTION("IFERROR(VALUE(REGEXEXTRACT(C2000,""(\d+)\s*/\s*\d+"")),"""")"),"")</f>
        <v/>
      </c>
      <c r="H2000" s="32" t="str">
        <f>IFERROR(__xludf.DUMMYFUNCTION("IFERROR(VALUE(REGEXEXTRACT(C2000,""\d+\s*/\s*(\d+)"")),"""")"),"")</f>
        <v/>
      </c>
      <c r="I2000" s="32" t="str">
        <f t="shared" si="2"/>
        <v/>
      </c>
      <c r="J2000" s="33" t="str">
        <f t="shared" si="3"/>
        <v/>
      </c>
    </row>
    <row r="2001" ht="15.75" customHeight="1">
      <c r="A2001" s="22" t="s">
        <v>113</v>
      </c>
      <c r="B2001" s="22" t="str">
        <f>IF(MOV_CC_NACIONAL!A2001="","",MOV_CC_NACIONAL!A2001)</f>
        <v/>
      </c>
      <c r="C2001" s="22" t="str">
        <f>IF(MOV_CC_NACIONAL!B2001="","",MOV_CC_NACIONAL!B2001)</f>
        <v/>
      </c>
      <c r="D2001" s="34" t="str">
        <f>IF(MOV_CC_NACIONAL!C2001="","",MOV_CC_NACIONAL!C2001)</f>
        <v/>
      </c>
      <c r="E2001" s="22" t="str">
        <f t="shared" si="1"/>
        <v/>
      </c>
      <c r="F2001" s="22" t="str">
        <f>IFERROR(__xludf.DUMMYFUNCTION("IF(C2001="""","""", OR(REGEXMATCH(LOWER(C2001),""cuota""), REGEXMATCH(C2001,""\d+\s*/\s*\d+"")))"),"")</f>
        <v/>
      </c>
      <c r="G2001" s="22" t="str">
        <f>IFERROR(__xludf.DUMMYFUNCTION("IFERROR(VALUE(REGEXEXTRACT(C2001,""(\d+)\s*/\s*\d+"")),"""")"),"")</f>
        <v/>
      </c>
      <c r="H2001" s="22" t="str">
        <f>IFERROR(__xludf.DUMMYFUNCTION("IFERROR(VALUE(REGEXEXTRACT(C2001,""\d+\s*/\s*(\d+)"")),"""")"),"")</f>
        <v/>
      </c>
      <c r="I2001" s="22" t="str">
        <f t="shared" si="2"/>
        <v/>
      </c>
      <c r="J2001" s="34" t="str">
        <f t="shared" si="3"/>
        <v/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2.0"/>
    <col customWidth="1" min="3" max="3" width="16.0"/>
    <col customWidth="1" min="4" max="26" width="8.71"/>
  </cols>
  <sheetData>
    <row r="1">
      <c r="A1" s="37" t="s">
        <v>59</v>
      </c>
      <c r="B1" s="37" t="s">
        <v>60</v>
      </c>
      <c r="C1" s="37" t="s">
        <v>61</v>
      </c>
    </row>
    <row r="2">
      <c r="A2" s="38" t="s">
        <v>62</v>
      </c>
      <c r="B2" s="39" t="s">
        <v>63</v>
      </c>
      <c r="C2" s="40">
        <v>12931.0</v>
      </c>
    </row>
    <row r="3">
      <c r="A3" s="23" t="s">
        <v>62</v>
      </c>
      <c r="B3" s="41" t="s">
        <v>64</v>
      </c>
      <c r="C3" s="42">
        <v>46990.0</v>
      </c>
    </row>
    <row r="4">
      <c r="A4" s="38" t="s">
        <v>65</v>
      </c>
      <c r="B4" s="39" t="s">
        <v>66</v>
      </c>
      <c r="C4" s="40">
        <v>6499.0</v>
      </c>
    </row>
    <row r="5">
      <c r="A5" s="23" t="s">
        <v>65</v>
      </c>
      <c r="B5" s="41" t="s">
        <v>67</v>
      </c>
      <c r="C5" s="42">
        <v>12600.0</v>
      </c>
    </row>
    <row r="6">
      <c r="A6" s="38" t="s">
        <v>65</v>
      </c>
      <c r="B6" s="39" t="s">
        <v>66</v>
      </c>
      <c r="C6" s="40">
        <v>4999.0</v>
      </c>
    </row>
    <row r="7">
      <c r="A7" s="23" t="s">
        <v>65</v>
      </c>
      <c r="B7" s="41" t="s">
        <v>67</v>
      </c>
      <c r="C7" s="42">
        <v>6078.0</v>
      </c>
    </row>
    <row r="8">
      <c r="A8" s="38" t="s">
        <v>68</v>
      </c>
      <c r="B8" s="39" t="s">
        <v>69</v>
      </c>
      <c r="C8" s="40">
        <v>11980.0</v>
      </c>
    </row>
    <row r="9">
      <c r="A9" s="23" t="s">
        <v>68</v>
      </c>
      <c r="B9" s="41" t="s">
        <v>70</v>
      </c>
      <c r="C9" s="42">
        <v>7699.0</v>
      </c>
    </row>
    <row r="10">
      <c r="A10" s="38" t="s">
        <v>71</v>
      </c>
      <c r="B10" s="39" t="s">
        <v>72</v>
      </c>
      <c r="C10" s="40">
        <v>19990.0</v>
      </c>
    </row>
    <row r="11">
      <c r="A11" s="23" t="s">
        <v>71</v>
      </c>
      <c r="B11" s="41" t="s">
        <v>73</v>
      </c>
      <c r="C11" s="42">
        <v>11550.0</v>
      </c>
    </row>
    <row r="12">
      <c r="A12" s="38" t="s">
        <v>68</v>
      </c>
      <c r="B12" s="39" t="s">
        <v>74</v>
      </c>
      <c r="C12" s="40">
        <v>86791.0</v>
      </c>
    </row>
    <row r="13">
      <c r="A13" s="23" t="s">
        <v>71</v>
      </c>
      <c r="B13" s="41" t="s">
        <v>75</v>
      </c>
      <c r="C13" s="42">
        <v>41030.0</v>
      </c>
    </row>
    <row r="14">
      <c r="A14" s="38" t="s">
        <v>71</v>
      </c>
      <c r="B14" s="39" t="s">
        <v>75</v>
      </c>
      <c r="C14" s="40">
        <v>18331.0</v>
      </c>
    </row>
    <row r="15">
      <c r="A15" s="23" t="s">
        <v>76</v>
      </c>
      <c r="B15" s="41" t="s">
        <v>77</v>
      </c>
      <c r="C15" s="42">
        <v>33240.0</v>
      </c>
    </row>
    <row r="16">
      <c r="A16" s="38" t="s">
        <v>78</v>
      </c>
      <c r="B16" s="39" t="s">
        <v>79</v>
      </c>
      <c r="C16" s="40">
        <v>15295.0</v>
      </c>
    </row>
    <row r="17">
      <c r="A17" s="26">
        <v>46235.0</v>
      </c>
      <c r="B17" s="41" t="s">
        <v>80</v>
      </c>
      <c r="C17" s="42">
        <v>20813.0</v>
      </c>
    </row>
    <row r="18">
      <c r="A18" s="43">
        <v>46204.0</v>
      </c>
      <c r="B18" s="39" t="s">
        <v>81</v>
      </c>
      <c r="C18" s="40">
        <v>10997.0</v>
      </c>
    </row>
    <row r="19">
      <c r="A19" s="23" t="s">
        <v>82</v>
      </c>
      <c r="B19" s="41" t="s">
        <v>83</v>
      </c>
      <c r="C19" s="42">
        <v>17538.0</v>
      </c>
    </row>
    <row r="20">
      <c r="A20" s="38" t="s">
        <v>84</v>
      </c>
      <c r="B20" s="39" t="s">
        <v>85</v>
      </c>
      <c r="C20" s="40">
        <v>20496.0</v>
      </c>
    </row>
    <row r="21" ht="15.75" customHeight="1">
      <c r="A21" s="23" t="s">
        <v>86</v>
      </c>
      <c r="B21" s="41" t="s">
        <v>87</v>
      </c>
      <c r="C21" s="42">
        <v>14667.0</v>
      </c>
    </row>
    <row r="22" ht="15.75" customHeight="1">
      <c r="A22" s="38"/>
      <c r="B22" s="39"/>
      <c r="C22" s="40"/>
    </row>
    <row r="23" ht="15.75" customHeight="1">
      <c r="A23" s="23"/>
      <c r="B23" s="41"/>
      <c r="C23" s="42"/>
    </row>
    <row r="24" ht="15.75" customHeight="1">
      <c r="A24" s="43"/>
      <c r="B24" s="39"/>
      <c r="C24" s="40"/>
    </row>
    <row r="25" ht="15.75" customHeight="1">
      <c r="A25" s="26"/>
      <c r="B25" s="41"/>
      <c r="C25" s="42"/>
    </row>
    <row r="26" ht="15.75" customHeight="1">
      <c r="A26" s="38"/>
      <c r="B26" s="39"/>
      <c r="C26" s="40"/>
    </row>
    <row r="27" ht="15.75" customHeight="1">
      <c r="A27" s="23"/>
      <c r="B27" s="41"/>
      <c r="C27" s="42"/>
    </row>
    <row r="28" ht="15.75" customHeight="1">
      <c r="A28" s="38"/>
      <c r="B28" s="39"/>
      <c r="C28" s="40"/>
    </row>
    <row r="29" ht="15.75" customHeight="1">
      <c r="A29" s="23"/>
      <c r="B29" s="41"/>
      <c r="C29" s="42"/>
    </row>
    <row r="30" ht="15.75" customHeight="1">
      <c r="A30" s="38"/>
      <c r="B30" s="39"/>
      <c r="C30" s="40"/>
    </row>
    <row r="31" ht="15.75" customHeight="1">
      <c r="A31" s="23"/>
      <c r="B31" s="41"/>
      <c r="C31" s="4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2.0"/>
    <col customWidth="1" min="3" max="3" width="16.0"/>
    <col customWidth="1" min="4" max="26" width="8.71"/>
  </cols>
  <sheetData>
    <row r="1">
      <c r="A1" s="37" t="s">
        <v>59</v>
      </c>
      <c r="B1" s="37" t="s">
        <v>60</v>
      </c>
      <c r="C1" s="37" t="s">
        <v>88</v>
      </c>
    </row>
    <row r="2">
      <c r="A2" s="38" t="s">
        <v>89</v>
      </c>
      <c r="B2" s="39" t="s">
        <v>90</v>
      </c>
      <c r="C2" s="40">
        <v>4.99</v>
      </c>
    </row>
    <row r="3">
      <c r="A3" s="23" t="s">
        <v>91</v>
      </c>
      <c r="B3" s="41" t="s">
        <v>92</v>
      </c>
      <c r="C3" s="42">
        <v>102.76</v>
      </c>
    </row>
    <row r="4">
      <c r="A4" s="38" t="s">
        <v>93</v>
      </c>
      <c r="B4" s="39" t="s">
        <v>94</v>
      </c>
      <c r="C4" s="40">
        <v>12.48</v>
      </c>
    </row>
    <row r="5">
      <c r="A5" s="26"/>
      <c r="B5" s="41"/>
      <c r="C5" s="42"/>
    </row>
    <row r="6">
      <c r="A6" s="43"/>
      <c r="B6" s="39"/>
      <c r="C6" s="40"/>
    </row>
    <row r="7">
      <c r="A7" s="26"/>
      <c r="B7" s="41"/>
      <c r="C7" s="42"/>
    </row>
    <row r="8">
      <c r="A8" s="43"/>
      <c r="B8" s="39"/>
      <c r="C8" s="40"/>
    </row>
    <row r="9">
      <c r="A9" s="26"/>
      <c r="B9" s="41"/>
      <c r="C9" s="42"/>
    </row>
    <row r="10">
      <c r="A10" s="38"/>
      <c r="B10" s="39"/>
      <c r="C10" s="40"/>
    </row>
    <row r="11">
      <c r="A11" s="23"/>
      <c r="B11" s="41"/>
      <c r="C11" s="42"/>
    </row>
    <row r="12">
      <c r="A12" s="38"/>
      <c r="B12" s="39"/>
      <c r="C12" s="40"/>
    </row>
    <row r="13">
      <c r="A13" s="23"/>
      <c r="B13" s="41"/>
      <c r="C13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27" t="s">
        <v>119</v>
      </c>
      <c r="B1" s="27" t="s">
        <v>120</v>
      </c>
    </row>
    <row r="2">
      <c r="A2" s="22" t="s">
        <v>121</v>
      </c>
      <c r="B2" s="22">
        <f>SUMIF(MOV_NAC_AUTO!C:C,"&gt;0")</f>
        <v>420514</v>
      </c>
    </row>
    <row r="3">
      <c r="A3" s="22" t="s">
        <v>122</v>
      </c>
      <c r="B3" s="22">
        <f>SUMIF(MOV_INTL_AUTO!E:E,"&gt;0")</f>
        <v>114218.5</v>
      </c>
    </row>
    <row r="4">
      <c r="A4" s="22" t="s">
        <v>123</v>
      </c>
      <c r="B4" s="22">
        <f>ABS(SUMIF(MOV_NAC_AUTO!C:C,"&lt;0"))</f>
        <v>0</v>
      </c>
    </row>
    <row r="5">
      <c r="A5" s="22" t="s">
        <v>124</v>
      </c>
      <c r="B5" s="22">
        <f>ABS(SUMIF(MOV_INTL_AUTO!E:E,"&lt;0"))</f>
        <v>0</v>
      </c>
    </row>
    <row r="6">
      <c r="A6" s="22" t="s">
        <v>125</v>
      </c>
      <c r="B6" s="22">
        <f t="shared" ref="B6:B7" si="1">B2-B4</f>
        <v>420514</v>
      </c>
    </row>
    <row r="7">
      <c r="A7" s="22" t="s">
        <v>126</v>
      </c>
      <c r="B7" s="22">
        <f t="shared" si="1"/>
        <v>114218.5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86"/>
    <col customWidth="1" min="2" max="3" width="22.0"/>
    <col customWidth="1" min="4" max="26" width="8.71"/>
  </cols>
  <sheetData>
    <row r="1">
      <c r="A1" s="27" t="s">
        <v>119</v>
      </c>
      <c r="B1" s="27" t="s">
        <v>96</v>
      </c>
    </row>
    <row r="2">
      <c r="A2" s="22" t="s">
        <v>127</v>
      </c>
      <c r="B2" s="22">
        <f>CONFIG!B2</f>
        <v>3000000</v>
      </c>
    </row>
    <row r="3">
      <c r="A3" s="22" t="s">
        <v>128</v>
      </c>
      <c r="B3" s="22">
        <f>CONFIG!B3+CONFIG!B4</f>
        <v>1300000</v>
      </c>
    </row>
    <row r="4">
      <c r="A4" s="22" t="s">
        <v>129</v>
      </c>
      <c r="B4" s="22">
        <f>RESUMEN!B2</f>
        <v>420514</v>
      </c>
    </row>
    <row r="5">
      <c r="A5" s="22" t="s">
        <v>130</v>
      </c>
      <c r="B5" s="22">
        <f>RESUMEN!B3</f>
        <v>114218.5</v>
      </c>
    </row>
    <row r="6">
      <c r="A6" s="22" t="s">
        <v>131</v>
      </c>
      <c r="B6" s="22">
        <f>CONFIG!B6</f>
        <v>0</v>
      </c>
    </row>
    <row r="7">
      <c r="A7" s="22" t="s">
        <v>132</v>
      </c>
      <c r="B7" s="22">
        <f>B2-(B3+B4+B5+B6)</f>
        <v>1165267.5</v>
      </c>
    </row>
    <row r="8">
      <c r="A8" s="22" t="s">
        <v>133</v>
      </c>
      <c r="B8" s="22">
        <f>B3+B4+B5+B6</f>
        <v>1834732.5</v>
      </c>
    </row>
    <row r="9">
      <c r="A9" s="22" t="s">
        <v>134</v>
      </c>
      <c r="B9" s="22">
        <f>MAX(0,MIN(500000,B7-300000))</f>
        <v>500000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7">
    <cfRule type="cellIs" dxfId="0" priority="1" operator="lessThan">
      <formula>0</formula>
    </cfRule>
  </conditionalFormatting>
  <conditionalFormatting sqref="B7">
    <cfRule type="cellIs" dxfId="1" priority="2" operator="between">
      <formula>0</formula>
      <formula>300000</formula>
    </cfRule>
  </conditionalFormatting>
  <conditionalFormatting sqref="B7">
    <cfRule type="cellIs" dxfId="2" priority="3" operator="greaterThanOrEqual">
      <formula>300000</formula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27" t="s">
        <v>135</v>
      </c>
      <c r="B1" s="27" t="s">
        <v>136</v>
      </c>
    </row>
    <row r="2">
      <c r="A2" s="22">
        <v>1.0</v>
      </c>
      <c r="B2" s="22">
        <f>PROYECCION!B7/30*A2</f>
        <v>38842.25</v>
      </c>
    </row>
    <row r="3">
      <c r="A3" s="22">
        <v>2.0</v>
      </c>
      <c r="B3" s="22">
        <f>PROYECCION!B7/30*A3</f>
        <v>77684.5</v>
      </c>
    </row>
    <row r="4">
      <c r="A4" s="22">
        <v>3.0</v>
      </c>
      <c r="B4" s="22">
        <f>PROYECCION!B7/30*A4</f>
        <v>116526.75</v>
      </c>
    </row>
    <row r="5">
      <c r="A5" s="22">
        <v>4.0</v>
      </c>
      <c r="B5" s="22">
        <f>PROYECCION!B7/30*A5</f>
        <v>155369</v>
      </c>
    </row>
    <row r="6">
      <c r="A6" s="22">
        <v>5.0</v>
      </c>
      <c r="B6" s="22">
        <f>PROYECCION!B7/30*A6</f>
        <v>194211.25</v>
      </c>
    </row>
    <row r="7">
      <c r="A7" s="22">
        <v>6.0</v>
      </c>
      <c r="B7" s="22">
        <f>PROYECCION!B7/30*A7</f>
        <v>233053.5</v>
      </c>
    </row>
    <row r="8">
      <c r="A8" s="22">
        <v>7.0</v>
      </c>
      <c r="B8" s="22">
        <f>PROYECCION!B7/30*A8</f>
        <v>271895.75</v>
      </c>
    </row>
    <row r="9">
      <c r="A9" s="22">
        <v>8.0</v>
      </c>
      <c r="B9" s="22">
        <f>PROYECCION!B7/30*A9</f>
        <v>310738</v>
      </c>
    </row>
    <row r="10">
      <c r="A10" s="22">
        <v>9.0</v>
      </c>
      <c r="B10" s="22">
        <f>PROYECCION!B7/30*A10</f>
        <v>349580.25</v>
      </c>
    </row>
    <row r="11">
      <c r="A11" s="22">
        <v>10.0</v>
      </c>
      <c r="B11" s="22">
        <f>PROYECCION!B7/30*A11</f>
        <v>388422.5</v>
      </c>
    </row>
    <row r="12">
      <c r="A12" s="22">
        <v>11.0</v>
      </c>
      <c r="B12" s="22">
        <f>PROYECCION!B7/30*A12</f>
        <v>427264.75</v>
      </c>
    </row>
    <row r="13">
      <c r="A13" s="22">
        <v>12.0</v>
      </c>
      <c r="B13" s="22">
        <f>PROYECCION!B7/30*A13</f>
        <v>466107</v>
      </c>
    </row>
    <row r="14">
      <c r="A14" s="22">
        <v>13.0</v>
      </c>
      <c r="B14" s="22">
        <f>PROYECCION!B7/30*A14</f>
        <v>504949.25</v>
      </c>
    </row>
    <row r="15">
      <c r="A15" s="22">
        <v>14.0</v>
      </c>
      <c r="B15" s="22">
        <f>PROYECCION!B7/30*A15</f>
        <v>543791.5</v>
      </c>
    </row>
    <row r="16">
      <c r="A16" s="22">
        <v>15.0</v>
      </c>
      <c r="B16" s="22">
        <f>PROYECCION!B7/30*A16</f>
        <v>582633.75</v>
      </c>
    </row>
    <row r="17">
      <c r="A17" s="22">
        <v>16.0</v>
      </c>
      <c r="B17" s="22">
        <f>PROYECCION!B7/30*A17</f>
        <v>621476</v>
      </c>
    </row>
    <row r="18">
      <c r="A18" s="22">
        <v>17.0</v>
      </c>
      <c r="B18" s="22">
        <f>PROYECCION!B7/30*A18</f>
        <v>660318.25</v>
      </c>
    </row>
    <row r="19">
      <c r="A19" s="22">
        <v>18.0</v>
      </c>
      <c r="B19" s="22">
        <f>PROYECCION!B7/30*A19</f>
        <v>699160.5</v>
      </c>
    </row>
    <row r="20">
      <c r="A20" s="22">
        <v>19.0</v>
      </c>
      <c r="B20" s="22">
        <f>PROYECCION!B7/30*A20</f>
        <v>738002.75</v>
      </c>
    </row>
    <row r="21" ht="15.75" customHeight="1">
      <c r="A21" s="22">
        <v>20.0</v>
      </c>
      <c r="B21" s="22">
        <f>PROYECCION!B7/30*A21</f>
        <v>776845</v>
      </c>
    </row>
    <row r="22" ht="15.75" customHeight="1">
      <c r="A22" s="22">
        <v>21.0</v>
      </c>
      <c r="B22" s="22">
        <f>PROYECCION!B7/30*A22</f>
        <v>815687.25</v>
      </c>
    </row>
    <row r="23" ht="15.75" customHeight="1">
      <c r="A23" s="22">
        <v>22.0</v>
      </c>
      <c r="B23" s="22">
        <f>PROYECCION!B7/30*A23</f>
        <v>854529.5</v>
      </c>
    </row>
    <row r="24" ht="15.75" customHeight="1">
      <c r="A24" s="22">
        <v>23.0</v>
      </c>
      <c r="B24" s="22">
        <f>PROYECCION!B7/30*A24</f>
        <v>893371.75</v>
      </c>
    </row>
    <row r="25" ht="15.75" customHeight="1">
      <c r="A25" s="22">
        <v>24.0</v>
      </c>
      <c r="B25" s="22">
        <f>PROYECCION!B7/30*A25</f>
        <v>932214</v>
      </c>
    </row>
    <row r="26" ht="15.75" customHeight="1">
      <c r="A26" s="22">
        <v>25.0</v>
      </c>
      <c r="B26" s="22">
        <f>PROYECCION!B7/30*A26</f>
        <v>971056.25</v>
      </c>
    </row>
    <row r="27" ht="15.75" customHeight="1">
      <c r="A27" s="22">
        <v>26.0</v>
      </c>
      <c r="B27" s="22">
        <f>PROYECCION!B7/30*A27</f>
        <v>1009898.5</v>
      </c>
    </row>
    <row r="28" ht="15.75" customHeight="1">
      <c r="A28" s="22">
        <v>27.0</v>
      </c>
      <c r="B28" s="22">
        <f>PROYECCION!B7/30*A28</f>
        <v>1048740.75</v>
      </c>
    </row>
    <row r="29" ht="15.75" customHeight="1">
      <c r="A29" s="22">
        <v>28.0</v>
      </c>
      <c r="B29" s="22">
        <f>PROYECCION!B7/30*A29</f>
        <v>1087583</v>
      </c>
    </row>
    <row r="30" ht="15.75" customHeight="1">
      <c r="A30" s="22">
        <v>29.0</v>
      </c>
      <c r="B30" s="22">
        <f>PROYECCION!B7/30*A30</f>
        <v>1126425.25</v>
      </c>
    </row>
    <row r="31" ht="15.75" customHeight="1">
      <c r="A31" s="22">
        <v>30.0</v>
      </c>
      <c r="B31" s="22">
        <f>PROYECCION!B7/30*A31</f>
        <v>1165267.5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20" t="s">
        <v>137</v>
      </c>
      <c r="B1" s="20" t="s">
        <v>138</v>
      </c>
      <c r="C1" s="20" t="s">
        <v>139</v>
      </c>
    </row>
    <row r="2">
      <c r="A2" s="22" t="s">
        <v>113</v>
      </c>
      <c r="B2" s="22" t="s">
        <v>140</v>
      </c>
      <c r="C2" s="22" t="s">
        <v>141</v>
      </c>
    </row>
    <row r="3">
      <c r="A3" s="22" t="s">
        <v>113</v>
      </c>
      <c r="B3" s="22" t="s">
        <v>142</v>
      </c>
      <c r="C3" s="22" t="s">
        <v>141</v>
      </c>
    </row>
    <row r="4">
      <c r="A4" s="22" t="s">
        <v>113</v>
      </c>
      <c r="B4" s="22" t="s">
        <v>143</v>
      </c>
      <c r="C4" s="22" t="s">
        <v>141</v>
      </c>
    </row>
    <row r="5">
      <c r="A5" s="22" t="s">
        <v>113</v>
      </c>
      <c r="B5" s="22" t="s">
        <v>144</v>
      </c>
      <c r="C5" s="22" t="s">
        <v>141</v>
      </c>
    </row>
    <row r="6">
      <c r="A6" s="22" t="s">
        <v>113</v>
      </c>
      <c r="B6" s="22" t="s">
        <v>145</v>
      </c>
      <c r="C6" s="22" t="s">
        <v>146</v>
      </c>
    </row>
    <row r="7">
      <c r="A7" s="22" t="s">
        <v>113</v>
      </c>
      <c r="B7" s="22" t="s">
        <v>147</v>
      </c>
      <c r="C7" s="22" t="s">
        <v>146</v>
      </c>
    </row>
    <row r="8">
      <c r="A8" s="22" t="s">
        <v>113</v>
      </c>
      <c r="B8" s="22" t="s">
        <v>148</v>
      </c>
      <c r="C8" s="22" t="s">
        <v>146</v>
      </c>
    </row>
    <row r="9">
      <c r="A9" s="22" t="s">
        <v>113</v>
      </c>
      <c r="B9" s="22" t="s">
        <v>149</v>
      </c>
      <c r="C9" s="22" t="s">
        <v>150</v>
      </c>
    </row>
    <row r="10">
      <c r="A10" s="22" t="s">
        <v>113</v>
      </c>
      <c r="B10" s="22" t="s">
        <v>151</v>
      </c>
      <c r="C10" s="22" t="s">
        <v>150</v>
      </c>
    </row>
    <row r="11">
      <c r="A11" s="22" t="s">
        <v>113</v>
      </c>
      <c r="B11" s="22" t="s">
        <v>152</v>
      </c>
      <c r="C11" s="22" t="s">
        <v>153</v>
      </c>
    </row>
    <row r="12">
      <c r="A12" s="22" t="s">
        <v>113</v>
      </c>
      <c r="B12" s="22" t="s">
        <v>154</v>
      </c>
      <c r="C12" s="22" t="s">
        <v>153</v>
      </c>
    </row>
    <row r="13">
      <c r="A13" s="22" t="s">
        <v>113</v>
      </c>
      <c r="B13" s="22" t="s">
        <v>155</v>
      </c>
      <c r="C13" s="22" t="s">
        <v>153</v>
      </c>
    </row>
    <row r="14">
      <c r="A14" s="22" t="s">
        <v>113</v>
      </c>
      <c r="B14" s="22" t="s">
        <v>156</v>
      </c>
      <c r="C14" s="22" t="s">
        <v>157</v>
      </c>
    </row>
    <row r="15">
      <c r="A15" s="22" t="s">
        <v>158</v>
      </c>
      <c r="B15" s="22" t="s">
        <v>159</v>
      </c>
      <c r="C15" s="22" t="s">
        <v>160</v>
      </c>
    </row>
    <row r="16">
      <c r="A16" s="22" t="s">
        <v>158</v>
      </c>
      <c r="B16" s="22" t="s">
        <v>161</v>
      </c>
      <c r="C16" s="22" t="s">
        <v>160</v>
      </c>
    </row>
    <row r="17">
      <c r="A17" s="22" t="s">
        <v>158</v>
      </c>
      <c r="B17" s="22" t="s">
        <v>162</v>
      </c>
      <c r="C17" s="22" t="s">
        <v>160</v>
      </c>
    </row>
    <row r="18">
      <c r="A18" s="22" t="s">
        <v>158</v>
      </c>
      <c r="B18" s="22" t="s">
        <v>163</v>
      </c>
      <c r="C18" s="22" t="s">
        <v>164</v>
      </c>
    </row>
    <row r="19">
      <c r="A19" s="22" t="s">
        <v>158</v>
      </c>
      <c r="B19" s="22" t="s">
        <v>165</v>
      </c>
      <c r="C19" s="22" t="s">
        <v>164</v>
      </c>
    </row>
    <row r="20">
      <c r="A20" s="22" t="s">
        <v>158</v>
      </c>
      <c r="B20" s="22" t="s">
        <v>166</v>
      </c>
      <c r="C20" s="22" t="s">
        <v>164</v>
      </c>
    </row>
    <row r="21" ht="15.75" customHeight="1">
      <c r="A21" s="22" t="s">
        <v>158</v>
      </c>
      <c r="B21" s="22" t="s">
        <v>167</v>
      </c>
      <c r="C21" s="22" t="s">
        <v>168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6.0"/>
    <col customWidth="1" min="4" max="4" width="22.0"/>
    <col customWidth="1" min="5" max="26" width="8.71"/>
  </cols>
  <sheetData>
    <row r="1">
      <c r="A1" s="27" t="s">
        <v>59</v>
      </c>
      <c r="B1" s="27" t="s">
        <v>60</v>
      </c>
      <c r="C1" s="27" t="s">
        <v>61</v>
      </c>
      <c r="D1" s="27" t="s">
        <v>139</v>
      </c>
    </row>
    <row r="2">
      <c r="A2" s="22" t="str">
        <f>IF(MOV_CC_NACIONAL!A2="","",MOV_CC_NACIONAL!A2)</f>
        <v>25-02-2026</v>
      </c>
      <c r="B2" s="22" t="str">
        <f>IF(MOV_CC_NACIONAL!B2="","",MOV_CC_NACIONAL!B2)</f>
        <v>UBER RIDES UBER RIDES    LAS CO</v>
      </c>
      <c r="C2" s="21">
        <f>IF(MOV_CC_NACIONAL!C2="","",MOV_CC_NACIONAL!C2)</f>
        <v>12931</v>
      </c>
      <c r="D2" s="22" t="str">
        <f t="shared" ref="D2:D2001" si="1">IF(ISNUMBER(SEARCH("uber",LOWER(B2))),"Food &amp; Transport",IF(ISNUMBER(SEARCH("payu   *uber",LOWER(B2))),"Food &amp; Transport",IF(ISNUMBER(SEARCH("kfc",LOWER(B2))),"Food &amp; Transport",IF(ISNUMBER(SEARCH("cinemark",LOWER(B2))),"Food &amp; Transport",IF(ISNUMBER(SEARCH("pethouse",LOWER(B2))),"Pets &amp; Health",IF(ISNUMBER(SEARCH("superzoo",LOWER(B2))),"Pets &amp; Health",IF(ISNUMBER(SEARCH("servicios medicos",LOWER(B2))),"Pets &amp; Health",IF(ISNUMBER(SEARCH("farm",LOWER(B2))),"Pharmacy",IF(ISNUMBER(SEARCH("cruz verde",LOWER(B2))),"Pharmacy",IF(ISNUMBER(SEARCH("mercado",LOWER(B2))),"Shopping",IF(ISNUMBER(SEARCH("mercadopago",LOWER(B2))),"Shopping",IF(ISNUMBER(SEARCH("ikea",LOWER(B2))),"Shopping",IF(ISNUMBER(SEARCH("spotify",LOWER(B2))),"Subscriptions","Other")))))))))))))</f>
        <v>Food &amp; Transport</v>
      </c>
    </row>
    <row r="3">
      <c r="A3" s="22" t="str">
        <f>IF(MOV_CC_NACIONAL!A3="","",MOV_CC_NACIONAL!A3)</f>
        <v>25-02-2026</v>
      </c>
      <c r="B3" s="22" t="str">
        <f>IF(MOV_CC_NACIONAL!B3="","",MOV_CC_NACIONAL!B3)</f>
        <v>CHILE DOGS LTDA          CON CO</v>
      </c>
      <c r="C3" s="21">
        <f>IF(MOV_CC_NACIONAL!C3="","",MOV_CC_NACIONAL!C3)</f>
        <v>46990</v>
      </c>
      <c r="D3" s="22" t="str">
        <f t="shared" si="1"/>
        <v>Other</v>
      </c>
    </row>
    <row r="4">
      <c r="A4" s="22" t="str">
        <f>IF(MOV_CC_NACIONAL!A4="","",MOV_CC_NACIONAL!A4)</f>
        <v>24-02-2026</v>
      </c>
      <c r="B4" s="22" t="str">
        <f>IF(MOV_CC_NACIONAL!B4="","",MOV_CC_NACIONAL!B4)</f>
        <v>PAYU   *FLIXBUS          SANTIA</v>
      </c>
      <c r="C4" s="21">
        <f>IF(MOV_CC_NACIONAL!C4="","",MOV_CC_NACIONAL!C4)</f>
        <v>6499</v>
      </c>
      <c r="D4" s="22" t="str">
        <f t="shared" si="1"/>
        <v>Other</v>
      </c>
    </row>
    <row r="5">
      <c r="A5" s="22" t="str">
        <f>IF(MOV_CC_NACIONAL!A5="","",MOV_CC_NACIONAL!A5)</f>
        <v>24-02-2026</v>
      </c>
      <c r="B5" s="22" t="str">
        <f>IF(MOV_CC_NACIONAL!B5="","",MOV_CC_NACIONAL!B5)</f>
        <v>PAYU   *UBER TRIP        SANTIA</v>
      </c>
      <c r="C5" s="21">
        <f>IF(MOV_CC_NACIONAL!C5="","",MOV_CC_NACIONAL!C5)</f>
        <v>12600</v>
      </c>
      <c r="D5" s="22" t="str">
        <f t="shared" si="1"/>
        <v>Food &amp; Transport</v>
      </c>
    </row>
    <row r="6">
      <c r="A6" s="22" t="str">
        <f>IF(MOV_CC_NACIONAL!A6="","",MOV_CC_NACIONAL!A6)</f>
        <v>24-02-2026</v>
      </c>
      <c r="B6" s="22" t="str">
        <f>IF(MOV_CC_NACIONAL!B6="","",MOV_CC_NACIONAL!B6)</f>
        <v>PAYU   *FLIXBUS          SANTIA</v>
      </c>
      <c r="C6" s="21">
        <f>IF(MOV_CC_NACIONAL!C6="","",MOV_CC_NACIONAL!C6)</f>
        <v>4999</v>
      </c>
      <c r="D6" s="22" t="str">
        <f t="shared" si="1"/>
        <v>Other</v>
      </c>
    </row>
    <row r="7">
      <c r="A7" s="22" t="str">
        <f>IF(MOV_CC_NACIONAL!A7="","",MOV_CC_NACIONAL!A7)</f>
        <v>24-02-2026</v>
      </c>
      <c r="B7" s="22" t="str">
        <f>IF(MOV_CC_NACIONAL!B7="","",MOV_CC_NACIONAL!B7)</f>
        <v>PAYU   *UBER TRIP        SANTIA</v>
      </c>
      <c r="C7" s="21">
        <f>IF(MOV_CC_NACIONAL!C7="","",MOV_CC_NACIONAL!C7)</f>
        <v>6078</v>
      </c>
      <c r="D7" s="22" t="str">
        <f t="shared" si="1"/>
        <v>Food &amp; Transport</v>
      </c>
    </row>
    <row r="8">
      <c r="A8" s="22" t="str">
        <f>IF(MOV_CC_NACIONAL!A8="","",MOV_CC_NACIONAL!A8)</f>
        <v>23-02-2026</v>
      </c>
      <c r="B8" s="22" t="str">
        <f>IF(MOV_CC_NACIONAL!B8="","",MOV_CC_NACIONAL!B8)</f>
        <v>MERCADOPAGO*MERCADO     COMPRAS</v>
      </c>
      <c r="C8" s="21">
        <f>IF(MOV_CC_NACIONAL!C8="","",MOV_CC_NACIONAL!C8)</f>
        <v>11980</v>
      </c>
      <c r="D8" s="22" t="str">
        <f t="shared" si="1"/>
        <v>Shopping</v>
      </c>
    </row>
    <row r="9">
      <c r="A9" s="22" t="str">
        <f>IF(MOV_CC_NACIONAL!A9="","",MOV_CC_NACIONAL!A9)</f>
        <v>23-02-2026</v>
      </c>
      <c r="B9" s="22" t="str">
        <f>IF(MOV_CC_NACIONAL!B9="","",MOV_CC_NACIONAL!B9)</f>
        <v>PAYU   *FLIXBUS         COMPRAS</v>
      </c>
      <c r="C9" s="21">
        <f>IF(MOV_CC_NACIONAL!C9="","",MOV_CC_NACIONAL!C9)</f>
        <v>7699</v>
      </c>
      <c r="D9" s="22" t="str">
        <f t="shared" si="1"/>
        <v>Other</v>
      </c>
    </row>
    <row r="10">
      <c r="A10" s="22" t="str">
        <f>IF(MOV_CC_NACIONAL!A10="","",MOV_CC_NACIONAL!A10)</f>
        <v>21-02-2026</v>
      </c>
      <c r="B10" s="22" t="str">
        <f>IF(MOV_CC_NACIONAL!B10="","",MOV_CC_NACIONAL!B10)</f>
        <v>LOCAL EU 15 NORTE       COMPRAS</v>
      </c>
      <c r="C10" s="21">
        <f>IF(MOV_CC_NACIONAL!C10="","",MOV_CC_NACIONAL!C10)</f>
        <v>19990</v>
      </c>
      <c r="D10" s="22" t="str">
        <f t="shared" si="1"/>
        <v>Other</v>
      </c>
    </row>
    <row r="11">
      <c r="A11" s="22" t="str">
        <f>IF(MOV_CC_NACIONAL!A11="","",MOV_CC_NACIONAL!A11)</f>
        <v>21-02-2026</v>
      </c>
      <c r="B11" s="22" t="str">
        <f>IF(MOV_CC_NACIONAL!B11="","",MOV_CC_NACIONAL!B11)</f>
        <v>MORA LOUTIT SWEET S     COMPRAS</v>
      </c>
      <c r="C11" s="21">
        <f>IF(MOV_CC_NACIONAL!C11="","",MOV_CC_NACIONAL!C11)</f>
        <v>11550</v>
      </c>
      <c r="D11" s="22" t="str">
        <f t="shared" si="1"/>
        <v>Other</v>
      </c>
    </row>
    <row r="12">
      <c r="A12" s="22" t="str">
        <f>IF(MOV_CC_NACIONAL!A12="","",MOV_CC_NACIONAL!A12)</f>
        <v>23-02-2026</v>
      </c>
      <c r="B12" s="22" t="str">
        <f>IF(MOV_CC_NACIONAL!B12="","",MOV_CC_NACIONAL!B12)</f>
        <v>MERCADOPAGO*MERCADO  03 CTAS-INT: 0</v>
      </c>
      <c r="C12" s="21">
        <f>IF(MOV_CC_NACIONAL!C12="","",MOV_CC_NACIONAL!C12)</f>
        <v>86791</v>
      </c>
      <c r="D12" s="22" t="str">
        <f t="shared" si="1"/>
        <v>Shopping</v>
      </c>
    </row>
    <row r="13">
      <c r="A13" s="22" t="str">
        <f>IF(MOV_CC_NACIONAL!A13="","",MOV_CC_NACIONAL!A13)</f>
        <v>21-02-2026</v>
      </c>
      <c r="B13" s="22" t="str">
        <f>IF(MOV_CC_NACIONAL!B13="","",MOV_CC_NACIONAL!B13)</f>
        <v>MERPAGO*OPTICASLUXO HUE CC 01-06</v>
      </c>
      <c r="C13" s="21">
        <f>IF(MOV_CC_NACIONAL!C13="","",MOV_CC_NACIONAL!C13)</f>
        <v>41030</v>
      </c>
      <c r="D13" s="22" t="str">
        <f t="shared" si="1"/>
        <v>Other</v>
      </c>
    </row>
    <row r="14">
      <c r="A14" s="22" t="str">
        <f>IF(MOV_CC_NACIONAL!A14="","",MOV_CC_NACIONAL!A14)</f>
        <v>21-02-2026</v>
      </c>
      <c r="B14" s="22" t="str">
        <f>IF(MOV_CC_NACIONAL!B14="","",MOV_CC_NACIONAL!B14)</f>
        <v>MERPAGO*OPTICASLUXO HUE CC 01-06</v>
      </c>
      <c r="C14" s="21">
        <f>IF(MOV_CC_NACIONAL!C14="","",MOV_CC_NACIONAL!C14)</f>
        <v>18331</v>
      </c>
      <c r="D14" s="22" t="str">
        <f t="shared" si="1"/>
        <v>Other</v>
      </c>
    </row>
    <row r="15">
      <c r="A15" s="22" t="str">
        <f>IF(MOV_CC_NACIONAL!A15="","",MOV_CC_NACIONAL!A15)</f>
        <v>14-02-2026</v>
      </c>
      <c r="B15" s="22" t="str">
        <f>IF(MOV_CC_NACIONAL!B15="","",MOV_CC_NACIONAL!B15)</f>
        <v>DP     *IKEA COM    SAN CF 01-03</v>
      </c>
      <c r="C15" s="21">
        <f>IF(MOV_CC_NACIONAL!C15="","",MOV_CC_NACIONAL!C15)</f>
        <v>33240</v>
      </c>
      <c r="D15" s="22" t="str">
        <f t="shared" si="1"/>
        <v>Shopping</v>
      </c>
    </row>
    <row r="16">
      <c r="A16" s="22" t="str">
        <f>IF(MOV_CC_NACIONAL!A16="","",MOV_CC_NACIONAL!A16)</f>
        <v>21-01-2026</v>
      </c>
      <c r="B16" s="22" t="str">
        <f>IF(MOV_CC_NACIONAL!B16="","",MOV_CC_NACIONAL!B16)</f>
        <v>MP     *MERCADO LIB SAN CC 02-03</v>
      </c>
      <c r="C16" s="21">
        <f>IF(MOV_CC_NACIONAL!C16="","",MOV_CC_NACIONAL!C16)</f>
        <v>15295</v>
      </c>
      <c r="D16" s="22" t="str">
        <f t="shared" si="1"/>
        <v>Shopping</v>
      </c>
    </row>
    <row r="17">
      <c r="A17" s="35">
        <f>IF(MOV_CC_NACIONAL!A17="","",MOV_CC_NACIONAL!A17)</f>
        <v>46235</v>
      </c>
      <c r="B17" s="22" t="str">
        <f>IF(MOV_CC_NACIONAL!B17="","",MOV_CC_NACIONAL!B17)</f>
        <v>MP     *MERCADO LIB SAN CC 03-06</v>
      </c>
      <c r="C17" s="21">
        <f>IF(MOV_CC_NACIONAL!C17="","",MOV_CC_NACIONAL!C17)</f>
        <v>20813</v>
      </c>
      <c r="D17" s="22" t="str">
        <f t="shared" si="1"/>
        <v>Shopping</v>
      </c>
    </row>
    <row r="18">
      <c r="A18" s="35">
        <f>IF(MOV_CC_NACIONAL!A18="","",MOV_CC_NACIONAL!A18)</f>
        <v>46204</v>
      </c>
      <c r="B18" s="22" t="str">
        <f>IF(MOV_CC_NACIONAL!B18="","",MOV_CC_NACIONAL!B18)</f>
        <v>MERCADOPAGO*STREETD LAS CF 02-06</v>
      </c>
      <c r="C18" s="21">
        <f>IF(MOV_CC_NACIONAL!C18="","",MOV_CC_NACIONAL!C18)</f>
        <v>10997</v>
      </c>
      <c r="D18" s="22" t="str">
        <f t="shared" si="1"/>
        <v>Shopping</v>
      </c>
    </row>
    <row r="19">
      <c r="A19" s="22" t="str">
        <f>IF(MOV_CC_NACIONAL!A19="","",MOV_CC_NACIONAL!A19)</f>
        <v>21-12-2025</v>
      </c>
      <c r="B19" s="22" t="str">
        <f>IF(MOV_CC_NACIONAL!B19="","",MOV_CC_NACIONAL!B19)</f>
        <v>MERPAGO*MERCADOLIBR LAS CC 03-03</v>
      </c>
      <c r="C19" s="21">
        <f>IF(MOV_CC_NACIONAL!C19="","",MOV_CC_NACIONAL!C19)</f>
        <v>17538</v>
      </c>
      <c r="D19" s="22" t="str">
        <f t="shared" si="1"/>
        <v>Shopping</v>
      </c>
    </row>
    <row r="20">
      <c r="A20" s="22" t="str">
        <f>IF(MOV_CC_NACIONAL!A20="","",MOV_CC_NACIONAL!A20)</f>
        <v>28-11-2025</v>
      </c>
      <c r="B20" s="22" t="str">
        <f>IF(MOV_CC_NACIONAL!B20="","",MOV_CC_NACIONAL!B20)</f>
        <v>CIC HOGAR TIENDA CO CON CC 04-06</v>
      </c>
      <c r="C20" s="21">
        <f>IF(MOV_CC_NACIONAL!C20="","",MOV_CC_NACIONAL!C20)</f>
        <v>20496</v>
      </c>
      <c r="D20" s="22" t="str">
        <f t="shared" si="1"/>
        <v>Other</v>
      </c>
    </row>
    <row r="21" ht="15.75" customHeight="1">
      <c r="A21" s="22" t="str">
        <f>IF(MOV_CC_NACIONAL!A21="","",MOV_CC_NACIONAL!A21)</f>
        <v>28-08-2025</v>
      </c>
      <c r="B21" s="22" t="str">
        <f>IF(MOV_CC_NACIONAL!B21="","",MOV_CC_NACIONAL!B21)</f>
        <v>MERCADOPAGO*MONSTER LAS CF 06-06</v>
      </c>
      <c r="C21" s="21">
        <f>IF(MOV_CC_NACIONAL!C21="","",MOV_CC_NACIONAL!C21)</f>
        <v>14667</v>
      </c>
      <c r="D21" s="22" t="str">
        <f t="shared" si="1"/>
        <v>Shopping</v>
      </c>
    </row>
    <row r="22" ht="15.75" customHeight="1">
      <c r="A22" s="22" t="str">
        <f>IF(MOV_CC_NACIONAL!A22="","",MOV_CC_NACIONAL!A22)</f>
        <v/>
      </c>
      <c r="B22" s="22" t="str">
        <f>IF(MOV_CC_NACIONAL!B22="","",MOV_CC_NACIONAL!B22)</f>
        <v/>
      </c>
      <c r="C22" s="21" t="str">
        <f>IF(MOV_CC_NACIONAL!C22="","",MOV_CC_NACIONAL!C22)</f>
        <v/>
      </c>
      <c r="D22" s="22" t="str">
        <f t="shared" si="1"/>
        <v>Other</v>
      </c>
    </row>
    <row r="23" ht="15.75" customHeight="1">
      <c r="A23" s="22" t="str">
        <f>IF(MOV_CC_NACIONAL!A23="","",MOV_CC_NACIONAL!A23)</f>
        <v/>
      </c>
      <c r="B23" s="22" t="str">
        <f>IF(MOV_CC_NACIONAL!B23="","",MOV_CC_NACIONAL!B23)</f>
        <v/>
      </c>
      <c r="C23" s="21" t="str">
        <f>IF(MOV_CC_NACIONAL!C23="","",MOV_CC_NACIONAL!C23)</f>
        <v/>
      </c>
      <c r="D23" s="22" t="str">
        <f t="shared" si="1"/>
        <v>Other</v>
      </c>
    </row>
    <row r="24" ht="15.75" customHeight="1">
      <c r="A24" s="22" t="str">
        <f>IF(MOV_CC_NACIONAL!A24="","",MOV_CC_NACIONAL!A24)</f>
        <v/>
      </c>
      <c r="B24" s="22" t="str">
        <f>IF(MOV_CC_NACIONAL!B24="","",MOV_CC_NACIONAL!B24)</f>
        <v/>
      </c>
      <c r="C24" s="21" t="str">
        <f>IF(MOV_CC_NACIONAL!C24="","",MOV_CC_NACIONAL!C24)</f>
        <v/>
      </c>
      <c r="D24" s="22" t="str">
        <f t="shared" si="1"/>
        <v>Other</v>
      </c>
    </row>
    <row r="25" ht="15.75" customHeight="1">
      <c r="A25" s="22" t="str">
        <f>IF(MOV_CC_NACIONAL!A25="","",MOV_CC_NACIONAL!A25)</f>
        <v/>
      </c>
      <c r="B25" s="22" t="str">
        <f>IF(MOV_CC_NACIONAL!B25="","",MOV_CC_NACIONAL!B25)</f>
        <v/>
      </c>
      <c r="C25" s="21" t="str">
        <f>IF(MOV_CC_NACIONAL!C25="","",MOV_CC_NACIONAL!C25)</f>
        <v/>
      </c>
      <c r="D25" s="22" t="str">
        <f t="shared" si="1"/>
        <v>Other</v>
      </c>
    </row>
    <row r="26" ht="15.75" customHeight="1">
      <c r="A26" s="22" t="str">
        <f>IF(MOV_CC_NACIONAL!A26="","",MOV_CC_NACIONAL!A26)</f>
        <v/>
      </c>
      <c r="B26" s="22" t="str">
        <f>IF(MOV_CC_NACIONAL!B26="","",MOV_CC_NACIONAL!B26)</f>
        <v/>
      </c>
      <c r="C26" s="21" t="str">
        <f>IF(MOV_CC_NACIONAL!C26="","",MOV_CC_NACIONAL!C26)</f>
        <v/>
      </c>
      <c r="D26" s="22" t="str">
        <f t="shared" si="1"/>
        <v>Other</v>
      </c>
    </row>
    <row r="27" ht="15.75" customHeight="1">
      <c r="A27" s="22" t="str">
        <f>IF(MOV_CC_NACIONAL!A27="","",MOV_CC_NACIONAL!A27)</f>
        <v/>
      </c>
      <c r="B27" s="22" t="str">
        <f>IF(MOV_CC_NACIONAL!B27="","",MOV_CC_NACIONAL!B27)</f>
        <v/>
      </c>
      <c r="C27" s="21" t="str">
        <f>IF(MOV_CC_NACIONAL!C27="","",MOV_CC_NACIONAL!C27)</f>
        <v/>
      </c>
      <c r="D27" s="22" t="str">
        <f t="shared" si="1"/>
        <v>Other</v>
      </c>
    </row>
    <row r="28" ht="15.75" customHeight="1">
      <c r="A28" s="22" t="str">
        <f>IF(MOV_CC_NACIONAL!A28="","",MOV_CC_NACIONAL!A28)</f>
        <v/>
      </c>
      <c r="B28" s="22" t="str">
        <f>IF(MOV_CC_NACIONAL!B28="","",MOV_CC_NACIONAL!B28)</f>
        <v/>
      </c>
      <c r="C28" s="21" t="str">
        <f>IF(MOV_CC_NACIONAL!C28="","",MOV_CC_NACIONAL!C28)</f>
        <v/>
      </c>
      <c r="D28" s="22" t="str">
        <f t="shared" si="1"/>
        <v>Other</v>
      </c>
    </row>
    <row r="29" ht="15.75" customHeight="1">
      <c r="A29" s="22" t="str">
        <f>IF(MOV_CC_NACIONAL!A29="","",MOV_CC_NACIONAL!A29)</f>
        <v/>
      </c>
      <c r="B29" s="22" t="str">
        <f>IF(MOV_CC_NACIONAL!B29="","",MOV_CC_NACIONAL!B29)</f>
        <v/>
      </c>
      <c r="C29" s="21" t="str">
        <f>IF(MOV_CC_NACIONAL!C29="","",MOV_CC_NACIONAL!C29)</f>
        <v/>
      </c>
      <c r="D29" s="22" t="str">
        <f t="shared" si="1"/>
        <v>Other</v>
      </c>
    </row>
    <row r="30" ht="15.75" customHeight="1">
      <c r="A30" s="22" t="str">
        <f>IF(MOV_CC_NACIONAL!A30="","",MOV_CC_NACIONAL!A30)</f>
        <v/>
      </c>
      <c r="B30" s="22" t="str">
        <f>IF(MOV_CC_NACIONAL!B30="","",MOV_CC_NACIONAL!B30)</f>
        <v/>
      </c>
      <c r="C30" s="21" t="str">
        <f>IF(MOV_CC_NACIONAL!C30="","",MOV_CC_NACIONAL!C30)</f>
        <v/>
      </c>
      <c r="D30" s="22" t="str">
        <f t="shared" si="1"/>
        <v>Other</v>
      </c>
    </row>
    <row r="31" ht="15.75" customHeight="1">
      <c r="A31" s="22" t="str">
        <f>IF(MOV_CC_NACIONAL!A31="","",MOV_CC_NACIONAL!A31)</f>
        <v/>
      </c>
      <c r="B31" s="22" t="str">
        <f>IF(MOV_CC_NACIONAL!B31="","",MOV_CC_NACIONAL!B31)</f>
        <v/>
      </c>
      <c r="C31" s="21" t="str">
        <f>IF(MOV_CC_NACIONAL!C31="","",MOV_CC_NACIONAL!C31)</f>
        <v/>
      </c>
      <c r="D31" s="22" t="str">
        <f t="shared" si="1"/>
        <v>Other</v>
      </c>
    </row>
    <row r="32" ht="15.75" customHeight="1">
      <c r="A32" s="22" t="str">
        <f>IF(MOV_CC_NACIONAL!A32="","",MOV_CC_NACIONAL!A32)</f>
        <v/>
      </c>
      <c r="B32" s="22" t="str">
        <f>IF(MOV_CC_NACIONAL!B32="","",MOV_CC_NACIONAL!B32)</f>
        <v/>
      </c>
      <c r="C32" s="21" t="str">
        <f>IF(MOV_CC_NACIONAL!C32="","",MOV_CC_NACIONAL!C32)</f>
        <v/>
      </c>
      <c r="D32" s="22" t="str">
        <f t="shared" si="1"/>
        <v>Other</v>
      </c>
    </row>
    <row r="33" ht="15.75" customHeight="1">
      <c r="A33" s="22" t="str">
        <f>IF(MOV_CC_NACIONAL!A33="","",MOV_CC_NACIONAL!A33)</f>
        <v/>
      </c>
      <c r="B33" s="22" t="str">
        <f>IF(MOV_CC_NACIONAL!B33="","",MOV_CC_NACIONAL!B33)</f>
        <v/>
      </c>
      <c r="C33" s="21" t="str">
        <f>IF(MOV_CC_NACIONAL!C33="","",MOV_CC_NACIONAL!C33)</f>
        <v/>
      </c>
      <c r="D33" s="22" t="str">
        <f t="shared" si="1"/>
        <v>Other</v>
      </c>
    </row>
    <row r="34" ht="15.75" customHeight="1">
      <c r="A34" s="22" t="str">
        <f>IF(MOV_CC_NACIONAL!A34="","",MOV_CC_NACIONAL!A34)</f>
        <v/>
      </c>
      <c r="B34" s="22" t="str">
        <f>IF(MOV_CC_NACIONAL!B34="","",MOV_CC_NACIONAL!B34)</f>
        <v/>
      </c>
      <c r="C34" s="21" t="str">
        <f>IF(MOV_CC_NACIONAL!C34="","",MOV_CC_NACIONAL!C34)</f>
        <v/>
      </c>
      <c r="D34" s="22" t="str">
        <f t="shared" si="1"/>
        <v>Other</v>
      </c>
    </row>
    <row r="35" ht="15.75" customHeight="1">
      <c r="A35" s="22" t="str">
        <f>IF(MOV_CC_NACIONAL!A35="","",MOV_CC_NACIONAL!A35)</f>
        <v/>
      </c>
      <c r="B35" s="22" t="str">
        <f>IF(MOV_CC_NACIONAL!B35="","",MOV_CC_NACIONAL!B35)</f>
        <v/>
      </c>
      <c r="C35" s="21" t="str">
        <f>IF(MOV_CC_NACIONAL!C35="","",MOV_CC_NACIONAL!C35)</f>
        <v/>
      </c>
      <c r="D35" s="22" t="str">
        <f t="shared" si="1"/>
        <v>Other</v>
      </c>
    </row>
    <row r="36" ht="15.75" customHeight="1">
      <c r="A36" s="22" t="str">
        <f>IF(MOV_CC_NACIONAL!A36="","",MOV_CC_NACIONAL!A36)</f>
        <v/>
      </c>
      <c r="B36" s="22" t="str">
        <f>IF(MOV_CC_NACIONAL!B36="","",MOV_CC_NACIONAL!B36)</f>
        <v/>
      </c>
      <c r="C36" s="21" t="str">
        <f>IF(MOV_CC_NACIONAL!C36="","",MOV_CC_NACIONAL!C36)</f>
        <v/>
      </c>
      <c r="D36" s="22" t="str">
        <f t="shared" si="1"/>
        <v>Other</v>
      </c>
    </row>
    <row r="37" ht="15.75" customHeight="1">
      <c r="A37" s="22" t="str">
        <f>IF(MOV_CC_NACIONAL!A37="","",MOV_CC_NACIONAL!A37)</f>
        <v/>
      </c>
      <c r="B37" s="22" t="str">
        <f>IF(MOV_CC_NACIONAL!B37="","",MOV_CC_NACIONAL!B37)</f>
        <v/>
      </c>
      <c r="C37" s="21" t="str">
        <f>IF(MOV_CC_NACIONAL!C37="","",MOV_CC_NACIONAL!C37)</f>
        <v/>
      </c>
      <c r="D37" s="22" t="str">
        <f t="shared" si="1"/>
        <v>Other</v>
      </c>
    </row>
    <row r="38" ht="15.75" customHeight="1">
      <c r="A38" s="22" t="str">
        <f>IF(MOV_CC_NACIONAL!A38="","",MOV_CC_NACIONAL!A38)</f>
        <v/>
      </c>
      <c r="B38" s="22" t="str">
        <f>IF(MOV_CC_NACIONAL!B38="","",MOV_CC_NACIONAL!B38)</f>
        <v/>
      </c>
      <c r="C38" s="21" t="str">
        <f>IF(MOV_CC_NACIONAL!C38="","",MOV_CC_NACIONAL!C38)</f>
        <v/>
      </c>
      <c r="D38" s="22" t="str">
        <f t="shared" si="1"/>
        <v>Other</v>
      </c>
    </row>
    <row r="39" ht="15.75" customHeight="1">
      <c r="A39" s="22" t="str">
        <f>IF(MOV_CC_NACIONAL!A39="","",MOV_CC_NACIONAL!A39)</f>
        <v/>
      </c>
      <c r="B39" s="22" t="str">
        <f>IF(MOV_CC_NACIONAL!B39="","",MOV_CC_NACIONAL!B39)</f>
        <v/>
      </c>
      <c r="C39" s="21" t="str">
        <f>IF(MOV_CC_NACIONAL!C39="","",MOV_CC_NACIONAL!C39)</f>
        <v/>
      </c>
      <c r="D39" s="22" t="str">
        <f t="shared" si="1"/>
        <v>Other</v>
      </c>
    </row>
    <row r="40" ht="15.75" customHeight="1">
      <c r="A40" s="22" t="str">
        <f>IF(MOV_CC_NACIONAL!A40="","",MOV_CC_NACIONAL!A40)</f>
        <v/>
      </c>
      <c r="B40" s="22" t="str">
        <f>IF(MOV_CC_NACIONAL!B40="","",MOV_CC_NACIONAL!B40)</f>
        <v/>
      </c>
      <c r="C40" s="21" t="str">
        <f>IF(MOV_CC_NACIONAL!C40="","",MOV_CC_NACIONAL!C40)</f>
        <v/>
      </c>
      <c r="D40" s="22" t="str">
        <f t="shared" si="1"/>
        <v>Other</v>
      </c>
    </row>
    <row r="41" ht="15.75" customHeight="1">
      <c r="A41" s="22" t="str">
        <f>IF(MOV_CC_NACIONAL!A41="","",MOV_CC_NACIONAL!A41)</f>
        <v/>
      </c>
      <c r="B41" s="22" t="str">
        <f>IF(MOV_CC_NACIONAL!B41="","",MOV_CC_NACIONAL!B41)</f>
        <v/>
      </c>
      <c r="C41" s="21" t="str">
        <f>IF(MOV_CC_NACIONAL!C41="","",MOV_CC_NACIONAL!C41)</f>
        <v/>
      </c>
      <c r="D41" s="22" t="str">
        <f t="shared" si="1"/>
        <v>Other</v>
      </c>
    </row>
    <row r="42" ht="15.75" customHeight="1">
      <c r="A42" s="22" t="str">
        <f>IF(MOV_CC_NACIONAL!A42="","",MOV_CC_NACIONAL!A42)</f>
        <v/>
      </c>
      <c r="B42" s="22" t="str">
        <f>IF(MOV_CC_NACIONAL!B42="","",MOV_CC_NACIONAL!B42)</f>
        <v/>
      </c>
      <c r="C42" s="21" t="str">
        <f>IF(MOV_CC_NACIONAL!C42="","",MOV_CC_NACIONAL!C42)</f>
        <v/>
      </c>
      <c r="D42" s="22" t="str">
        <f t="shared" si="1"/>
        <v>Other</v>
      </c>
    </row>
    <row r="43" ht="15.75" customHeight="1">
      <c r="A43" s="22" t="str">
        <f>IF(MOV_CC_NACIONAL!A43="","",MOV_CC_NACIONAL!A43)</f>
        <v/>
      </c>
      <c r="B43" s="22" t="str">
        <f>IF(MOV_CC_NACIONAL!B43="","",MOV_CC_NACIONAL!B43)</f>
        <v/>
      </c>
      <c r="C43" s="21" t="str">
        <f>IF(MOV_CC_NACIONAL!C43="","",MOV_CC_NACIONAL!C43)</f>
        <v/>
      </c>
      <c r="D43" s="22" t="str">
        <f t="shared" si="1"/>
        <v>Other</v>
      </c>
    </row>
    <row r="44" ht="15.75" customHeight="1">
      <c r="A44" s="22" t="str">
        <f>IF(MOV_CC_NACIONAL!A44="","",MOV_CC_NACIONAL!A44)</f>
        <v/>
      </c>
      <c r="B44" s="22" t="str">
        <f>IF(MOV_CC_NACIONAL!B44="","",MOV_CC_NACIONAL!B44)</f>
        <v/>
      </c>
      <c r="C44" s="21" t="str">
        <f>IF(MOV_CC_NACIONAL!C44="","",MOV_CC_NACIONAL!C44)</f>
        <v/>
      </c>
      <c r="D44" s="22" t="str">
        <f t="shared" si="1"/>
        <v>Other</v>
      </c>
    </row>
    <row r="45" ht="15.75" customHeight="1">
      <c r="A45" s="22" t="str">
        <f>IF(MOV_CC_NACIONAL!A45="","",MOV_CC_NACIONAL!A45)</f>
        <v/>
      </c>
      <c r="B45" s="22" t="str">
        <f>IF(MOV_CC_NACIONAL!B45="","",MOV_CC_NACIONAL!B45)</f>
        <v/>
      </c>
      <c r="C45" s="21" t="str">
        <f>IF(MOV_CC_NACIONAL!C45="","",MOV_CC_NACIONAL!C45)</f>
        <v/>
      </c>
      <c r="D45" s="22" t="str">
        <f t="shared" si="1"/>
        <v>Other</v>
      </c>
    </row>
    <row r="46" ht="15.75" customHeight="1">
      <c r="A46" s="22" t="str">
        <f>IF(MOV_CC_NACIONAL!A46="","",MOV_CC_NACIONAL!A46)</f>
        <v/>
      </c>
      <c r="B46" s="22" t="str">
        <f>IF(MOV_CC_NACIONAL!B46="","",MOV_CC_NACIONAL!B46)</f>
        <v/>
      </c>
      <c r="C46" s="21" t="str">
        <f>IF(MOV_CC_NACIONAL!C46="","",MOV_CC_NACIONAL!C46)</f>
        <v/>
      </c>
      <c r="D46" s="22" t="str">
        <f t="shared" si="1"/>
        <v>Other</v>
      </c>
    </row>
    <row r="47" ht="15.75" customHeight="1">
      <c r="A47" s="22" t="str">
        <f>IF(MOV_CC_NACIONAL!A47="","",MOV_CC_NACIONAL!A47)</f>
        <v/>
      </c>
      <c r="B47" s="22" t="str">
        <f>IF(MOV_CC_NACIONAL!B47="","",MOV_CC_NACIONAL!B47)</f>
        <v/>
      </c>
      <c r="C47" s="21" t="str">
        <f>IF(MOV_CC_NACIONAL!C47="","",MOV_CC_NACIONAL!C47)</f>
        <v/>
      </c>
      <c r="D47" s="22" t="str">
        <f t="shared" si="1"/>
        <v>Other</v>
      </c>
    </row>
    <row r="48" ht="15.75" customHeight="1">
      <c r="A48" s="22" t="str">
        <f>IF(MOV_CC_NACIONAL!A48="","",MOV_CC_NACIONAL!A48)</f>
        <v/>
      </c>
      <c r="B48" s="22" t="str">
        <f>IF(MOV_CC_NACIONAL!B48="","",MOV_CC_NACIONAL!B48)</f>
        <v/>
      </c>
      <c r="C48" s="21" t="str">
        <f>IF(MOV_CC_NACIONAL!C48="","",MOV_CC_NACIONAL!C48)</f>
        <v/>
      </c>
      <c r="D48" s="22" t="str">
        <f t="shared" si="1"/>
        <v>Other</v>
      </c>
    </row>
    <row r="49" ht="15.75" customHeight="1">
      <c r="A49" s="22" t="str">
        <f>IF(MOV_CC_NACIONAL!A49="","",MOV_CC_NACIONAL!A49)</f>
        <v/>
      </c>
      <c r="B49" s="22" t="str">
        <f>IF(MOV_CC_NACIONAL!B49="","",MOV_CC_NACIONAL!B49)</f>
        <v/>
      </c>
      <c r="C49" s="21" t="str">
        <f>IF(MOV_CC_NACIONAL!C49="","",MOV_CC_NACIONAL!C49)</f>
        <v/>
      </c>
      <c r="D49" s="22" t="str">
        <f t="shared" si="1"/>
        <v>Other</v>
      </c>
    </row>
    <row r="50" ht="15.75" customHeight="1">
      <c r="A50" s="22" t="str">
        <f>IF(MOV_CC_NACIONAL!A50="","",MOV_CC_NACIONAL!A50)</f>
        <v/>
      </c>
      <c r="B50" s="22" t="str">
        <f>IF(MOV_CC_NACIONAL!B50="","",MOV_CC_NACIONAL!B50)</f>
        <v/>
      </c>
      <c r="C50" s="21" t="str">
        <f>IF(MOV_CC_NACIONAL!C50="","",MOV_CC_NACIONAL!C50)</f>
        <v/>
      </c>
      <c r="D50" s="22" t="str">
        <f t="shared" si="1"/>
        <v>Other</v>
      </c>
    </row>
    <row r="51" ht="15.75" customHeight="1">
      <c r="A51" s="22" t="str">
        <f>IF(MOV_CC_NACIONAL!A51="","",MOV_CC_NACIONAL!A51)</f>
        <v/>
      </c>
      <c r="B51" s="22" t="str">
        <f>IF(MOV_CC_NACIONAL!B51="","",MOV_CC_NACIONAL!B51)</f>
        <v/>
      </c>
      <c r="C51" s="21" t="str">
        <f>IF(MOV_CC_NACIONAL!C51="","",MOV_CC_NACIONAL!C51)</f>
        <v/>
      </c>
      <c r="D51" s="22" t="str">
        <f t="shared" si="1"/>
        <v>Other</v>
      </c>
    </row>
    <row r="52" ht="15.75" customHeight="1">
      <c r="A52" s="22" t="str">
        <f>IF(MOV_CC_NACIONAL!A52="","",MOV_CC_NACIONAL!A52)</f>
        <v/>
      </c>
      <c r="B52" s="22" t="str">
        <f>IF(MOV_CC_NACIONAL!B52="","",MOV_CC_NACIONAL!B52)</f>
        <v/>
      </c>
      <c r="C52" s="21" t="str">
        <f>IF(MOV_CC_NACIONAL!C52="","",MOV_CC_NACIONAL!C52)</f>
        <v/>
      </c>
      <c r="D52" s="22" t="str">
        <f t="shared" si="1"/>
        <v>Other</v>
      </c>
    </row>
    <row r="53" ht="15.75" customHeight="1">
      <c r="A53" s="22" t="str">
        <f>IF(MOV_CC_NACIONAL!A53="","",MOV_CC_NACIONAL!A53)</f>
        <v/>
      </c>
      <c r="B53" s="22" t="str">
        <f>IF(MOV_CC_NACIONAL!B53="","",MOV_CC_NACIONAL!B53)</f>
        <v/>
      </c>
      <c r="C53" s="21" t="str">
        <f>IF(MOV_CC_NACIONAL!C53="","",MOV_CC_NACIONAL!C53)</f>
        <v/>
      </c>
      <c r="D53" s="22" t="str">
        <f t="shared" si="1"/>
        <v>Other</v>
      </c>
    </row>
    <row r="54" ht="15.75" customHeight="1">
      <c r="A54" s="22" t="str">
        <f>IF(MOV_CC_NACIONAL!A54="","",MOV_CC_NACIONAL!A54)</f>
        <v/>
      </c>
      <c r="B54" s="22" t="str">
        <f>IF(MOV_CC_NACIONAL!B54="","",MOV_CC_NACIONAL!B54)</f>
        <v/>
      </c>
      <c r="C54" s="21" t="str">
        <f>IF(MOV_CC_NACIONAL!C54="","",MOV_CC_NACIONAL!C54)</f>
        <v/>
      </c>
      <c r="D54" s="22" t="str">
        <f t="shared" si="1"/>
        <v>Other</v>
      </c>
    </row>
    <row r="55" ht="15.75" customHeight="1">
      <c r="A55" s="22" t="str">
        <f>IF(MOV_CC_NACIONAL!A55="","",MOV_CC_NACIONAL!A55)</f>
        <v/>
      </c>
      <c r="B55" s="22" t="str">
        <f>IF(MOV_CC_NACIONAL!B55="","",MOV_CC_NACIONAL!B55)</f>
        <v/>
      </c>
      <c r="C55" s="21" t="str">
        <f>IF(MOV_CC_NACIONAL!C55="","",MOV_CC_NACIONAL!C55)</f>
        <v/>
      </c>
      <c r="D55" s="22" t="str">
        <f t="shared" si="1"/>
        <v>Other</v>
      </c>
    </row>
    <row r="56" ht="15.75" customHeight="1">
      <c r="A56" s="22" t="str">
        <f>IF(MOV_CC_NACIONAL!A56="","",MOV_CC_NACIONAL!A56)</f>
        <v/>
      </c>
      <c r="B56" s="22" t="str">
        <f>IF(MOV_CC_NACIONAL!B56="","",MOV_CC_NACIONAL!B56)</f>
        <v/>
      </c>
      <c r="C56" s="21" t="str">
        <f>IF(MOV_CC_NACIONAL!C56="","",MOV_CC_NACIONAL!C56)</f>
        <v/>
      </c>
      <c r="D56" s="22" t="str">
        <f t="shared" si="1"/>
        <v>Other</v>
      </c>
    </row>
    <row r="57" ht="15.75" customHeight="1">
      <c r="A57" s="22" t="str">
        <f>IF(MOV_CC_NACIONAL!A57="","",MOV_CC_NACIONAL!A57)</f>
        <v/>
      </c>
      <c r="B57" s="22" t="str">
        <f>IF(MOV_CC_NACIONAL!B57="","",MOV_CC_NACIONAL!B57)</f>
        <v/>
      </c>
      <c r="C57" s="21" t="str">
        <f>IF(MOV_CC_NACIONAL!C57="","",MOV_CC_NACIONAL!C57)</f>
        <v/>
      </c>
      <c r="D57" s="22" t="str">
        <f t="shared" si="1"/>
        <v>Other</v>
      </c>
    </row>
    <row r="58" ht="15.75" customHeight="1">
      <c r="A58" s="22" t="str">
        <f>IF(MOV_CC_NACIONAL!A58="","",MOV_CC_NACIONAL!A58)</f>
        <v/>
      </c>
      <c r="B58" s="22" t="str">
        <f>IF(MOV_CC_NACIONAL!B58="","",MOV_CC_NACIONAL!B58)</f>
        <v/>
      </c>
      <c r="C58" s="21" t="str">
        <f>IF(MOV_CC_NACIONAL!C58="","",MOV_CC_NACIONAL!C58)</f>
        <v/>
      </c>
      <c r="D58" s="22" t="str">
        <f t="shared" si="1"/>
        <v>Other</v>
      </c>
    </row>
    <row r="59" ht="15.75" customHeight="1">
      <c r="A59" s="22" t="str">
        <f>IF(MOV_CC_NACIONAL!A59="","",MOV_CC_NACIONAL!A59)</f>
        <v/>
      </c>
      <c r="B59" s="22" t="str">
        <f>IF(MOV_CC_NACIONAL!B59="","",MOV_CC_NACIONAL!B59)</f>
        <v/>
      </c>
      <c r="C59" s="21" t="str">
        <f>IF(MOV_CC_NACIONAL!C59="","",MOV_CC_NACIONAL!C59)</f>
        <v/>
      </c>
      <c r="D59" s="22" t="str">
        <f t="shared" si="1"/>
        <v>Other</v>
      </c>
    </row>
    <row r="60" ht="15.75" customHeight="1">
      <c r="A60" s="22" t="str">
        <f>IF(MOV_CC_NACIONAL!A60="","",MOV_CC_NACIONAL!A60)</f>
        <v/>
      </c>
      <c r="B60" s="22" t="str">
        <f>IF(MOV_CC_NACIONAL!B60="","",MOV_CC_NACIONAL!B60)</f>
        <v/>
      </c>
      <c r="C60" s="21" t="str">
        <f>IF(MOV_CC_NACIONAL!C60="","",MOV_CC_NACIONAL!C60)</f>
        <v/>
      </c>
      <c r="D60" s="22" t="str">
        <f t="shared" si="1"/>
        <v>Other</v>
      </c>
    </row>
    <row r="61" ht="15.75" customHeight="1">
      <c r="A61" s="22" t="str">
        <f>IF(MOV_CC_NACIONAL!A61="","",MOV_CC_NACIONAL!A61)</f>
        <v/>
      </c>
      <c r="B61" s="22" t="str">
        <f>IF(MOV_CC_NACIONAL!B61="","",MOV_CC_NACIONAL!B61)</f>
        <v/>
      </c>
      <c r="C61" s="21" t="str">
        <f>IF(MOV_CC_NACIONAL!C61="","",MOV_CC_NACIONAL!C61)</f>
        <v/>
      </c>
      <c r="D61" s="22" t="str">
        <f t="shared" si="1"/>
        <v>Other</v>
      </c>
    </row>
    <row r="62" ht="15.75" customHeight="1">
      <c r="A62" s="22" t="str">
        <f>IF(MOV_CC_NACIONAL!A62="","",MOV_CC_NACIONAL!A62)</f>
        <v/>
      </c>
      <c r="B62" s="22" t="str">
        <f>IF(MOV_CC_NACIONAL!B62="","",MOV_CC_NACIONAL!B62)</f>
        <v/>
      </c>
      <c r="C62" s="21" t="str">
        <f>IF(MOV_CC_NACIONAL!C62="","",MOV_CC_NACIONAL!C62)</f>
        <v/>
      </c>
      <c r="D62" s="22" t="str">
        <f t="shared" si="1"/>
        <v>Other</v>
      </c>
    </row>
    <row r="63" ht="15.75" customHeight="1">
      <c r="A63" s="22" t="str">
        <f>IF(MOV_CC_NACIONAL!A63="","",MOV_CC_NACIONAL!A63)</f>
        <v/>
      </c>
      <c r="B63" s="22" t="str">
        <f>IF(MOV_CC_NACIONAL!B63="","",MOV_CC_NACIONAL!B63)</f>
        <v/>
      </c>
      <c r="C63" s="21" t="str">
        <f>IF(MOV_CC_NACIONAL!C63="","",MOV_CC_NACIONAL!C63)</f>
        <v/>
      </c>
      <c r="D63" s="22" t="str">
        <f t="shared" si="1"/>
        <v>Other</v>
      </c>
    </row>
    <row r="64" ht="15.75" customHeight="1">
      <c r="A64" s="22" t="str">
        <f>IF(MOV_CC_NACIONAL!A64="","",MOV_CC_NACIONAL!A64)</f>
        <v/>
      </c>
      <c r="B64" s="22" t="str">
        <f>IF(MOV_CC_NACIONAL!B64="","",MOV_CC_NACIONAL!B64)</f>
        <v/>
      </c>
      <c r="C64" s="21" t="str">
        <f>IF(MOV_CC_NACIONAL!C64="","",MOV_CC_NACIONAL!C64)</f>
        <v/>
      </c>
      <c r="D64" s="22" t="str">
        <f t="shared" si="1"/>
        <v>Other</v>
      </c>
    </row>
    <row r="65" ht="15.75" customHeight="1">
      <c r="A65" s="22" t="str">
        <f>IF(MOV_CC_NACIONAL!A65="","",MOV_CC_NACIONAL!A65)</f>
        <v/>
      </c>
      <c r="B65" s="22" t="str">
        <f>IF(MOV_CC_NACIONAL!B65="","",MOV_CC_NACIONAL!B65)</f>
        <v/>
      </c>
      <c r="C65" s="21" t="str">
        <f>IF(MOV_CC_NACIONAL!C65="","",MOV_CC_NACIONAL!C65)</f>
        <v/>
      </c>
      <c r="D65" s="22" t="str">
        <f t="shared" si="1"/>
        <v>Other</v>
      </c>
    </row>
    <row r="66" ht="15.75" customHeight="1">
      <c r="A66" s="22" t="str">
        <f>IF(MOV_CC_NACIONAL!A66="","",MOV_CC_NACIONAL!A66)</f>
        <v/>
      </c>
      <c r="B66" s="22" t="str">
        <f>IF(MOV_CC_NACIONAL!B66="","",MOV_CC_NACIONAL!B66)</f>
        <v/>
      </c>
      <c r="C66" s="21" t="str">
        <f>IF(MOV_CC_NACIONAL!C66="","",MOV_CC_NACIONAL!C66)</f>
        <v/>
      </c>
      <c r="D66" s="22" t="str">
        <f t="shared" si="1"/>
        <v>Other</v>
      </c>
    </row>
    <row r="67" ht="15.75" customHeight="1">
      <c r="A67" s="22" t="str">
        <f>IF(MOV_CC_NACIONAL!A67="","",MOV_CC_NACIONAL!A67)</f>
        <v/>
      </c>
      <c r="B67" s="22" t="str">
        <f>IF(MOV_CC_NACIONAL!B67="","",MOV_CC_NACIONAL!B67)</f>
        <v/>
      </c>
      <c r="C67" s="21" t="str">
        <f>IF(MOV_CC_NACIONAL!C67="","",MOV_CC_NACIONAL!C67)</f>
        <v/>
      </c>
      <c r="D67" s="22" t="str">
        <f t="shared" si="1"/>
        <v>Other</v>
      </c>
    </row>
    <row r="68" ht="15.75" customHeight="1">
      <c r="A68" s="22" t="str">
        <f>IF(MOV_CC_NACIONAL!A68="","",MOV_CC_NACIONAL!A68)</f>
        <v/>
      </c>
      <c r="B68" s="22" t="str">
        <f>IF(MOV_CC_NACIONAL!B68="","",MOV_CC_NACIONAL!B68)</f>
        <v/>
      </c>
      <c r="C68" s="21" t="str">
        <f>IF(MOV_CC_NACIONAL!C68="","",MOV_CC_NACIONAL!C68)</f>
        <v/>
      </c>
      <c r="D68" s="22" t="str">
        <f t="shared" si="1"/>
        <v>Other</v>
      </c>
    </row>
    <row r="69" ht="15.75" customHeight="1">
      <c r="A69" s="22" t="str">
        <f>IF(MOV_CC_NACIONAL!A69="","",MOV_CC_NACIONAL!A69)</f>
        <v/>
      </c>
      <c r="B69" s="22" t="str">
        <f>IF(MOV_CC_NACIONAL!B69="","",MOV_CC_NACIONAL!B69)</f>
        <v/>
      </c>
      <c r="C69" s="21" t="str">
        <f>IF(MOV_CC_NACIONAL!C69="","",MOV_CC_NACIONAL!C69)</f>
        <v/>
      </c>
      <c r="D69" s="22" t="str">
        <f t="shared" si="1"/>
        <v>Other</v>
      </c>
    </row>
    <row r="70" ht="15.75" customHeight="1">
      <c r="A70" s="22" t="str">
        <f>IF(MOV_CC_NACIONAL!A70="","",MOV_CC_NACIONAL!A70)</f>
        <v/>
      </c>
      <c r="B70" s="22" t="str">
        <f>IF(MOV_CC_NACIONAL!B70="","",MOV_CC_NACIONAL!B70)</f>
        <v/>
      </c>
      <c r="C70" s="21" t="str">
        <f>IF(MOV_CC_NACIONAL!C70="","",MOV_CC_NACIONAL!C70)</f>
        <v/>
      </c>
      <c r="D70" s="22" t="str">
        <f t="shared" si="1"/>
        <v>Other</v>
      </c>
    </row>
    <row r="71" ht="15.75" customHeight="1">
      <c r="A71" s="22" t="str">
        <f>IF(MOV_CC_NACIONAL!A71="","",MOV_CC_NACIONAL!A71)</f>
        <v/>
      </c>
      <c r="B71" s="22" t="str">
        <f>IF(MOV_CC_NACIONAL!B71="","",MOV_CC_NACIONAL!B71)</f>
        <v/>
      </c>
      <c r="C71" s="21" t="str">
        <f>IF(MOV_CC_NACIONAL!C71="","",MOV_CC_NACIONAL!C71)</f>
        <v/>
      </c>
      <c r="D71" s="22" t="str">
        <f t="shared" si="1"/>
        <v>Other</v>
      </c>
    </row>
    <row r="72" ht="15.75" customHeight="1">
      <c r="A72" s="22" t="str">
        <f>IF(MOV_CC_NACIONAL!A72="","",MOV_CC_NACIONAL!A72)</f>
        <v/>
      </c>
      <c r="B72" s="22" t="str">
        <f>IF(MOV_CC_NACIONAL!B72="","",MOV_CC_NACIONAL!B72)</f>
        <v/>
      </c>
      <c r="C72" s="21" t="str">
        <f>IF(MOV_CC_NACIONAL!C72="","",MOV_CC_NACIONAL!C72)</f>
        <v/>
      </c>
      <c r="D72" s="22" t="str">
        <f t="shared" si="1"/>
        <v>Other</v>
      </c>
    </row>
    <row r="73" ht="15.75" customHeight="1">
      <c r="A73" s="22" t="str">
        <f>IF(MOV_CC_NACIONAL!A73="","",MOV_CC_NACIONAL!A73)</f>
        <v/>
      </c>
      <c r="B73" s="22" t="str">
        <f>IF(MOV_CC_NACIONAL!B73="","",MOV_CC_NACIONAL!B73)</f>
        <v/>
      </c>
      <c r="C73" s="21" t="str">
        <f>IF(MOV_CC_NACIONAL!C73="","",MOV_CC_NACIONAL!C73)</f>
        <v/>
      </c>
      <c r="D73" s="22" t="str">
        <f t="shared" si="1"/>
        <v>Other</v>
      </c>
    </row>
    <row r="74" ht="15.75" customHeight="1">
      <c r="A74" s="22" t="str">
        <f>IF(MOV_CC_NACIONAL!A74="","",MOV_CC_NACIONAL!A74)</f>
        <v/>
      </c>
      <c r="B74" s="22" t="str">
        <f>IF(MOV_CC_NACIONAL!B74="","",MOV_CC_NACIONAL!B74)</f>
        <v/>
      </c>
      <c r="C74" s="21" t="str">
        <f>IF(MOV_CC_NACIONAL!C74="","",MOV_CC_NACIONAL!C74)</f>
        <v/>
      </c>
      <c r="D74" s="22" t="str">
        <f t="shared" si="1"/>
        <v>Other</v>
      </c>
    </row>
    <row r="75" ht="15.75" customHeight="1">
      <c r="A75" s="22" t="str">
        <f>IF(MOV_CC_NACIONAL!A75="","",MOV_CC_NACIONAL!A75)</f>
        <v/>
      </c>
      <c r="B75" s="22" t="str">
        <f>IF(MOV_CC_NACIONAL!B75="","",MOV_CC_NACIONAL!B75)</f>
        <v/>
      </c>
      <c r="C75" s="21" t="str">
        <f>IF(MOV_CC_NACIONAL!C75="","",MOV_CC_NACIONAL!C75)</f>
        <v/>
      </c>
      <c r="D75" s="22" t="str">
        <f t="shared" si="1"/>
        <v>Other</v>
      </c>
    </row>
    <row r="76" ht="15.75" customHeight="1">
      <c r="A76" s="22" t="str">
        <f>IF(MOV_CC_NACIONAL!A76="","",MOV_CC_NACIONAL!A76)</f>
        <v/>
      </c>
      <c r="B76" s="22" t="str">
        <f>IF(MOV_CC_NACIONAL!B76="","",MOV_CC_NACIONAL!B76)</f>
        <v/>
      </c>
      <c r="C76" s="21" t="str">
        <f>IF(MOV_CC_NACIONAL!C76="","",MOV_CC_NACIONAL!C76)</f>
        <v/>
      </c>
      <c r="D76" s="22" t="str">
        <f t="shared" si="1"/>
        <v>Other</v>
      </c>
    </row>
    <row r="77" ht="15.75" customHeight="1">
      <c r="A77" s="22" t="str">
        <f>IF(MOV_CC_NACIONAL!A77="","",MOV_CC_NACIONAL!A77)</f>
        <v/>
      </c>
      <c r="B77" s="22" t="str">
        <f>IF(MOV_CC_NACIONAL!B77="","",MOV_CC_NACIONAL!B77)</f>
        <v/>
      </c>
      <c r="C77" s="21" t="str">
        <f>IF(MOV_CC_NACIONAL!C77="","",MOV_CC_NACIONAL!C77)</f>
        <v/>
      </c>
      <c r="D77" s="22" t="str">
        <f t="shared" si="1"/>
        <v>Other</v>
      </c>
    </row>
    <row r="78" ht="15.75" customHeight="1">
      <c r="A78" s="22" t="str">
        <f>IF(MOV_CC_NACIONAL!A78="","",MOV_CC_NACIONAL!A78)</f>
        <v/>
      </c>
      <c r="B78" s="22" t="str">
        <f>IF(MOV_CC_NACIONAL!B78="","",MOV_CC_NACIONAL!B78)</f>
        <v/>
      </c>
      <c r="C78" s="21" t="str">
        <f>IF(MOV_CC_NACIONAL!C78="","",MOV_CC_NACIONAL!C78)</f>
        <v/>
      </c>
      <c r="D78" s="22" t="str">
        <f t="shared" si="1"/>
        <v>Other</v>
      </c>
    </row>
    <row r="79" ht="15.75" customHeight="1">
      <c r="A79" s="22" t="str">
        <f>IF(MOV_CC_NACIONAL!A79="","",MOV_CC_NACIONAL!A79)</f>
        <v/>
      </c>
      <c r="B79" s="22" t="str">
        <f>IF(MOV_CC_NACIONAL!B79="","",MOV_CC_NACIONAL!B79)</f>
        <v/>
      </c>
      <c r="C79" s="21" t="str">
        <f>IF(MOV_CC_NACIONAL!C79="","",MOV_CC_NACIONAL!C79)</f>
        <v/>
      </c>
      <c r="D79" s="22" t="str">
        <f t="shared" si="1"/>
        <v>Other</v>
      </c>
    </row>
    <row r="80" ht="15.75" customHeight="1">
      <c r="A80" s="22" t="str">
        <f>IF(MOV_CC_NACIONAL!A80="","",MOV_CC_NACIONAL!A80)</f>
        <v/>
      </c>
      <c r="B80" s="22" t="str">
        <f>IF(MOV_CC_NACIONAL!B80="","",MOV_CC_NACIONAL!B80)</f>
        <v/>
      </c>
      <c r="C80" s="21" t="str">
        <f>IF(MOV_CC_NACIONAL!C80="","",MOV_CC_NACIONAL!C80)</f>
        <v/>
      </c>
      <c r="D80" s="22" t="str">
        <f t="shared" si="1"/>
        <v>Other</v>
      </c>
    </row>
    <row r="81" ht="15.75" customHeight="1">
      <c r="A81" s="22" t="str">
        <f>IF(MOV_CC_NACIONAL!A81="","",MOV_CC_NACIONAL!A81)</f>
        <v/>
      </c>
      <c r="B81" s="22" t="str">
        <f>IF(MOV_CC_NACIONAL!B81="","",MOV_CC_NACIONAL!B81)</f>
        <v/>
      </c>
      <c r="C81" s="21" t="str">
        <f>IF(MOV_CC_NACIONAL!C81="","",MOV_CC_NACIONAL!C81)</f>
        <v/>
      </c>
      <c r="D81" s="22" t="str">
        <f t="shared" si="1"/>
        <v>Other</v>
      </c>
    </row>
    <row r="82" ht="15.75" customHeight="1">
      <c r="A82" s="22" t="str">
        <f>IF(MOV_CC_NACIONAL!A82="","",MOV_CC_NACIONAL!A82)</f>
        <v/>
      </c>
      <c r="B82" s="22" t="str">
        <f>IF(MOV_CC_NACIONAL!B82="","",MOV_CC_NACIONAL!B82)</f>
        <v/>
      </c>
      <c r="C82" s="21" t="str">
        <f>IF(MOV_CC_NACIONAL!C82="","",MOV_CC_NACIONAL!C82)</f>
        <v/>
      </c>
      <c r="D82" s="22" t="str">
        <f t="shared" si="1"/>
        <v>Other</v>
      </c>
    </row>
    <row r="83" ht="15.75" customHeight="1">
      <c r="A83" s="22" t="str">
        <f>IF(MOV_CC_NACIONAL!A83="","",MOV_CC_NACIONAL!A83)</f>
        <v/>
      </c>
      <c r="B83" s="22" t="str">
        <f>IF(MOV_CC_NACIONAL!B83="","",MOV_CC_NACIONAL!B83)</f>
        <v/>
      </c>
      <c r="C83" s="21" t="str">
        <f>IF(MOV_CC_NACIONAL!C83="","",MOV_CC_NACIONAL!C83)</f>
        <v/>
      </c>
      <c r="D83" s="22" t="str">
        <f t="shared" si="1"/>
        <v>Other</v>
      </c>
    </row>
    <row r="84" ht="15.75" customHeight="1">
      <c r="A84" s="22" t="str">
        <f>IF(MOV_CC_NACIONAL!A84="","",MOV_CC_NACIONAL!A84)</f>
        <v/>
      </c>
      <c r="B84" s="22" t="str">
        <f>IF(MOV_CC_NACIONAL!B84="","",MOV_CC_NACIONAL!B84)</f>
        <v/>
      </c>
      <c r="C84" s="21" t="str">
        <f>IF(MOV_CC_NACIONAL!C84="","",MOV_CC_NACIONAL!C84)</f>
        <v/>
      </c>
      <c r="D84" s="22" t="str">
        <f t="shared" si="1"/>
        <v>Other</v>
      </c>
    </row>
    <row r="85" ht="15.75" customHeight="1">
      <c r="A85" s="22" t="str">
        <f>IF(MOV_CC_NACIONAL!A85="","",MOV_CC_NACIONAL!A85)</f>
        <v/>
      </c>
      <c r="B85" s="22" t="str">
        <f>IF(MOV_CC_NACIONAL!B85="","",MOV_CC_NACIONAL!B85)</f>
        <v/>
      </c>
      <c r="C85" s="21" t="str">
        <f>IF(MOV_CC_NACIONAL!C85="","",MOV_CC_NACIONAL!C85)</f>
        <v/>
      </c>
      <c r="D85" s="22" t="str">
        <f t="shared" si="1"/>
        <v>Other</v>
      </c>
    </row>
    <row r="86" ht="15.75" customHeight="1">
      <c r="A86" s="22" t="str">
        <f>IF(MOV_CC_NACIONAL!A86="","",MOV_CC_NACIONAL!A86)</f>
        <v/>
      </c>
      <c r="B86" s="22" t="str">
        <f>IF(MOV_CC_NACIONAL!B86="","",MOV_CC_NACIONAL!B86)</f>
        <v/>
      </c>
      <c r="C86" s="21" t="str">
        <f>IF(MOV_CC_NACIONAL!C86="","",MOV_CC_NACIONAL!C86)</f>
        <v/>
      </c>
      <c r="D86" s="22" t="str">
        <f t="shared" si="1"/>
        <v>Other</v>
      </c>
    </row>
    <row r="87" ht="15.75" customHeight="1">
      <c r="A87" s="22" t="str">
        <f>IF(MOV_CC_NACIONAL!A87="","",MOV_CC_NACIONAL!A87)</f>
        <v/>
      </c>
      <c r="B87" s="22" t="str">
        <f>IF(MOV_CC_NACIONAL!B87="","",MOV_CC_NACIONAL!B87)</f>
        <v/>
      </c>
      <c r="C87" s="21" t="str">
        <f>IF(MOV_CC_NACIONAL!C87="","",MOV_CC_NACIONAL!C87)</f>
        <v/>
      </c>
      <c r="D87" s="22" t="str">
        <f t="shared" si="1"/>
        <v>Other</v>
      </c>
    </row>
    <row r="88" ht="15.75" customHeight="1">
      <c r="A88" s="22" t="str">
        <f>IF(MOV_CC_NACIONAL!A88="","",MOV_CC_NACIONAL!A88)</f>
        <v/>
      </c>
      <c r="B88" s="22" t="str">
        <f>IF(MOV_CC_NACIONAL!B88="","",MOV_CC_NACIONAL!B88)</f>
        <v/>
      </c>
      <c r="C88" s="21" t="str">
        <f>IF(MOV_CC_NACIONAL!C88="","",MOV_CC_NACIONAL!C88)</f>
        <v/>
      </c>
      <c r="D88" s="22" t="str">
        <f t="shared" si="1"/>
        <v>Other</v>
      </c>
    </row>
    <row r="89" ht="15.75" customHeight="1">
      <c r="A89" s="22" t="str">
        <f>IF(MOV_CC_NACIONAL!A89="","",MOV_CC_NACIONAL!A89)</f>
        <v/>
      </c>
      <c r="B89" s="22" t="str">
        <f>IF(MOV_CC_NACIONAL!B89="","",MOV_CC_NACIONAL!B89)</f>
        <v/>
      </c>
      <c r="C89" s="21" t="str">
        <f>IF(MOV_CC_NACIONAL!C89="","",MOV_CC_NACIONAL!C89)</f>
        <v/>
      </c>
      <c r="D89" s="22" t="str">
        <f t="shared" si="1"/>
        <v>Other</v>
      </c>
    </row>
    <row r="90" ht="15.75" customHeight="1">
      <c r="A90" s="22" t="str">
        <f>IF(MOV_CC_NACIONAL!A90="","",MOV_CC_NACIONAL!A90)</f>
        <v/>
      </c>
      <c r="B90" s="22" t="str">
        <f>IF(MOV_CC_NACIONAL!B90="","",MOV_CC_NACIONAL!B90)</f>
        <v/>
      </c>
      <c r="C90" s="21" t="str">
        <f>IF(MOV_CC_NACIONAL!C90="","",MOV_CC_NACIONAL!C90)</f>
        <v/>
      </c>
      <c r="D90" s="22" t="str">
        <f t="shared" si="1"/>
        <v>Other</v>
      </c>
    </row>
    <row r="91" ht="15.75" customHeight="1">
      <c r="A91" s="22" t="str">
        <f>IF(MOV_CC_NACIONAL!A91="","",MOV_CC_NACIONAL!A91)</f>
        <v/>
      </c>
      <c r="B91" s="22" t="str">
        <f>IF(MOV_CC_NACIONAL!B91="","",MOV_CC_NACIONAL!B91)</f>
        <v/>
      </c>
      <c r="C91" s="21" t="str">
        <f>IF(MOV_CC_NACIONAL!C91="","",MOV_CC_NACIONAL!C91)</f>
        <v/>
      </c>
      <c r="D91" s="22" t="str">
        <f t="shared" si="1"/>
        <v>Other</v>
      </c>
    </row>
    <row r="92" ht="15.75" customHeight="1">
      <c r="A92" s="22" t="str">
        <f>IF(MOV_CC_NACIONAL!A92="","",MOV_CC_NACIONAL!A92)</f>
        <v/>
      </c>
      <c r="B92" s="22" t="str">
        <f>IF(MOV_CC_NACIONAL!B92="","",MOV_CC_NACIONAL!B92)</f>
        <v/>
      </c>
      <c r="C92" s="21" t="str">
        <f>IF(MOV_CC_NACIONAL!C92="","",MOV_CC_NACIONAL!C92)</f>
        <v/>
      </c>
      <c r="D92" s="22" t="str">
        <f t="shared" si="1"/>
        <v>Other</v>
      </c>
    </row>
    <row r="93" ht="15.75" customHeight="1">
      <c r="A93" s="22" t="str">
        <f>IF(MOV_CC_NACIONAL!A93="","",MOV_CC_NACIONAL!A93)</f>
        <v/>
      </c>
      <c r="B93" s="22" t="str">
        <f>IF(MOV_CC_NACIONAL!B93="","",MOV_CC_NACIONAL!B93)</f>
        <v/>
      </c>
      <c r="C93" s="21" t="str">
        <f>IF(MOV_CC_NACIONAL!C93="","",MOV_CC_NACIONAL!C93)</f>
        <v/>
      </c>
      <c r="D93" s="22" t="str">
        <f t="shared" si="1"/>
        <v>Other</v>
      </c>
    </row>
    <row r="94" ht="15.75" customHeight="1">
      <c r="A94" s="22" t="str">
        <f>IF(MOV_CC_NACIONAL!A94="","",MOV_CC_NACIONAL!A94)</f>
        <v/>
      </c>
      <c r="B94" s="22" t="str">
        <f>IF(MOV_CC_NACIONAL!B94="","",MOV_CC_NACIONAL!B94)</f>
        <v/>
      </c>
      <c r="C94" s="21" t="str">
        <f>IF(MOV_CC_NACIONAL!C94="","",MOV_CC_NACIONAL!C94)</f>
        <v/>
      </c>
      <c r="D94" s="22" t="str">
        <f t="shared" si="1"/>
        <v>Other</v>
      </c>
    </row>
    <row r="95" ht="15.75" customHeight="1">
      <c r="A95" s="22" t="str">
        <f>IF(MOV_CC_NACIONAL!A95="","",MOV_CC_NACIONAL!A95)</f>
        <v/>
      </c>
      <c r="B95" s="22" t="str">
        <f>IF(MOV_CC_NACIONAL!B95="","",MOV_CC_NACIONAL!B95)</f>
        <v/>
      </c>
      <c r="C95" s="21" t="str">
        <f>IF(MOV_CC_NACIONAL!C95="","",MOV_CC_NACIONAL!C95)</f>
        <v/>
      </c>
      <c r="D95" s="22" t="str">
        <f t="shared" si="1"/>
        <v>Other</v>
      </c>
    </row>
    <row r="96" ht="15.75" customHeight="1">
      <c r="A96" s="22" t="str">
        <f>IF(MOV_CC_NACIONAL!A96="","",MOV_CC_NACIONAL!A96)</f>
        <v/>
      </c>
      <c r="B96" s="22" t="str">
        <f>IF(MOV_CC_NACIONAL!B96="","",MOV_CC_NACIONAL!B96)</f>
        <v/>
      </c>
      <c r="C96" s="21" t="str">
        <f>IF(MOV_CC_NACIONAL!C96="","",MOV_CC_NACIONAL!C96)</f>
        <v/>
      </c>
      <c r="D96" s="22" t="str">
        <f t="shared" si="1"/>
        <v>Other</v>
      </c>
    </row>
    <row r="97" ht="15.75" customHeight="1">
      <c r="A97" s="22" t="str">
        <f>IF(MOV_CC_NACIONAL!A97="","",MOV_CC_NACIONAL!A97)</f>
        <v/>
      </c>
      <c r="B97" s="22" t="str">
        <f>IF(MOV_CC_NACIONAL!B97="","",MOV_CC_NACIONAL!B97)</f>
        <v/>
      </c>
      <c r="C97" s="21" t="str">
        <f>IF(MOV_CC_NACIONAL!C97="","",MOV_CC_NACIONAL!C97)</f>
        <v/>
      </c>
      <c r="D97" s="22" t="str">
        <f t="shared" si="1"/>
        <v>Other</v>
      </c>
    </row>
    <row r="98" ht="15.75" customHeight="1">
      <c r="A98" s="22" t="str">
        <f>IF(MOV_CC_NACIONAL!A98="","",MOV_CC_NACIONAL!A98)</f>
        <v/>
      </c>
      <c r="B98" s="22" t="str">
        <f>IF(MOV_CC_NACIONAL!B98="","",MOV_CC_NACIONAL!B98)</f>
        <v/>
      </c>
      <c r="C98" s="21" t="str">
        <f>IF(MOV_CC_NACIONAL!C98="","",MOV_CC_NACIONAL!C98)</f>
        <v/>
      </c>
      <c r="D98" s="22" t="str">
        <f t="shared" si="1"/>
        <v>Other</v>
      </c>
    </row>
    <row r="99" ht="15.75" customHeight="1">
      <c r="A99" s="22" t="str">
        <f>IF(MOV_CC_NACIONAL!A99="","",MOV_CC_NACIONAL!A99)</f>
        <v/>
      </c>
      <c r="B99" s="22" t="str">
        <f>IF(MOV_CC_NACIONAL!B99="","",MOV_CC_NACIONAL!B99)</f>
        <v/>
      </c>
      <c r="C99" s="21" t="str">
        <f>IF(MOV_CC_NACIONAL!C99="","",MOV_CC_NACIONAL!C99)</f>
        <v/>
      </c>
      <c r="D99" s="22" t="str">
        <f t="shared" si="1"/>
        <v>Other</v>
      </c>
    </row>
    <row r="100" ht="15.75" customHeight="1">
      <c r="A100" s="22" t="str">
        <f>IF(MOV_CC_NACIONAL!A100="","",MOV_CC_NACIONAL!A100)</f>
        <v/>
      </c>
      <c r="B100" s="22" t="str">
        <f>IF(MOV_CC_NACIONAL!B100="","",MOV_CC_NACIONAL!B100)</f>
        <v/>
      </c>
      <c r="C100" s="21" t="str">
        <f>IF(MOV_CC_NACIONAL!C100="","",MOV_CC_NACIONAL!C100)</f>
        <v/>
      </c>
      <c r="D100" s="22" t="str">
        <f t="shared" si="1"/>
        <v>Other</v>
      </c>
    </row>
    <row r="101" ht="15.75" customHeight="1">
      <c r="A101" s="22" t="str">
        <f>IF(MOV_CC_NACIONAL!A101="","",MOV_CC_NACIONAL!A101)</f>
        <v/>
      </c>
      <c r="B101" s="22" t="str">
        <f>IF(MOV_CC_NACIONAL!B101="","",MOV_CC_NACIONAL!B101)</f>
        <v/>
      </c>
      <c r="C101" s="21" t="str">
        <f>IF(MOV_CC_NACIONAL!C101="","",MOV_CC_NACIONAL!C101)</f>
        <v/>
      </c>
      <c r="D101" s="22" t="str">
        <f t="shared" si="1"/>
        <v>Other</v>
      </c>
    </row>
    <row r="102" ht="15.75" customHeight="1">
      <c r="A102" s="22" t="str">
        <f>IF(MOV_CC_NACIONAL!A102="","",MOV_CC_NACIONAL!A102)</f>
        <v/>
      </c>
      <c r="B102" s="22" t="str">
        <f>IF(MOV_CC_NACIONAL!B102="","",MOV_CC_NACIONAL!B102)</f>
        <v/>
      </c>
      <c r="C102" s="21" t="str">
        <f>IF(MOV_CC_NACIONAL!C102="","",MOV_CC_NACIONAL!C102)</f>
        <v/>
      </c>
      <c r="D102" s="22" t="str">
        <f t="shared" si="1"/>
        <v>Other</v>
      </c>
    </row>
    <row r="103" ht="15.75" customHeight="1">
      <c r="A103" s="22" t="str">
        <f>IF(MOV_CC_NACIONAL!A103="","",MOV_CC_NACIONAL!A103)</f>
        <v/>
      </c>
      <c r="B103" s="22" t="str">
        <f>IF(MOV_CC_NACIONAL!B103="","",MOV_CC_NACIONAL!B103)</f>
        <v/>
      </c>
      <c r="C103" s="21" t="str">
        <f>IF(MOV_CC_NACIONAL!C103="","",MOV_CC_NACIONAL!C103)</f>
        <v/>
      </c>
      <c r="D103" s="22" t="str">
        <f t="shared" si="1"/>
        <v>Other</v>
      </c>
    </row>
    <row r="104" ht="15.75" customHeight="1">
      <c r="A104" s="22" t="str">
        <f>IF(MOV_CC_NACIONAL!A104="","",MOV_CC_NACIONAL!A104)</f>
        <v/>
      </c>
      <c r="B104" s="22" t="str">
        <f>IF(MOV_CC_NACIONAL!B104="","",MOV_CC_NACIONAL!B104)</f>
        <v/>
      </c>
      <c r="C104" s="21" t="str">
        <f>IF(MOV_CC_NACIONAL!C104="","",MOV_CC_NACIONAL!C104)</f>
        <v/>
      </c>
      <c r="D104" s="22" t="str">
        <f t="shared" si="1"/>
        <v>Other</v>
      </c>
    </row>
    <row r="105" ht="15.75" customHeight="1">
      <c r="A105" s="22" t="str">
        <f>IF(MOV_CC_NACIONAL!A105="","",MOV_CC_NACIONAL!A105)</f>
        <v/>
      </c>
      <c r="B105" s="22" t="str">
        <f>IF(MOV_CC_NACIONAL!B105="","",MOV_CC_NACIONAL!B105)</f>
        <v/>
      </c>
      <c r="C105" s="21" t="str">
        <f>IF(MOV_CC_NACIONAL!C105="","",MOV_CC_NACIONAL!C105)</f>
        <v/>
      </c>
      <c r="D105" s="22" t="str">
        <f t="shared" si="1"/>
        <v>Other</v>
      </c>
    </row>
    <row r="106" ht="15.75" customHeight="1">
      <c r="A106" s="22" t="str">
        <f>IF(MOV_CC_NACIONAL!A106="","",MOV_CC_NACIONAL!A106)</f>
        <v/>
      </c>
      <c r="B106" s="22" t="str">
        <f>IF(MOV_CC_NACIONAL!B106="","",MOV_CC_NACIONAL!B106)</f>
        <v/>
      </c>
      <c r="C106" s="21" t="str">
        <f>IF(MOV_CC_NACIONAL!C106="","",MOV_CC_NACIONAL!C106)</f>
        <v/>
      </c>
      <c r="D106" s="22" t="str">
        <f t="shared" si="1"/>
        <v>Other</v>
      </c>
    </row>
    <row r="107" ht="15.75" customHeight="1">
      <c r="A107" s="22" t="str">
        <f>IF(MOV_CC_NACIONAL!A107="","",MOV_CC_NACIONAL!A107)</f>
        <v/>
      </c>
      <c r="B107" s="22" t="str">
        <f>IF(MOV_CC_NACIONAL!B107="","",MOV_CC_NACIONAL!B107)</f>
        <v/>
      </c>
      <c r="C107" s="21" t="str">
        <f>IF(MOV_CC_NACIONAL!C107="","",MOV_CC_NACIONAL!C107)</f>
        <v/>
      </c>
      <c r="D107" s="22" t="str">
        <f t="shared" si="1"/>
        <v>Other</v>
      </c>
    </row>
    <row r="108" ht="15.75" customHeight="1">
      <c r="A108" s="22" t="str">
        <f>IF(MOV_CC_NACIONAL!A108="","",MOV_CC_NACIONAL!A108)</f>
        <v/>
      </c>
      <c r="B108" s="22" t="str">
        <f>IF(MOV_CC_NACIONAL!B108="","",MOV_CC_NACIONAL!B108)</f>
        <v/>
      </c>
      <c r="C108" s="21" t="str">
        <f>IF(MOV_CC_NACIONAL!C108="","",MOV_CC_NACIONAL!C108)</f>
        <v/>
      </c>
      <c r="D108" s="22" t="str">
        <f t="shared" si="1"/>
        <v>Other</v>
      </c>
    </row>
    <row r="109" ht="15.75" customHeight="1">
      <c r="A109" s="22" t="str">
        <f>IF(MOV_CC_NACIONAL!A109="","",MOV_CC_NACIONAL!A109)</f>
        <v/>
      </c>
      <c r="B109" s="22" t="str">
        <f>IF(MOV_CC_NACIONAL!B109="","",MOV_CC_NACIONAL!B109)</f>
        <v/>
      </c>
      <c r="C109" s="21" t="str">
        <f>IF(MOV_CC_NACIONAL!C109="","",MOV_CC_NACIONAL!C109)</f>
        <v/>
      </c>
      <c r="D109" s="22" t="str">
        <f t="shared" si="1"/>
        <v>Other</v>
      </c>
    </row>
    <row r="110" ht="15.75" customHeight="1">
      <c r="A110" s="22" t="str">
        <f>IF(MOV_CC_NACIONAL!A110="","",MOV_CC_NACIONAL!A110)</f>
        <v/>
      </c>
      <c r="B110" s="22" t="str">
        <f>IF(MOV_CC_NACIONAL!B110="","",MOV_CC_NACIONAL!B110)</f>
        <v/>
      </c>
      <c r="C110" s="21" t="str">
        <f>IF(MOV_CC_NACIONAL!C110="","",MOV_CC_NACIONAL!C110)</f>
        <v/>
      </c>
      <c r="D110" s="22" t="str">
        <f t="shared" si="1"/>
        <v>Other</v>
      </c>
    </row>
    <row r="111" ht="15.75" customHeight="1">
      <c r="A111" s="22" t="str">
        <f>IF(MOV_CC_NACIONAL!A111="","",MOV_CC_NACIONAL!A111)</f>
        <v/>
      </c>
      <c r="B111" s="22" t="str">
        <f>IF(MOV_CC_NACIONAL!B111="","",MOV_CC_NACIONAL!B111)</f>
        <v/>
      </c>
      <c r="C111" s="21" t="str">
        <f>IF(MOV_CC_NACIONAL!C111="","",MOV_CC_NACIONAL!C111)</f>
        <v/>
      </c>
      <c r="D111" s="22" t="str">
        <f t="shared" si="1"/>
        <v>Other</v>
      </c>
    </row>
    <row r="112" ht="15.75" customHeight="1">
      <c r="A112" s="22" t="str">
        <f>IF(MOV_CC_NACIONAL!A112="","",MOV_CC_NACIONAL!A112)</f>
        <v/>
      </c>
      <c r="B112" s="22" t="str">
        <f>IF(MOV_CC_NACIONAL!B112="","",MOV_CC_NACIONAL!B112)</f>
        <v/>
      </c>
      <c r="C112" s="21" t="str">
        <f>IF(MOV_CC_NACIONAL!C112="","",MOV_CC_NACIONAL!C112)</f>
        <v/>
      </c>
      <c r="D112" s="22" t="str">
        <f t="shared" si="1"/>
        <v>Other</v>
      </c>
    </row>
    <row r="113" ht="15.75" customHeight="1">
      <c r="A113" s="22" t="str">
        <f>IF(MOV_CC_NACIONAL!A113="","",MOV_CC_NACIONAL!A113)</f>
        <v/>
      </c>
      <c r="B113" s="22" t="str">
        <f>IF(MOV_CC_NACIONAL!B113="","",MOV_CC_NACIONAL!B113)</f>
        <v/>
      </c>
      <c r="C113" s="21" t="str">
        <f>IF(MOV_CC_NACIONAL!C113="","",MOV_CC_NACIONAL!C113)</f>
        <v/>
      </c>
      <c r="D113" s="22" t="str">
        <f t="shared" si="1"/>
        <v>Other</v>
      </c>
    </row>
    <row r="114" ht="15.75" customHeight="1">
      <c r="A114" s="22" t="str">
        <f>IF(MOV_CC_NACIONAL!A114="","",MOV_CC_NACIONAL!A114)</f>
        <v/>
      </c>
      <c r="B114" s="22" t="str">
        <f>IF(MOV_CC_NACIONAL!B114="","",MOV_CC_NACIONAL!B114)</f>
        <v/>
      </c>
      <c r="C114" s="21" t="str">
        <f>IF(MOV_CC_NACIONAL!C114="","",MOV_CC_NACIONAL!C114)</f>
        <v/>
      </c>
      <c r="D114" s="22" t="str">
        <f t="shared" si="1"/>
        <v>Other</v>
      </c>
    </row>
    <row r="115" ht="15.75" customHeight="1">
      <c r="A115" s="22" t="str">
        <f>IF(MOV_CC_NACIONAL!A115="","",MOV_CC_NACIONAL!A115)</f>
        <v/>
      </c>
      <c r="B115" s="22" t="str">
        <f>IF(MOV_CC_NACIONAL!B115="","",MOV_CC_NACIONAL!B115)</f>
        <v/>
      </c>
      <c r="C115" s="21" t="str">
        <f>IF(MOV_CC_NACIONAL!C115="","",MOV_CC_NACIONAL!C115)</f>
        <v/>
      </c>
      <c r="D115" s="22" t="str">
        <f t="shared" si="1"/>
        <v>Other</v>
      </c>
    </row>
    <row r="116" ht="15.75" customHeight="1">
      <c r="A116" s="22" t="str">
        <f>IF(MOV_CC_NACIONAL!A116="","",MOV_CC_NACIONAL!A116)</f>
        <v/>
      </c>
      <c r="B116" s="22" t="str">
        <f>IF(MOV_CC_NACIONAL!B116="","",MOV_CC_NACIONAL!B116)</f>
        <v/>
      </c>
      <c r="C116" s="21" t="str">
        <f>IF(MOV_CC_NACIONAL!C116="","",MOV_CC_NACIONAL!C116)</f>
        <v/>
      </c>
      <c r="D116" s="22" t="str">
        <f t="shared" si="1"/>
        <v>Other</v>
      </c>
    </row>
    <row r="117" ht="15.75" customHeight="1">
      <c r="A117" s="22" t="str">
        <f>IF(MOV_CC_NACIONAL!A117="","",MOV_CC_NACIONAL!A117)</f>
        <v/>
      </c>
      <c r="B117" s="22" t="str">
        <f>IF(MOV_CC_NACIONAL!B117="","",MOV_CC_NACIONAL!B117)</f>
        <v/>
      </c>
      <c r="C117" s="21" t="str">
        <f>IF(MOV_CC_NACIONAL!C117="","",MOV_CC_NACIONAL!C117)</f>
        <v/>
      </c>
      <c r="D117" s="22" t="str">
        <f t="shared" si="1"/>
        <v>Other</v>
      </c>
    </row>
    <row r="118" ht="15.75" customHeight="1">
      <c r="A118" s="22" t="str">
        <f>IF(MOV_CC_NACIONAL!A118="","",MOV_CC_NACIONAL!A118)</f>
        <v/>
      </c>
      <c r="B118" s="22" t="str">
        <f>IF(MOV_CC_NACIONAL!B118="","",MOV_CC_NACIONAL!B118)</f>
        <v/>
      </c>
      <c r="C118" s="21" t="str">
        <f>IF(MOV_CC_NACIONAL!C118="","",MOV_CC_NACIONAL!C118)</f>
        <v/>
      </c>
      <c r="D118" s="22" t="str">
        <f t="shared" si="1"/>
        <v>Other</v>
      </c>
    </row>
    <row r="119" ht="15.75" customHeight="1">
      <c r="A119" s="22" t="str">
        <f>IF(MOV_CC_NACIONAL!A119="","",MOV_CC_NACIONAL!A119)</f>
        <v/>
      </c>
      <c r="B119" s="22" t="str">
        <f>IF(MOV_CC_NACIONAL!B119="","",MOV_CC_NACIONAL!B119)</f>
        <v/>
      </c>
      <c r="C119" s="21" t="str">
        <f>IF(MOV_CC_NACIONAL!C119="","",MOV_CC_NACIONAL!C119)</f>
        <v/>
      </c>
      <c r="D119" s="22" t="str">
        <f t="shared" si="1"/>
        <v>Other</v>
      </c>
    </row>
    <row r="120" ht="15.75" customHeight="1">
      <c r="A120" s="22" t="str">
        <f>IF(MOV_CC_NACIONAL!A120="","",MOV_CC_NACIONAL!A120)</f>
        <v/>
      </c>
      <c r="B120" s="22" t="str">
        <f>IF(MOV_CC_NACIONAL!B120="","",MOV_CC_NACIONAL!B120)</f>
        <v/>
      </c>
      <c r="C120" s="21" t="str">
        <f>IF(MOV_CC_NACIONAL!C120="","",MOV_CC_NACIONAL!C120)</f>
        <v/>
      </c>
      <c r="D120" s="22" t="str">
        <f t="shared" si="1"/>
        <v>Other</v>
      </c>
    </row>
    <row r="121" ht="15.75" customHeight="1">
      <c r="A121" s="22" t="str">
        <f>IF(MOV_CC_NACIONAL!A121="","",MOV_CC_NACIONAL!A121)</f>
        <v/>
      </c>
      <c r="B121" s="22" t="str">
        <f>IF(MOV_CC_NACIONAL!B121="","",MOV_CC_NACIONAL!B121)</f>
        <v/>
      </c>
      <c r="C121" s="21" t="str">
        <f>IF(MOV_CC_NACIONAL!C121="","",MOV_CC_NACIONAL!C121)</f>
        <v/>
      </c>
      <c r="D121" s="22" t="str">
        <f t="shared" si="1"/>
        <v>Other</v>
      </c>
    </row>
    <row r="122" ht="15.75" customHeight="1">
      <c r="A122" s="22" t="str">
        <f>IF(MOV_CC_NACIONAL!A122="","",MOV_CC_NACIONAL!A122)</f>
        <v/>
      </c>
      <c r="B122" s="22" t="str">
        <f>IF(MOV_CC_NACIONAL!B122="","",MOV_CC_NACIONAL!B122)</f>
        <v/>
      </c>
      <c r="C122" s="21" t="str">
        <f>IF(MOV_CC_NACIONAL!C122="","",MOV_CC_NACIONAL!C122)</f>
        <v/>
      </c>
      <c r="D122" s="22" t="str">
        <f t="shared" si="1"/>
        <v>Other</v>
      </c>
    </row>
    <row r="123" ht="15.75" customHeight="1">
      <c r="A123" s="22" t="str">
        <f>IF(MOV_CC_NACIONAL!A123="","",MOV_CC_NACIONAL!A123)</f>
        <v/>
      </c>
      <c r="B123" s="22" t="str">
        <f>IF(MOV_CC_NACIONAL!B123="","",MOV_CC_NACIONAL!B123)</f>
        <v/>
      </c>
      <c r="C123" s="21" t="str">
        <f>IF(MOV_CC_NACIONAL!C123="","",MOV_CC_NACIONAL!C123)</f>
        <v/>
      </c>
      <c r="D123" s="22" t="str">
        <f t="shared" si="1"/>
        <v>Other</v>
      </c>
    </row>
    <row r="124" ht="15.75" customHeight="1">
      <c r="A124" s="22" t="str">
        <f>IF(MOV_CC_NACIONAL!A124="","",MOV_CC_NACIONAL!A124)</f>
        <v/>
      </c>
      <c r="B124" s="22" t="str">
        <f>IF(MOV_CC_NACIONAL!B124="","",MOV_CC_NACIONAL!B124)</f>
        <v/>
      </c>
      <c r="C124" s="21" t="str">
        <f>IF(MOV_CC_NACIONAL!C124="","",MOV_CC_NACIONAL!C124)</f>
        <v/>
      </c>
      <c r="D124" s="22" t="str">
        <f t="shared" si="1"/>
        <v>Other</v>
      </c>
    </row>
    <row r="125" ht="15.75" customHeight="1">
      <c r="A125" s="22" t="str">
        <f>IF(MOV_CC_NACIONAL!A125="","",MOV_CC_NACIONAL!A125)</f>
        <v/>
      </c>
      <c r="B125" s="22" t="str">
        <f>IF(MOV_CC_NACIONAL!B125="","",MOV_CC_NACIONAL!B125)</f>
        <v/>
      </c>
      <c r="C125" s="21" t="str">
        <f>IF(MOV_CC_NACIONAL!C125="","",MOV_CC_NACIONAL!C125)</f>
        <v/>
      </c>
      <c r="D125" s="22" t="str">
        <f t="shared" si="1"/>
        <v>Other</v>
      </c>
    </row>
    <row r="126" ht="15.75" customHeight="1">
      <c r="A126" s="22" t="str">
        <f>IF(MOV_CC_NACIONAL!A126="","",MOV_CC_NACIONAL!A126)</f>
        <v/>
      </c>
      <c r="B126" s="22" t="str">
        <f>IF(MOV_CC_NACIONAL!B126="","",MOV_CC_NACIONAL!B126)</f>
        <v/>
      </c>
      <c r="C126" s="21" t="str">
        <f>IF(MOV_CC_NACIONAL!C126="","",MOV_CC_NACIONAL!C126)</f>
        <v/>
      </c>
      <c r="D126" s="22" t="str">
        <f t="shared" si="1"/>
        <v>Other</v>
      </c>
    </row>
    <row r="127" ht="15.75" customHeight="1">
      <c r="A127" s="22" t="str">
        <f>IF(MOV_CC_NACIONAL!A127="","",MOV_CC_NACIONAL!A127)</f>
        <v/>
      </c>
      <c r="B127" s="22" t="str">
        <f>IF(MOV_CC_NACIONAL!B127="","",MOV_CC_NACIONAL!B127)</f>
        <v/>
      </c>
      <c r="C127" s="21" t="str">
        <f>IF(MOV_CC_NACIONAL!C127="","",MOV_CC_NACIONAL!C127)</f>
        <v/>
      </c>
      <c r="D127" s="22" t="str">
        <f t="shared" si="1"/>
        <v>Other</v>
      </c>
    </row>
    <row r="128" ht="15.75" customHeight="1">
      <c r="A128" s="22" t="str">
        <f>IF(MOV_CC_NACIONAL!A128="","",MOV_CC_NACIONAL!A128)</f>
        <v/>
      </c>
      <c r="B128" s="22" t="str">
        <f>IF(MOV_CC_NACIONAL!B128="","",MOV_CC_NACIONAL!B128)</f>
        <v/>
      </c>
      <c r="C128" s="21" t="str">
        <f>IF(MOV_CC_NACIONAL!C128="","",MOV_CC_NACIONAL!C128)</f>
        <v/>
      </c>
      <c r="D128" s="22" t="str">
        <f t="shared" si="1"/>
        <v>Other</v>
      </c>
    </row>
    <row r="129" ht="15.75" customHeight="1">
      <c r="A129" s="22" t="str">
        <f>IF(MOV_CC_NACIONAL!A129="","",MOV_CC_NACIONAL!A129)</f>
        <v/>
      </c>
      <c r="B129" s="22" t="str">
        <f>IF(MOV_CC_NACIONAL!B129="","",MOV_CC_NACIONAL!B129)</f>
        <v/>
      </c>
      <c r="C129" s="21" t="str">
        <f>IF(MOV_CC_NACIONAL!C129="","",MOV_CC_NACIONAL!C129)</f>
        <v/>
      </c>
      <c r="D129" s="22" t="str">
        <f t="shared" si="1"/>
        <v>Other</v>
      </c>
    </row>
    <row r="130" ht="15.75" customHeight="1">
      <c r="A130" s="22" t="str">
        <f>IF(MOV_CC_NACIONAL!A130="","",MOV_CC_NACIONAL!A130)</f>
        <v/>
      </c>
      <c r="B130" s="22" t="str">
        <f>IF(MOV_CC_NACIONAL!B130="","",MOV_CC_NACIONAL!B130)</f>
        <v/>
      </c>
      <c r="C130" s="21" t="str">
        <f>IF(MOV_CC_NACIONAL!C130="","",MOV_CC_NACIONAL!C130)</f>
        <v/>
      </c>
      <c r="D130" s="22" t="str">
        <f t="shared" si="1"/>
        <v>Other</v>
      </c>
    </row>
    <row r="131" ht="15.75" customHeight="1">
      <c r="A131" s="22" t="str">
        <f>IF(MOV_CC_NACIONAL!A131="","",MOV_CC_NACIONAL!A131)</f>
        <v/>
      </c>
      <c r="B131" s="22" t="str">
        <f>IF(MOV_CC_NACIONAL!B131="","",MOV_CC_NACIONAL!B131)</f>
        <v/>
      </c>
      <c r="C131" s="21" t="str">
        <f>IF(MOV_CC_NACIONAL!C131="","",MOV_CC_NACIONAL!C131)</f>
        <v/>
      </c>
      <c r="D131" s="22" t="str">
        <f t="shared" si="1"/>
        <v>Other</v>
      </c>
    </row>
    <row r="132" ht="15.75" customHeight="1">
      <c r="A132" s="22" t="str">
        <f>IF(MOV_CC_NACIONAL!A132="","",MOV_CC_NACIONAL!A132)</f>
        <v/>
      </c>
      <c r="B132" s="22" t="str">
        <f>IF(MOV_CC_NACIONAL!B132="","",MOV_CC_NACIONAL!B132)</f>
        <v/>
      </c>
      <c r="C132" s="21" t="str">
        <f>IF(MOV_CC_NACIONAL!C132="","",MOV_CC_NACIONAL!C132)</f>
        <v/>
      </c>
      <c r="D132" s="22" t="str">
        <f t="shared" si="1"/>
        <v>Other</v>
      </c>
    </row>
    <row r="133" ht="15.75" customHeight="1">
      <c r="A133" s="22" t="str">
        <f>IF(MOV_CC_NACIONAL!A133="","",MOV_CC_NACIONAL!A133)</f>
        <v/>
      </c>
      <c r="B133" s="22" t="str">
        <f>IF(MOV_CC_NACIONAL!B133="","",MOV_CC_NACIONAL!B133)</f>
        <v/>
      </c>
      <c r="C133" s="21" t="str">
        <f>IF(MOV_CC_NACIONAL!C133="","",MOV_CC_NACIONAL!C133)</f>
        <v/>
      </c>
      <c r="D133" s="22" t="str">
        <f t="shared" si="1"/>
        <v>Other</v>
      </c>
    </row>
    <row r="134" ht="15.75" customHeight="1">
      <c r="A134" s="22" t="str">
        <f>IF(MOV_CC_NACIONAL!A134="","",MOV_CC_NACIONAL!A134)</f>
        <v/>
      </c>
      <c r="B134" s="22" t="str">
        <f>IF(MOV_CC_NACIONAL!B134="","",MOV_CC_NACIONAL!B134)</f>
        <v/>
      </c>
      <c r="C134" s="21" t="str">
        <f>IF(MOV_CC_NACIONAL!C134="","",MOV_CC_NACIONAL!C134)</f>
        <v/>
      </c>
      <c r="D134" s="22" t="str">
        <f t="shared" si="1"/>
        <v>Other</v>
      </c>
    </row>
    <row r="135" ht="15.75" customHeight="1">
      <c r="A135" s="22" t="str">
        <f>IF(MOV_CC_NACIONAL!A135="","",MOV_CC_NACIONAL!A135)</f>
        <v/>
      </c>
      <c r="B135" s="22" t="str">
        <f>IF(MOV_CC_NACIONAL!B135="","",MOV_CC_NACIONAL!B135)</f>
        <v/>
      </c>
      <c r="C135" s="21" t="str">
        <f>IF(MOV_CC_NACIONAL!C135="","",MOV_CC_NACIONAL!C135)</f>
        <v/>
      </c>
      <c r="D135" s="22" t="str">
        <f t="shared" si="1"/>
        <v>Other</v>
      </c>
    </row>
    <row r="136" ht="15.75" customHeight="1">
      <c r="A136" s="22" t="str">
        <f>IF(MOV_CC_NACIONAL!A136="","",MOV_CC_NACIONAL!A136)</f>
        <v/>
      </c>
      <c r="B136" s="22" t="str">
        <f>IF(MOV_CC_NACIONAL!B136="","",MOV_CC_NACIONAL!B136)</f>
        <v/>
      </c>
      <c r="C136" s="21" t="str">
        <f>IF(MOV_CC_NACIONAL!C136="","",MOV_CC_NACIONAL!C136)</f>
        <v/>
      </c>
      <c r="D136" s="22" t="str">
        <f t="shared" si="1"/>
        <v>Other</v>
      </c>
    </row>
    <row r="137" ht="15.75" customHeight="1">
      <c r="A137" s="22" t="str">
        <f>IF(MOV_CC_NACIONAL!A137="","",MOV_CC_NACIONAL!A137)</f>
        <v/>
      </c>
      <c r="B137" s="22" t="str">
        <f>IF(MOV_CC_NACIONAL!B137="","",MOV_CC_NACIONAL!B137)</f>
        <v/>
      </c>
      <c r="C137" s="21" t="str">
        <f>IF(MOV_CC_NACIONAL!C137="","",MOV_CC_NACIONAL!C137)</f>
        <v/>
      </c>
      <c r="D137" s="22" t="str">
        <f t="shared" si="1"/>
        <v>Other</v>
      </c>
    </row>
    <row r="138" ht="15.75" customHeight="1">
      <c r="A138" s="22" t="str">
        <f>IF(MOV_CC_NACIONAL!A138="","",MOV_CC_NACIONAL!A138)</f>
        <v/>
      </c>
      <c r="B138" s="22" t="str">
        <f>IF(MOV_CC_NACIONAL!B138="","",MOV_CC_NACIONAL!B138)</f>
        <v/>
      </c>
      <c r="C138" s="21" t="str">
        <f>IF(MOV_CC_NACIONAL!C138="","",MOV_CC_NACIONAL!C138)</f>
        <v/>
      </c>
      <c r="D138" s="22" t="str">
        <f t="shared" si="1"/>
        <v>Other</v>
      </c>
    </row>
    <row r="139" ht="15.75" customHeight="1">
      <c r="A139" s="22" t="str">
        <f>IF(MOV_CC_NACIONAL!A139="","",MOV_CC_NACIONAL!A139)</f>
        <v/>
      </c>
      <c r="B139" s="22" t="str">
        <f>IF(MOV_CC_NACIONAL!B139="","",MOV_CC_NACIONAL!B139)</f>
        <v/>
      </c>
      <c r="C139" s="21" t="str">
        <f>IF(MOV_CC_NACIONAL!C139="","",MOV_CC_NACIONAL!C139)</f>
        <v/>
      </c>
      <c r="D139" s="22" t="str">
        <f t="shared" si="1"/>
        <v>Other</v>
      </c>
    </row>
    <row r="140" ht="15.75" customHeight="1">
      <c r="A140" s="22" t="str">
        <f>IF(MOV_CC_NACIONAL!A140="","",MOV_CC_NACIONAL!A140)</f>
        <v/>
      </c>
      <c r="B140" s="22" t="str">
        <f>IF(MOV_CC_NACIONAL!B140="","",MOV_CC_NACIONAL!B140)</f>
        <v/>
      </c>
      <c r="C140" s="21" t="str">
        <f>IF(MOV_CC_NACIONAL!C140="","",MOV_CC_NACIONAL!C140)</f>
        <v/>
      </c>
      <c r="D140" s="22" t="str">
        <f t="shared" si="1"/>
        <v>Other</v>
      </c>
    </row>
    <row r="141" ht="15.75" customHeight="1">
      <c r="A141" s="22" t="str">
        <f>IF(MOV_CC_NACIONAL!A141="","",MOV_CC_NACIONAL!A141)</f>
        <v/>
      </c>
      <c r="B141" s="22" t="str">
        <f>IF(MOV_CC_NACIONAL!B141="","",MOV_CC_NACIONAL!B141)</f>
        <v/>
      </c>
      <c r="C141" s="21" t="str">
        <f>IF(MOV_CC_NACIONAL!C141="","",MOV_CC_NACIONAL!C141)</f>
        <v/>
      </c>
      <c r="D141" s="22" t="str">
        <f t="shared" si="1"/>
        <v>Other</v>
      </c>
    </row>
    <row r="142" ht="15.75" customHeight="1">
      <c r="A142" s="22" t="str">
        <f>IF(MOV_CC_NACIONAL!A142="","",MOV_CC_NACIONAL!A142)</f>
        <v/>
      </c>
      <c r="B142" s="22" t="str">
        <f>IF(MOV_CC_NACIONAL!B142="","",MOV_CC_NACIONAL!B142)</f>
        <v/>
      </c>
      <c r="C142" s="21" t="str">
        <f>IF(MOV_CC_NACIONAL!C142="","",MOV_CC_NACIONAL!C142)</f>
        <v/>
      </c>
      <c r="D142" s="22" t="str">
        <f t="shared" si="1"/>
        <v>Other</v>
      </c>
    </row>
    <row r="143" ht="15.75" customHeight="1">
      <c r="A143" s="22" t="str">
        <f>IF(MOV_CC_NACIONAL!A143="","",MOV_CC_NACIONAL!A143)</f>
        <v/>
      </c>
      <c r="B143" s="22" t="str">
        <f>IF(MOV_CC_NACIONAL!B143="","",MOV_CC_NACIONAL!B143)</f>
        <v/>
      </c>
      <c r="C143" s="21" t="str">
        <f>IF(MOV_CC_NACIONAL!C143="","",MOV_CC_NACIONAL!C143)</f>
        <v/>
      </c>
      <c r="D143" s="22" t="str">
        <f t="shared" si="1"/>
        <v>Other</v>
      </c>
    </row>
    <row r="144" ht="15.75" customHeight="1">
      <c r="A144" s="22" t="str">
        <f>IF(MOV_CC_NACIONAL!A144="","",MOV_CC_NACIONAL!A144)</f>
        <v/>
      </c>
      <c r="B144" s="22" t="str">
        <f>IF(MOV_CC_NACIONAL!B144="","",MOV_CC_NACIONAL!B144)</f>
        <v/>
      </c>
      <c r="C144" s="21" t="str">
        <f>IF(MOV_CC_NACIONAL!C144="","",MOV_CC_NACIONAL!C144)</f>
        <v/>
      </c>
      <c r="D144" s="22" t="str">
        <f t="shared" si="1"/>
        <v>Other</v>
      </c>
    </row>
    <row r="145" ht="15.75" customHeight="1">
      <c r="A145" s="22" t="str">
        <f>IF(MOV_CC_NACIONAL!A145="","",MOV_CC_NACIONAL!A145)</f>
        <v/>
      </c>
      <c r="B145" s="22" t="str">
        <f>IF(MOV_CC_NACIONAL!B145="","",MOV_CC_NACIONAL!B145)</f>
        <v/>
      </c>
      <c r="C145" s="21" t="str">
        <f>IF(MOV_CC_NACIONAL!C145="","",MOV_CC_NACIONAL!C145)</f>
        <v/>
      </c>
      <c r="D145" s="22" t="str">
        <f t="shared" si="1"/>
        <v>Other</v>
      </c>
    </row>
    <row r="146" ht="15.75" customHeight="1">
      <c r="A146" s="22" t="str">
        <f>IF(MOV_CC_NACIONAL!A146="","",MOV_CC_NACIONAL!A146)</f>
        <v/>
      </c>
      <c r="B146" s="22" t="str">
        <f>IF(MOV_CC_NACIONAL!B146="","",MOV_CC_NACIONAL!B146)</f>
        <v/>
      </c>
      <c r="C146" s="21" t="str">
        <f>IF(MOV_CC_NACIONAL!C146="","",MOV_CC_NACIONAL!C146)</f>
        <v/>
      </c>
      <c r="D146" s="22" t="str">
        <f t="shared" si="1"/>
        <v>Other</v>
      </c>
    </row>
    <row r="147" ht="15.75" customHeight="1">
      <c r="A147" s="22" t="str">
        <f>IF(MOV_CC_NACIONAL!A147="","",MOV_CC_NACIONAL!A147)</f>
        <v/>
      </c>
      <c r="B147" s="22" t="str">
        <f>IF(MOV_CC_NACIONAL!B147="","",MOV_CC_NACIONAL!B147)</f>
        <v/>
      </c>
      <c r="C147" s="21" t="str">
        <f>IF(MOV_CC_NACIONAL!C147="","",MOV_CC_NACIONAL!C147)</f>
        <v/>
      </c>
      <c r="D147" s="22" t="str">
        <f t="shared" si="1"/>
        <v>Other</v>
      </c>
    </row>
    <row r="148" ht="15.75" customHeight="1">
      <c r="A148" s="22" t="str">
        <f>IF(MOV_CC_NACIONAL!A148="","",MOV_CC_NACIONAL!A148)</f>
        <v/>
      </c>
      <c r="B148" s="22" t="str">
        <f>IF(MOV_CC_NACIONAL!B148="","",MOV_CC_NACIONAL!B148)</f>
        <v/>
      </c>
      <c r="C148" s="21" t="str">
        <f>IF(MOV_CC_NACIONAL!C148="","",MOV_CC_NACIONAL!C148)</f>
        <v/>
      </c>
      <c r="D148" s="22" t="str">
        <f t="shared" si="1"/>
        <v>Other</v>
      </c>
    </row>
    <row r="149" ht="15.75" customHeight="1">
      <c r="A149" s="22" t="str">
        <f>IF(MOV_CC_NACIONAL!A149="","",MOV_CC_NACIONAL!A149)</f>
        <v/>
      </c>
      <c r="B149" s="22" t="str">
        <f>IF(MOV_CC_NACIONAL!B149="","",MOV_CC_NACIONAL!B149)</f>
        <v/>
      </c>
      <c r="C149" s="21" t="str">
        <f>IF(MOV_CC_NACIONAL!C149="","",MOV_CC_NACIONAL!C149)</f>
        <v/>
      </c>
      <c r="D149" s="22" t="str">
        <f t="shared" si="1"/>
        <v>Other</v>
      </c>
    </row>
    <row r="150" ht="15.75" customHeight="1">
      <c r="A150" s="22" t="str">
        <f>IF(MOV_CC_NACIONAL!A150="","",MOV_CC_NACIONAL!A150)</f>
        <v/>
      </c>
      <c r="B150" s="22" t="str">
        <f>IF(MOV_CC_NACIONAL!B150="","",MOV_CC_NACIONAL!B150)</f>
        <v/>
      </c>
      <c r="C150" s="21" t="str">
        <f>IF(MOV_CC_NACIONAL!C150="","",MOV_CC_NACIONAL!C150)</f>
        <v/>
      </c>
      <c r="D150" s="22" t="str">
        <f t="shared" si="1"/>
        <v>Other</v>
      </c>
    </row>
    <row r="151" ht="15.75" customHeight="1">
      <c r="A151" s="22" t="str">
        <f>IF(MOV_CC_NACIONAL!A151="","",MOV_CC_NACIONAL!A151)</f>
        <v/>
      </c>
      <c r="B151" s="22" t="str">
        <f>IF(MOV_CC_NACIONAL!B151="","",MOV_CC_NACIONAL!B151)</f>
        <v/>
      </c>
      <c r="C151" s="21" t="str">
        <f>IF(MOV_CC_NACIONAL!C151="","",MOV_CC_NACIONAL!C151)</f>
        <v/>
      </c>
      <c r="D151" s="22" t="str">
        <f t="shared" si="1"/>
        <v>Other</v>
      </c>
    </row>
    <row r="152" ht="15.75" customHeight="1">
      <c r="A152" s="22" t="str">
        <f>IF(MOV_CC_NACIONAL!A152="","",MOV_CC_NACIONAL!A152)</f>
        <v/>
      </c>
      <c r="B152" s="22" t="str">
        <f>IF(MOV_CC_NACIONAL!B152="","",MOV_CC_NACIONAL!B152)</f>
        <v/>
      </c>
      <c r="C152" s="21" t="str">
        <f>IF(MOV_CC_NACIONAL!C152="","",MOV_CC_NACIONAL!C152)</f>
        <v/>
      </c>
      <c r="D152" s="22" t="str">
        <f t="shared" si="1"/>
        <v>Other</v>
      </c>
    </row>
    <row r="153" ht="15.75" customHeight="1">
      <c r="A153" s="22" t="str">
        <f>IF(MOV_CC_NACIONAL!A153="","",MOV_CC_NACIONAL!A153)</f>
        <v/>
      </c>
      <c r="B153" s="22" t="str">
        <f>IF(MOV_CC_NACIONAL!B153="","",MOV_CC_NACIONAL!B153)</f>
        <v/>
      </c>
      <c r="C153" s="21" t="str">
        <f>IF(MOV_CC_NACIONAL!C153="","",MOV_CC_NACIONAL!C153)</f>
        <v/>
      </c>
      <c r="D153" s="22" t="str">
        <f t="shared" si="1"/>
        <v>Other</v>
      </c>
    </row>
    <row r="154" ht="15.75" customHeight="1">
      <c r="A154" s="22" t="str">
        <f>IF(MOV_CC_NACIONAL!A154="","",MOV_CC_NACIONAL!A154)</f>
        <v/>
      </c>
      <c r="B154" s="22" t="str">
        <f>IF(MOV_CC_NACIONAL!B154="","",MOV_CC_NACIONAL!B154)</f>
        <v/>
      </c>
      <c r="C154" s="21" t="str">
        <f>IF(MOV_CC_NACIONAL!C154="","",MOV_CC_NACIONAL!C154)</f>
        <v/>
      </c>
      <c r="D154" s="22" t="str">
        <f t="shared" si="1"/>
        <v>Other</v>
      </c>
    </row>
    <row r="155" ht="15.75" customHeight="1">
      <c r="A155" s="22" t="str">
        <f>IF(MOV_CC_NACIONAL!A155="","",MOV_CC_NACIONAL!A155)</f>
        <v/>
      </c>
      <c r="B155" s="22" t="str">
        <f>IF(MOV_CC_NACIONAL!B155="","",MOV_CC_NACIONAL!B155)</f>
        <v/>
      </c>
      <c r="C155" s="21" t="str">
        <f>IF(MOV_CC_NACIONAL!C155="","",MOV_CC_NACIONAL!C155)</f>
        <v/>
      </c>
      <c r="D155" s="22" t="str">
        <f t="shared" si="1"/>
        <v>Other</v>
      </c>
    </row>
    <row r="156" ht="15.75" customHeight="1">
      <c r="A156" s="22" t="str">
        <f>IF(MOV_CC_NACIONAL!A156="","",MOV_CC_NACIONAL!A156)</f>
        <v/>
      </c>
      <c r="B156" s="22" t="str">
        <f>IF(MOV_CC_NACIONAL!B156="","",MOV_CC_NACIONAL!B156)</f>
        <v/>
      </c>
      <c r="C156" s="21" t="str">
        <f>IF(MOV_CC_NACIONAL!C156="","",MOV_CC_NACIONAL!C156)</f>
        <v/>
      </c>
      <c r="D156" s="22" t="str">
        <f t="shared" si="1"/>
        <v>Other</v>
      </c>
    </row>
    <row r="157" ht="15.75" customHeight="1">
      <c r="A157" s="22" t="str">
        <f>IF(MOV_CC_NACIONAL!A157="","",MOV_CC_NACIONAL!A157)</f>
        <v/>
      </c>
      <c r="B157" s="22" t="str">
        <f>IF(MOV_CC_NACIONAL!B157="","",MOV_CC_NACIONAL!B157)</f>
        <v/>
      </c>
      <c r="C157" s="21" t="str">
        <f>IF(MOV_CC_NACIONAL!C157="","",MOV_CC_NACIONAL!C157)</f>
        <v/>
      </c>
      <c r="D157" s="22" t="str">
        <f t="shared" si="1"/>
        <v>Other</v>
      </c>
    </row>
    <row r="158" ht="15.75" customHeight="1">
      <c r="A158" s="22" t="str">
        <f>IF(MOV_CC_NACIONAL!A158="","",MOV_CC_NACIONAL!A158)</f>
        <v/>
      </c>
      <c r="B158" s="22" t="str">
        <f>IF(MOV_CC_NACIONAL!B158="","",MOV_CC_NACIONAL!B158)</f>
        <v/>
      </c>
      <c r="C158" s="21" t="str">
        <f>IF(MOV_CC_NACIONAL!C158="","",MOV_CC_NACIONAL!C158)</f>
        <v/>
      </c>
      <c r="D158" s="22" t="str">
        <f t="shared" si="1"/>
        <v>Other</v>
      </c>
    </row>
    <row r="159" ht="15.75" customHeight="1">
      <c r="A159" s="22" t="str">
        <f>IF(MOV_CC_NACIONAL!A159="","",MOV_CC_NACIONAL!A159)</f>
        <v/>
      </c>
      <c r="B159" s="22" t="str">
        <f>IF(MOV_CC_NACIONAL!B159="","",MOV_CC_NACIONAL!B159)</f>
        <v/>
      </c>
      <c r="C159" s="21" t="str">
        <f>IF(MOV_CC_NACIONAL!C159="","",MOV_CC_NACIONAL!C159)</f>
        <v/>
      </c>
      <c r="D159" s="22" t="str">
        <f t="shared" si="1"/>
        <v>Other</v>
      </c>
    </row>
    <row r="160" ht="15.75" customHeight="1">
      <c r="A160" s="22" t="str">
        <f>IF(MOV_CC_NACIONAL!A160="","",MOV_CC_NACIONAL!A160)</f>
        <v/>
      </c>
      <c r="B160" s="22" t="str">
        <f>IF(MOV_CC_NACIONAL!B160="","",MOV_CC_NACIONAL!B160)</f>
        <v/>
      </c>
      <c r="C160" s="21" t="str">
        <f>IF(MOV_CC_NACIONAL!C160="","",MOV_CC_NACIONAL!C160)</f>
        <v/>
      </c>
      <c r="D160" s="22" t="str">
        <f t="shared" si="1"/>
        <v>Other</v>
      </c>
    </row>
    <row r="161" ht="15.75" customHeight="1">
      <c r="A161" s="22" t="str">
        <f>IF(MOV_CC_NACIONAL!A161="","",MOV_CC_NACIONAL!A161)</f>
        <v/>
      </c>
      <c r="B161" s="22" t="str">
        <f>IF(MOV_CC_NACIONAL!B161="","",MOV_CC_NACIONAL!B161)</f>
        <v/>
      </c>
      <c r="C161" s="21" t="str">
        <f>IF(MOV_CC_NACIONAL!C161="","",MOV_CC_NACIONAL!C161)</f>
        <v/>
      </c>
      <c r="D161" s="22" t="str">
        <f t="shared" si="1"/>
        <v>Other</v>
      </c>
    </row>
    <row r="162" ht="15.75" customHeight="1">
      <c r="A162" s="22" t="str">
        <f>IF(MOV_CC_NACIONAL!A162="","",MOV_CC_NACIONAL!A162)</f>
        <v/>
      </c>
      <c r="B162" s="22" t="str">
        <f>IF(MOV_CC_NACIONAL!B162="","",MOV_CC_NACIONAL!B162)</f>
        <v/>
      </c>
      <c r="C162" s="21" t="str">
        <f>IF(MOV_CC_NACIONAL!C162="","",MOV_CC_NACIONAL!C162)</f>
        <v/>
      </c>
      <c r="D162" s="22" t="str">
        <f t="shared" si="1"/>
        <v>Other</v>
      </c>
    </row>
    <row r="163" ht="15.75" customHeight="1">
      <c r="A163" s="22" t="str">
        <f>IF(MOV_CC_NACIONAL!A163="","",MOV_CC_NACIONAL!A163)</f>
        <v/>
      </c>
      <c r="B163" s="22" t="str">
        <f>IF(MOV_CC_NACIONAL!B163="","",MOV_CC_NACIONAL!B163)</f>
        <v/>
      </c>
      <c r="C163" s="21" t="str">
        <f>IF(MOV_CC_NACIONAL!C163="","",MOV_CC_NACIONAL!C163)</f>
        <v/>
      </c>
      <c r="D163" s="22" t="str">
        <f t="shared" si="1"/>
        <v>Other</v>
      </c>
    </row>
    <row r="164" ht="15.75" customHeight="1">
      <c r="A164" s="22" t="str">
        <f>IF(MOV_CC_NACIONAL!A164="","",MOV_CC_NACIONAL!A164)</f>
        <v/>
      </c>
      <c r="B164" s="22" t="str">
        <f>IF(MOV_CC_NACIONAL!B164="","",MOV_CC_NACIONAL!B164)</f>
        <v/>
      </c>
      <c r="C164" s="21" t="str">
        <f>IF(MOV_CC_NACIONAL!C164="","",MOV_CC_NACIONAL!C164)</f>
        <v/>
      </c>
      <c r="D164" s="22" t="str">
        <f t="shared" si="1"/>
        <v>Other</v>
      </c>
    </row>
    <row r="165" ht="15.75" customHeight="1">
      <c r="A165" s="22" t="str">
        <f>IF(MOV_CC_NACIONAL!A165="","",MOV_CC_NACIONAL!A165)</f>
        <v/>
      </c>
      <c r="B165" s="22" t="str">
        <f>IF(MOV_CC_NACIONAL!B165="","",MOV_CC_NACIONAL!B165)</f>
        <v/>
      </c>
      <c r="C165" s="21" t="str">
        <f>IF(MOV_CC_NACIONAL!C165="","",MOV_CC_NACIONAL!C165)</f>
        <v/>
      </c>
      <c r="D165" s="22" t="str">
        <f t="shared" si="1"/>
        <v>Other</v>
      </c>
    </row>
    <row r="166" ht="15.75" customHeight="1">
      <c r="A166" s="22" t="str">
        <f>IF(MOV_CC_NACIONAL!A166="","",MOV_CC_NACIONAL!A166)</f>
        <v/>
      </c>
      <c r="B166" s="22" t="str">
        <f>IF(MOV_CC_NACIONAL!B166="","",MOV_CC_NACIONAL!B166)</f>
        <v/>
      </c>
      <c r="C166" s="21" t="str">
        <f>IF(MOV_CC_NACIONAL!C166="","",MOV_CC_NACIONAL!C166)</f>
        <v/>
      </c>
      <c r="D166" s="22" t="str">
        <f t="shared" si="1"/>
        <v>Other</v>
      </c>
    </row>
    <row r="167" ht="15.75" customHeight="1">
      <c r="A167" s="22" t="str">
        <f>IF(MOV_CC_NACIONAL!A167="","",MOV_CC_NACIONAL!A167)</f>
        <v/>
      </c>
      <c r="B167" s="22" t="str">
        <f>IF(MOV_CC_NACIONAL!B167="","",MOV_CC_NACIONAL!B167)</f>
        <v/>
      </c>
      <c r="C167" s="21" t="str">
        <f>IF(MOV_CC_NACIONAL!C167="","",MOV_CC_NACIONAL!C167)</f>
        <v/>
      </c>
      <c r="D167" s="22" t="str">
        <f t="shared" si="1"/>
        <v>Other</v>
      </c>
    </row>
    <row r="168" ht="15.75" customHeight="1">
      <c r="A168" s="22" t="str">
        <f>IF(MOV_CC_NACIONAL!A168="","",MOV_CC_NACIONAL!A168)</f>
        <v/>
      </c>
      <c r="B168" s="22" t="str">
        <f>IF(MOV_CC_NACIONAL!B168="","",MOV_CC_NACIONAL!B168)</f>
        <v/>
      </c>
      <c r="C168" s="21" t="str">
        <f>IF(MOV_CC_NACIONAL!C168="","",MOV_CC_NACIONAL!C168)</f>
        <v/>
      </c>
      <c r="D168" s="22" t="str">
        <f t="shared" si="1"/>
        <v>Other</v>
      </c>
    </row>
    <row r="169" ht="15.75" customHeight="1">
      <c r="A169" s="22" t="str">
        <f>IF(MOV_CC_NACIONAL!A169="","",MOV_CC_NACIONAL!A169)</f>
        <v/>
      </c>
      <c r="B169" s="22" t="str">
        <f>IF(MOV_CC_NACIONAL!B169="","",MOV_CC_NACIONAL!B169)</f>
        <v/>
      </c>
      <c r="C169" s="21" t="str">
        <f>IF(MOV_CC_NACIONAL!C169="","",MOV_CC_NACIONAL!C169)</f>
        <v/>
      </c>
      <c r="D169" s="22" t="str">
        <f t="shared" si="1"/>
        <v>Other</v>
      </c>
    </row>
    <row r="170" ht="15.75" customHeight="1">
      <c r="A170" s="22" t="str">
        <f>IF(MOV_CC_NACIONAL!A170="","",MOV_CC_NACIONAL!A170)</f>
        <v/>
      </c>
      <c r="B170" s="22" t="str">
        <f>IF(MOV_CC_NACIONAL!B170="","",MOV_CC_NACIONAL!B170)</f>
        <v/>
      </c>
      <c r="C170" s="21" t="str">
        <f>IF(MOV_CC_NACIONAL!C170="","",MOV_CC_NACIONAL!C170)</f>
        <v/>
      </c>
      <c r="D170" s="22" t="str">
        <f t="shared" si="1"/>
        <v>Other</v>
      </c>
    </row>
    <row r="171" ht="15.75" customHeight="1">
      <c r="A171" s="22" t="str">
        <f>IF(MOV_CC_NACIONAL!A171="","",MOV_CC_NACIONAL!A171)</f>
        <v/>
      </c>
      <c r="B171" s="22" t="str">
        <f>IF(MOV_CC_NACIONAL!B171="","",MOV_CC_NACIONAL!B171)</f>
        <v/>
      </c>
      <c r="C171" s="21" t="str">
        <f>IF(MOV_CC_NACIONAL!C171="","",MOV_CC_NACIONAL!C171)</f>
        <v/>
      </c>
      <c r="D171" s="22" t="str">
        <f t="shared" si="1"/>
        <v>Other</v>
      </c>
    </row>
    <row r="172" ht="15.75" customHeight="1">
      <c r="A172" s="22" t="str">
        <f>IF(MOV_CC_NACIONAL!A172="","",MOV_CC_NACIONAL!A172)</f>
        <v/>
      </c>
      <c r="B172" s="22" t="str">
        <f>IF(MOV_CC_NACIONAL!B172="","",MOV_CC_NACIONAL!B172)</f>
        <v/>
      </c>
      <c r="C172" s="21" t="str">
        <f>IF(MOV_CC_NACIONAL!C172="","",MOV_CC_NACIONAL!C172)</f>
        <v/>
      </c>
      <c r="D172" s="22" t="str">
        <f t="shared" si="1"/>
        <v>Other</v>
      </c>
    </row>
    <row r="173" ht="15.75" customHeight="1">
      <c r="A173" s="22" t="str">
        <f>IF(MOV_CC_NACIONAL!A173="","",MOV_CC_NACIONAL!A173)</f>
        <v/>
      </c>
      <c r="B173" s="22" t="str">
        <f>IF(MOV_CC_NACIONAL!B173="","",MOV_CC_NACIONAL!B173)</f>
        <v/>
      </c>
      <c r="C173" s="21" t="str">
        <f>IF(MOV_CC_NACIONAL!C173="","",MOV_CC_NACIONAL!C173)</f>
        <v/>
      </c>
      <c r="D173" s="22" t="str">
        <f t="shared" si="1"/>
        <v>Other</v>
      </c>
    </row>
    <row r="174" ht="15.75" customHeight="1">
      <c r="A174" s="22" t="str">
        <f>IF(MOV_CC_NACIONAL!A174="","",MOV_CC_NACIONAL!A174)</f>
        <v/>
      </c>
      <c r="B174" s="22" t="str">
        <f>IF(MOV_CC_NACIONAL!B174="","",MOV_CC_NACIONAL!B174)</f>
        <v/>
      </c>
      <c r="C174" s="21" t="str">
        <f>IF(MOV_CC_NACIONAL!C174="","",MOV_CC_NACIONAL!C174)</f>
        <v/>
      </c>
      <c r="D174" s="22" t="str">
        <f t="shared" si="1"/>
        <v>Other</v>
      </c>
    </row>
    <row r="175" ht="15.75" customHeight="1">
      <c r="A175" s="22" t="str">
        <f>IF(MOV_CC_NACIONAL!A175="","",MOV_CC_NACIONAL!A175)</f>
        <v/>
      </c>
      <c r="B175" s="22" t="str">
        <f>IF(MOV_CC_NACIONAL!B175="","",MOV_CC_NACIONAL!B175)</f>
        <v/>
      </c>
      <c r="C175" s="21" t="str">
        <f>IF(MOV_CC_NACIONAL!C175="","",MOV_CC_NACIONAL!C175)</f>
        <v/>
      </c>
      <c r="D175" s="22" t="str">
        <f t="shared" si="1"/>
        <v>Other</v>
      </c>
    </row>
    <row r="176" ht="15.75" customHeight="1">
      <c r="A176" s="22" t="str">
        <f>IF(MOV_CC_NACIONAL!A176="","",MOV_CC_NACIONAL!A176)</f>
        <v/>
      </c>
      <c r="B176" s="22" t="str">
        <f>IF(MOV_CC_NACIONAL!B176="","",MOV_CC_NACIONAL!B176)</f>
        <v/>
      </c>
      <c r="C176" s="21" t="str">
        <f>IF(MOV_CC_NACIONAL!C176="","",MOV_CC_NACIONAL!C176)</f>
        <v/>
      </c>
      <c r="D176" s="22" t="str">
        <f t="shared" si="1"/>
        <v>Other</v>
      </c>
    </row>
    <row r="177" ht="15.75" customHeight="1">
      <c r="A177" s="22" t="str">
        <f>IF(MOV_CC_NACIONAL!A177="","",MOV_CC_NACIONAL!A177)</f>
        <v/>
      </c>
      <c r="B177" s="22" t="str">
        <f>IF(MOV_CC_NACIONAL!B177="","",MOV_CC_NACIONAL!B177)</f>
        <v/>
      </c>
      <c r="C177" s="21" t="str">
        <f>IF(MOV_CC_NACIONAL!C177="","",MOV_CC_NACIONAL!C177)</f>
        <v/>
      </c>
      <c r="D177" s="22" t="str">
        <f t="shared" si="1"/>
        <v>Other</v>
      </c>
    </row>
    <row r="178" ht="15.75" customHeight="1">
      <c r="A178" s="22" t="str">
        <f>IF(MOV_CC_NACIONAL!A178="","",MOV_CC_NACIONAL!A178)</f>
        <v/>
      </c>
      <c r="B178" s="22" t="str">
        <f>IF(MOV_CC_NACIONAL!B178="","",MOV_CC_NACIONAL!B178)</f>
        <v/>
      </c>
      <c r="C178" s="21" t="str">
        <f>IF(MOV_CC_NACIONAL!C178="","",MOV_CC_NACIONAL!C178)</f>
        <v/>
      </c>
      <c r="D178" s="22" t="str">
        <f t="shared" si="1"/>
        <v>Other</v>
      </c>
    </row>
    <row r="179" ht="15.75" customHeight="1">
      <c r="A179" s="22" t="str">
        <f>IF(MOV_CC_NACIONAL!A179="","",MOV_CC_NACIONAL!A179)</f>
        <v/>
      </c>
      <c r="B179" s="22" t="str">
        <f>IF(MOV_CC_NACIONAL!B179="","",MOV_CC_NACIONAL!B179)</f>
        <v/>
      </c>
      <c r="C179" s="21" t="str">
        <f>IF(MOV_CC_NACIONAL!C179="","",MOV_CC_NACIONAL!C179)</f>
        <v/>
      </c>
      <c r="D179" s="22" t="str">
        <f t="shared" si="1"/>
        <v>Other</v>
      </c>
    </row>
    <row r="180" ht="15.75" customHeight="1">
      <c r="A180" s="22" t="str">
        <f>IF(MOV_CC_NACIONAL!A180="","",MOV_CC_NACIONAL!A180)</f>
        <v/>
      </c>
      <c r="B180" s="22" t="str">
        <f>IF(MOV_CC_NACIONAL!B180="","",MOV_CC_NACIONAL!B180)</f>
        <v/>
      </c>
      <c r="C180" s="21" t="str">
        <f>IF(MOV_CC_NACIONAL!C180="","",MOV_CC_NACIONAL!C180)</f>
        <v/>
      </c>
      <c r="D180" s="22" t="str">
        <f t="shared" si="1"/>
        <v>Other</v>
      </c>
    </row>
    <row r="181" ht="15.75" customHeight="1">
      <c r="A181" s="22" t="str">
        <f>IF(MOV_CC_NACIONAL!A181="","",MOV_CC_NACIONAL!A181)</f>
        <v/>
      </c>
      <c r="B181" s="22" t="str">
        <f>IF(MOV_CC_NACIONAL!B181="","",MOV_CC_NACIONAL!B181)</f>
        <v/>
      </c>
      <c r="C181" s="21" t="str">
        <f>IF(MOV_CC_NACIONAL!C181="","",MOV_CC_NACIONAL!C181)</f>
        <v/>
      </c>
      <c r="D181" s="22" t="str">
        <f t="shared" si="1"/>
        <v>Other</v>
      </c>
    </row>
    <row r="182" ht="15.75" customHeight="1">
      <c r="A182" s="22" t="str">
        <f>IF(MOV_CC_NACIONAL!A182="","",MOV_CC_NACIONAL!A182)</f>
        <v/>
      </c>
      <c r="B182" s="22" t="str">
        <f>IF(MOV_CC_NACIONAL!B182="","",MOV_CC_NACIONAL!B182)</f>
        <v/>
      </c>
      <c r="C182" s="21" t="str">
        <f>IF(MOV_CC_NACIONAL!C182="","",MOV_CC_NACIONAL!C182)</f>
        <v/>
      </c>
      <c r="D182" s="22" t="str">
        <f t="shared" si="1"/>
        <v>Other</v>
      </c>
    </row>
    <row r="183" ht="15.75" customHeight="1">
      <c r="A183" s="22" t="str">
        <f>IF(MOV_CC_NACIONAL!A183="","",MOV_CC_NACIONAL!A183)</f>
        <v/>
      </c>
      <c r="B183" s="22" t="str">
        <f>IF(MOV_CC_NACIONAL!B183="","",MOV_CC_NACIONAL!B183)</f>
        <v/>
      </c>
      <c r="C183" s="21" t="str">
        <f>IF(MOV_CC_NACIONAL!C183="","",MOV_CC_NACIONAL!C183)</f>
        <v/>
      </c>
      <c r="D183" s="22" t="str">
        <f t="shared" si="1"/>
        <v>Other</v>
      </c>
    </row>
    <row r="184" ht="15.75" customHeight="1">
      <c r="A184" s="22" t="str">
        <f>IF(MOV_CC_NACIONAL!A184="","",MOV_CC_NACIONAL!A184)</f>
        <v/>
      </c>
      <c r="B184" s="22" t="str">
        <f>IF(MOV_CC_NACIONAL!B184="","",MOV_CC_NACIONAL!B184)</f>
        <v/>
      </c>
      <c r="C184" s="21" t="str">
        <f>IF(MOV_CC_NACIONAL!C184="","",MOV_CC_NACIONAL!C184)</f>
        <v/>
      </c>
      <c r="D184" s="22" t="str">
        <f t="shared" si="1"/>
        <v>Other</v>
      </c>
    </row>
    <row r="185" ht="15.75" customHeight="1">
      <c r="A185" s="22" t="str">
        <f>IF(MOV_CC_NACIONAL!A185="","",MOV_CC_NACIONAL!A185)</f>
        <v/>
      </c>
      <c r="B185" s="22" t="str">
        <f>IF(MOV_CC_NACIONAL!B185="","",MOV_CC_NACIONAL!B185)</f>
        <v/>
      </c>
      <c r="C185" s="21" t="str">
        <f>IF(MOV_CC_NACIONAL!C185="","",MOV_CC_NACIONAL!C185)</f>
        <v/>
      </c>
      <c r="D185" s="22" t="str">
        <f t="shared" si="1"/>
        <v>Other</v>
      </c>
    </row>
    <row r="186" ht="15.75" customHeight="1">
      <c r="A186" s="22" t="str">
        <f>IF(MOV_CC_NACIONAL!A186="","",MOV_CC_NACIONAL!A186)</f>
        <v/>
      </c>
      <c r="B186" s="22" t="str">
        <f>IF(MOV_CC_NACIONAL!B186="","",MOV_CC_NACIONAL!B186)</f>
        <v/>
      </c>
      <c r="C186" s="21" t="str">
        <f>IF(MOV_CC_NACIONAL!C186="","",MOV_CC_NACIONAL!C186)</f>
        <v/>
      </c>
      <c r="D186" s="22" t="str">
        <f t="shared" si="1"/>
        <v>Other</v>
      </c>
    </row>
    <row r="187" ht="15.75" customHeight="1">
      <c r="A187" s="22" t="str">
        <f>IF(MOV_CC_NACIONAL!A187="","",MOV_CC_NACIONAL!A187)</f>
        <v/>
      </c>
      <c r="B187" s="22" t="str">
        <f>IF(MOV_CC_NACIONAL!B187="","",MOV_CC_NACIONAL!B187)</f>
        <v/>
      </c>
      <c r="C187" s="21" t="str">
        <f>IF(MOV_CC_NACIONAL!C187="","",MOV_CC_NACIONAL!C187)</f>
        <v/>
      </c>
      <c r="D187" s="22" t="str">
        <f t="shared" si="1"/>
        <v>Other</v>
      </c>
    </row>
    <row r="188" ht="15.75" customHeight="1">
      <c r="A188" s="22" t="str">
        <f>IF(MOV_CC_NACIONAL!A188="","",MOV_CC_NACIONAL!A188)</f>
        <v/>
      </c>
      <c r="B188" s="22" t="str">
        <f>IF(MOV_CC_NACIONAL!B188="","",MOV_CC_NACIONAL!B188)</f>
        <v/>
      </c>
      <c r="C188" s="21" t="str">
        <f>IF(MOV_CC_NACIONAL!C188="","",MOV_CC_NACIONAL!C188)</f>
        <v/>
      </c>
      <c r="D188" s="22" t="str">
        <f t="shared" si="1"/>
        <v>Other</v>
      </c>
    </row>
    <row r="189" ht="15.75" customHeight="1">
      <c r="A189" s="22" t="str">
        <f>IF(MOV_CC_NACIONAL!A189="","",MOV_CC_NACIONAL!A189)</f>
        <v/>
      </c>
      <c r="B189" s="22" t="str">
        <f>IF(MOV_CC_NACIONAL!B189="","",MOV_CC_NACIONAL!B189)</f>
        <v/>
      </c>
      <c r="C189" s="21" t="str">
        <f>IF(MOV_CC_NACIONAL!C189="","",MOV_CC_NACIONAL!C189)</f>
        <v/>
      </c>
      <c r="D189" s="22" t="str">
        <f t="shared" si="1"/>
        <v>Other</v>
      </c>
    </row>
    <row r="190" ht="15.75" customHeight="1">
      <c r="A190" s="22" t="str">
        <f>IF(MOV_CC_NACIONAL!A190="","",MOV_CC_NACIONAL!A190)</f>
        <v/>
      </c>
      <c r="B190" s="22" t="str">
        <f>IF(MOV_CC_NACIONAL!B190="","",MOV_CC_NACIONAL!B190)</f>
        <v/>
      </c>
      <c r="C190" s="21" t="str">
        <f>IF(MOV_CC_NACIONAL!C190="","",MOV_CC_NACIONAL!C190)</f>
        <v/>
      </c>
      <c r="D190" s="22" t="str">
        <f t="shared" si="1"/>
        <v>Other</v>
      </c>
    </row>
    <row r="191" ht="15.75" customHeight="1">
      <c r="A191" s="22" t="str">
        <f>IF(MOV_CC_NACIONAL!A191="","",MOV_CC_NACIONAL!A191)</f>
        <v/>
      </c>
      <c r="B191" s="22" t="str">
        <f>IF(MOV_CC_NACIONAL!B191="","",MOV_CC_NACIONAL!B191)</f>
        <v/>
      </c>
      <c r="C191" s="21" t="str">
        <f>IF(MOV_CC_NACIONAL!C191="","",MOV_CC_NACIONAL!C191)</f>
        <v/>
      </c>
      <c r="D191" s="22" t="str">
        <f t="shared" si="1"/>
        <v>Other</v>
      </c>
    </row>
    <row r="192" ht="15.75" customHeight="1">
      <c r="A192" s="22" t="str">
        <f>IF(MOV_CC_NACIONAL!A192="","",MOV_CC_NACIONAL!A192)</f>
        <v/>
      </c>
      <c r="B192" s="22" t="str">
        <f>IF(MOV_CC_NACIONAL!B192="","",MOV_CC_NACIONAL!B192)</f>
        <v/>
      </c>
      <c r="C192" s="21" t="str">
        <f>IF(MOV_CC_NACIONAL!C192="","",MOV_CC_NACIONAL!C192)</f>
        <v/>
      </c>
      <c r="D192" s="22" t="str">
        <f t="shared" si="1"/>
        <v>Other</v>
      </c>
    </row>
    <row r="193" ht="15.75" customHeight="1">
      <c r="A193" s="22" t="str">
        <f>IF(MOV_CC_NACIONAL!A193="","",MOV_CC_NACIONAL!A193)</f>
        <v/>
      </c>
      <c r="B193" s="22" t="str">
        <f>IF(MOV_CC_NACIONAL!B193="","",MOV_CC_NACIONAL!B193)</f>
        <v/>
      </c>
      <c r="C193" s="21" t="str">
        <f>IF(MOV_CC_NACIONAL!C193="","",MOV_CC_NACIONAL!C193)</f>
        <v/>
      </c>
      <c r="D193" s="22" t="str">
        <f t="shared" si="1"/>
        <v>Other</v>
      </c>
    </row>
    <row r="194" ht="15.75" customHeight="1">
      <c r="A194" s="22" t="str">
        <f>IF(MOV_CC_NACIONAL!A194="","",MOV_CC_NACIONAL!A194)</f>
        <v/>
      </c>
      <c r="B194" s="22" t="str">
        <f>IF(MOV_CC_NACIONAL!B194="","",MOV_CC_NACIONAL!B194)</f>
        <v/>
      </c>
      <c r="C194" s="21" t="str">
        <f>IF(MOV_CC_NACIONAL!C194="","",MOV_CC_NACIONAL!C194)</f>
        <v/>
      </c>
      <c r="D194" s="22" t="str">
        <f t="shared" si="1"/>
        <v>Other</v>
      </c>
    </row>
    <row r="195" ht="15.75" customHeight="1">
      <c r="A195" s="22" t="str">
        <f>IF(MOV_CC_NACIONAL!A195="","",MOV_CC_NACIONAL!A195)</f>
        <v/>
      </c>
      <c r="B195" s="22" t="str">
        <f>IF(MOV_CC_NACIONAL!B195="","",MOV_CC_NACIONAL!B195)</f>
        <v/>
      </c>
      <c r="C195" s="21" t="str">
        <f>IF(MOV_CC_NACIONAL!C195="","",MOV_CC_NACIONAL!C195)</f>
        <v/>
      </c>
      <c r="D195" s="22" t="str">
        <f t="shared" si="1"/>
        <v>Other</v>
      </c>
    </row>
    <row r="196" ht="15.75" customHeight="1">
      <c r="A196" s="22" t="str">
        <f>IF(MOV_CC_NACIONAL!A196="","",MOV_CC_NACIONAL!A196)</f>
        <v/>
      </c>
      <c r="B196" s="22" t="str">
        <f>IF(MOV_CC_NACIONAL!B196="","",MOV_CC_NACIONAL!B196)</f>
        <v/>
      </c>
      <c r="C196" s="21" t="str">
        <f>IF(MOV_CC_NACIONAL!C196="","",MOV_CC_NACIONAL!C196)</f>
        <v/>
      </c>
      <c r="D196" s="22" t="str">
        <f t="shared" si="1"/>
        <v>Other</v>
      </c>
    </row>
    <row r="197" ht="15.75" customHeight="1">
      <c r="A197" s="22" t="str">
        <f>IF(MOV_CC_NACIONAL!A197="","",MOV_CC_NACIONAL!A197)</f>
        <v/>
      </c>
      <c r="B197" s="22" t="str">
        <f>IF(MOV_CC_NACIONAL!B197="","",MOV_CC_NACIONAL!B197)</f>
        <v/>
      </c>
      <c r="C197" s="21" t="str">
        <f>IF(MOV_CC_NACIONAL!C197="","",MOV_CC_NACIONAL!C197)</f>
        <v/>
      </c>
      <c r="D197" s="22" t="str">
        <f t="shared" si="1"/>
        <v>Other</v>
      </c>
    </row>
    <row r="198" ht="15.75" customHeight="1">
      <c r="A198" s="22" t="str">
        <f>IF(MOV_CC_NACIONAL!A198="","",MOV_CC_NACIONAL!A198)</f>
        <v/>
      </c>
      <c r="B198" s="22" t="str">
        <f>IF(MOV_CC_NACIONAL!B198="","",MOV_CC_NACIONAL!B198)</f>
        <v/>
      </c>
      <c r="C198" s="21" t="str">
        <f>IF(MOV_CC_NACIONAL!C198="","",MOV_CC_NACIONAL!C198)</f>
        <v/>
      </c>
      <c r="D198" s="22" t="str">
        <f t="shared" si="1"/>
        <v>Other</v>
      </c>
    </row>
    <row r="199" ht="15.75" customHeight="1">
      <c r="A199" s="22" t="str">
        <f>IF(MOV_CC_NACIONAL!A199="","",MOV_CC_NACIONAL!A199)</f>
        <v/>
      </c>
      <c r="B199" s="22" t="str">
        <f>IF(MOV_CC_NACIONAL!B199="","",MOV_CC_NACIONAL!B199)</f>
        <v/>
      </c>
      <c r="C199" s="21" t="str">
        <f>IF(MOV_CC_NACIONAL!C199="","",MOV_CC_NACIONAL!C199)</f>
        <v/>
      </c>
      <c r="D199" s="22" t="str">
        <f t="shared" si="1"/>
        <v>Other</v>
      </c>
    </row>
    <row r="200" ht="15.75" customHeight="1">
      <c r="A200" s="22" t="str">
        <f>IF(MOV_CC_NACIONAL!A200="","",MOV_CC_NACIONAL!A200)</f>
        <v/>
      </c>
      <c r="B200" s="22" t="str">
        <f>IF(MOV_CC_NACIONAL!B200="","",MOV_CC_NACIONAL!B200)</f>
        <v/>
      </c>
      <c r="C200" s="21" t="str">
        <f>IF(MOV_CC_NACIONAL!C200="","",MOV_CC_NACIONAL!C200)</f>
        <v/>
      </c>
      <c r="D200" s="22" t="str">
        <f t="shared" si="1"/>
        <v>Other</v>
      </c>
    </row>
    <row r="201" ht="15.75" customHeight="1">
      <c r="A201" s="22" t="str">
        <f>IF(MOV_CC_NACIONAL!A201="","",MOV_CC_NACIONAL!A201)</f>
        <v/>
      </c>
      <c r="B201" s="22" t="str">
        <f>IF(MOV_CC_NACIONAL!B201="","",MOV_CC_NACIONAL!B201)</f>
        <v/>
      </c>
      <c r="C201" s="21" t="str">
        <f>IF(MOV_CC_NACIONAL!C201="","",MOV_CC_NACIONAL!C201)</f>
        <v/>
      </c>
      <c r="D201" s="22" t="str">
        <f t="shared" si="1"/>
        <v>Other</v>
      </c>
    </row>
    <row r="202" ht="15.75" customHeight="1">
      <c r="A202" s="22" t="str">
        <f>IF(MOV_CC_NACIONAL!A202="","",MOV_CC_NACIONAL!A202)</f>
        <v/>
      </c>
      <c r="B202" s="22" t="str">
        <f>IF(MOV_CC_NACIONAL!B202="","",MOV_CC_NACIONAL!B202)</f>
        <v/>
      </c>
      <c r="C202" s="21" t="str">
        <f>IF(MOV_CC_NACIONAL!C202="","",MOV_CC_NACIONAL!C202)</f>
        <v/>
      </c>
      <c r="D202" s="22" t="str">
        <f t="shared" si="1"/>
        <v>Other</v>
      </c>
    </row>
    <row r="203" ht="15.75" customHeight="1">
      <c r="A203" s="22" t="str">
        <f>IF(MOV_CC_NACIONAL!A203="","",MOV_CC_NACIONAL!A203)</f>
        <v/>
      </c>
      <c r="B203" s="22" t="str">
        <f>IF(MOV_CC_NACIONAL!B203="","",MOV_CC_NACIONAL!B203)</f>
        <v/>
      </c>
      <c r="C203" s="21" t="str">
        <f>IF(MOV_CC_NACIONAL!C203="","",MOV_CC_NACIONAL!C203)</f>
        <v/>
      </c>
      <c r="D203" s="22" t="str">
        <f t="shared" si="1"/>
        <v>Other</v>
      </c>
    </row>
    <row r="204" ht="15.75" customHeight="1">
      <c r="A204" s="22" t="str">
        <f>IF(MOV_CC_NACIONAL!A204="","",MOV_CC_NACIONAL!A204)</f>
        <v/>
      </c>
      <c r="B204" s="22" t="str">
        <f>IF(MOV_CC_NACIONAL!B204="","",MOV_CC_NACIONAL!B204)</f>
        <v/>
      </c>
      <c r="C204" s="21" t="str">
        <f>IF(MOV_CC_NACIONAL!C204="","",MOV_CC_NACIONAL!C204)</f>
        <v/>
      </c>
      <c r="D204" s="22" t="str">
        <f t="shared" si="1"/>
        <v>Other</v>
      </c>
    </row>
    <row r="205" ht="15.75" customHeight="1">
      <c r="A205" s="22" t="str">
        <f>IF(MOV_CC_NACIONAL!A205="","",MOV_CC_NACIONAL!A205)</f>
        <v/>
      </c>
      <c r="B205" s="22" t="str">
        <f>IF(MOV_CC_NACIONAL!B205="","",MOV_CC_NACIONAL!B205)</f>
        <v/>
      </c>
      <c r="C205" s="21" t="str">
        <f>IF(MOV_CC_NACIONAL!C205="","",MOV_CC_NACIONAL!C205)</f>
        <v/>
      </c>
      <c r="D205" s="22" t="str">
        <f t="shared" si="1"/>
        <v>Other</v>
      </c>
    </row>
    <row r="206" ht="15.75" customHeight="1">
      <c r="A206" s="22" t="str">
        <f>IF(MOV_CC_NACIONAL!A206="","",MOV_CC_NACIONAL!A206)</f>
        <v/>
      </c>
      <c r="B206" s="22" t="str">
        <f>IF(MOV_CC_NACIONAL!B206="","",MOV_CC_NACIONAL!B206)</f>
        <v/>
      </c>
      <c r="C206" s="21" t="str">
        <f>IF(MOV_CC_NACIONAL!C206="","",MOV_CC_NACIONAL!C206)</f>
        <v/>
      </c>
      <c r="D206" s="22" t="str">
        <f t="shared" si="1"/>
        <v>Other</v>
      </c>
    </row>
    <row r="207" ht="15.75" customHeight="1">
      <c r="A207" s="22" t="str">
        <f>IF(MOV_CC_NACIONAL!A207="","",MOV_CC_NACIONAL!A207)</f>
        <v/>
      </c>
      <c r="B207" s="22" t="str">
        <f>IF(MOV_CC_NACIONAL!B207="","",MOV_CC_NACIONAL!B207)</f>
        <v/>
      </c>
      <c r="C207" s="21" t="str">
        <f>IF(MOV_CC_NACIONAL!C207="","",MOV_CC_NACIONAL!C207)</f>
        <v/>
      </c>
      <c r="D207" s="22" t="str">
        <f t="shared" si="1"/>
        <v>Other</v>
      </c>
    </row>
    <row r="208" ht="15.75" customHeight="1">
      <c r="A208" s="22" t="str">
        <f>IF(MOV_CC_NACIONAL!A208="","",MOV_CC_NACIONAL!A208)</f>
        <v/>
      </c>
      <c r="B208" s="22" t="str">
        <f>IF(MOV_CC_NACIONAL!B208="","",MOV_CC_NACIONAL!B208)</f>
        <v/>
      </c>
      <c r="C208" s="21" t="str">
        <f>IF(MOV_CC_NACIONAL!C208="","",MOV_CC_NACIONAL!C208)</f>
        <v/>
      </c>
      <c r="D208" s="22" t="str">
        <f t="shared" si="1"/>
        <v>Other</v>
      </c>
    </row>
    <row r="209" ht="15.75" customHeight="1">
      <c r="A209" s="22" t="str">
        <f>IF(MOV_CC_NACIONAL!A209="","",MOV_CC_NACIONAL!A209)</f>
        <v/>
      </c>
      <c r="B209" s="22" t="str">
        <f>IF(MOV_CC_NACIONAL!B209="","",MOV_CC_NACIONAL!B209)</f>
        <v/>
      </c>
      <c r="C209" s="21" t="str">
        <f>IF(MOV_CC_NACIONAL!C209="","",MOV_CC_NACIONAL!C209)</f>
        <v/>
      </c>
      <c r="D209" s="22" t="str">
        <f t="shared" si="1"/>
        <v>Other</v>
      </c>
    </row>
    <row r="210" ht="15.75" customHeight="1">
      <c r="A210" s="22" t="str">
        <f>IF(MOV_CC_NACIONAL!A210="","",MOV_CC_NACIONAL!A210)</f>
        <v/>
      </c>
      <c r="B210" s="22" t="str">
        <f>IF(MOV_CC_NACIONAL!B210="","",MOV_CC_NACIONAL!B210)</f>
        <v/>
      </c>
      <c r="C210" s="21" t="str">
        <f>IF(MOV_CC_NACIONAL!C210="","",MOV_CC_NACIONAL!C210)</f>
        <v/>
      </c>
      <c r="D210" s="22" t="str">
        <f t="shared" si="1"/>
        <v>Other</v>
      </c>
    </row>
    <row r="211" ht="15.75" customHeight="1">
      <c r="A211" s="22" t="str">
        <f>IF(MOV_CC_NACIONAL!A211="","",MOV_CC_NACIONAL!A211)</f>
        <v/>
      </c>
      <c r="B211" s="22" t="str">
        <f>IF(MOV_CC_NACIONAL!B211="","",MOV_CC_NACIONAL!B211)</f>
        <v/>
      </c>
      <c r="C211" s="21" t="str">
        <f>IF(MOV_CC_NACIONAL!C211="","",MOV_CC_NACIONAL!C211)</f>
        <v/>
      </c>
      <c r="D211" s="22" t="str">
        <f t="shared" si="1"/>
        <v>Other</v>
      </c>
    </row>
    <row r="212" ht="15.75" customHeight="1">
      <c r="A212" s="22" t="str">
        <f>IF(MOV_CC_NACIONAL!A212="","",MOV_CC_NACIONAL!A212)</f>
        <v/>
      </c>
      <c r="B212" s="22" t="str">
        <f>IF(MOV_CC_NACIONAL!B212="","",MOV_CC_NACIONAL!B212)</f>
        <v/>
      </c>
      <c r="C212" s="21" t="str">
        <f>IF(MOV_CC_NACIONAL!C212="","",MOV_CC_NACIONAL!C212)</f>
        <v/>
      </c>
      <c r="D212" s="22" t="str">
        <f t="shared" si="1"/>
        <v>Other</v>
      </c>
    </row>
    <row r="213" ht="15.75" customHeight="1">
      <c r="A213" s="22" t="str">
        <f>IF(MOV_CC_NACIONAL!A213="","",MOV_CC_NACIONAL!A213)</f>
        <v/>
      </c>
      <c r="B213" s="22" t="str">
        <f>IF(MOV_CC_NACIONAL!B213="","",MOV_CC_NACIONAL!B213)</f>
        <v/>
      </c>
      <c r="C213" s="21" t="str">
        <f>IF(MOV_CC_NACIONAL!C213="","",MOV_CC_NACIONAL!C213)</f>
        <v/>
      </c>
      <c r="D213" s="22" t="str">
        <f t="shared" si="1"/>
        <v>Other</v>
      </c>
    </row>
    <row r="214" ht="15.75" customHeight="1">
      <c r="A214" s="22" t="str">
        <f>IF(MOV_CC_NACIONAL!A214="","",MOV_CC_NACIONAL!A214)</f>
        <v/>
      </c>
      <c r="B214" s="22" t="str">
        <f>IF(MOV_CC_NACIONAL!B214="","",MOV_CC_NACIONAL!B214)</f>
        <v/>
      </c>
      <c r="C214" s="21" t="str">
        <f>IF(MOV_CC_NACIONAL!C214="","",MOV_CC_NACIONAL!C214)</f>
        <v/>
      </c>
      <c r="D214" s="22" t="str">
        <f t="shared" si="1"/>
        <v>Other</v>
      </c>
    </row>
    <row r="215" ht="15.75" customHeight="1">
      <c r="A215" s="22" t="str">
        <f>IF(MOV_CC_NACIONAL!A215="","",MOV_CC_NACIONAL!A215)</f>
        <v/>
      </c>
      <c r="B215" s="22" t="str">
        <f>IF(MOV_CC_NACIONAL!B215="","",MOV_CC_NACIONAL!B215)</f>
        <v/>
      </c>
      <c r="C215" s="21" t="str">
        <f>IF(MOV_CC_NACIONAL!C215="","",MOV_CC_NACIONAL!C215)</f>
        <v/>
      </c>
      <c r="D215" s="22" t="str">
        <f t="shared" si="1"/>
        <v>Other</v>
      </c>
    </row>
    <row r="216" ht="15.75" customHeight="1">
      <c r="A216" s="22" t="str">
        <f>IF(MOV_CC_NACIONAL!A216="","",MOV_CC_NACIONAL!A216)</f>
        <v/>
      </c>
      <c r="B216" s="22" t="str">
        <f>IF(MOV_CC_NACIONAL!B216="","",MOV_CC_NACIONAL!B216)</f>
        <v/>
      </c>
      <c r="C216" s="21" t="str">
        <f>IF(MOV_CC_NACIONAL!C216="","",MOV_CC_NACIONAL!C216)</f>
        <v/>
      </c>
      <c r="D216" s="22" t="str">
        <f t="shared" si="1"/>
        <v>Other</v>
      </c>
    </row>
    <row r="217" ht="15.75" customHeight="1">
      <c r="A217" s="22" t="str">
        <f>IF(MOV_CC_NACIONAL!A217="","",MOV_CC_NACIONAL!A217)</f>
        <v/>
      </c>
      <c r="B217" s="22" t="str">
        <f>IF(MOV_CC_NACIONAL!B217="","",MOV_CC_NACIONAL!B217)</f>
        <v/>
      </c>
      <c r="C217" s="21" t="str">
        <f>IF(MOV_CC_NACIONAL!C217="","",MOV_CC_NACIONAL!C217)</f>
        <v/>
      </c>
      <c r="D217" s="22" t="str">
        <f t="shared" si="1"/>
        <v>Other</v>
      </c>
    </row>
    <row r="218" ht="15.75" customHeight="1">
      <c r="A218" s="22" t="str">
        <f>IF(MOV_CC_NACIONAL!A218="","",MOV_CC_NACIONAL!A218)</f>
        <v/>
      </c>
      <c r="B218" s="22" t="str">
        <f>IF(MOV_CC_NACIONAL!B218="","",MOV_CC_NACIONAL!B218)</f>
        <v/>
      </c>
      <c r="C218" s="21" t="str">
        <f>IF(MOV_CC_NACIONAL!C218="","",MOV_CC_NACIONAL!C218)</f>
        <v/>
      </c>
      <c r="D218" s="22" t="str">
        <f t="shared" si="1"/>
        <v>Other</v>
      </c>
    </row>
    <row r="219" ht="15.75" customHeight="1">
      <c r="A219" s="22" t="str">
        <f>IF(MOV_CC_NACIONAL!A219="","",MOV_CC_NACIONAL!A219)</f>
        <v/>
      </c>
      <c r="B219" s="22" t="str">
        <f>IF(MOV_CC_NACIONAL!B219="","",MOV_CC_NACIONAL!B219)</f>
        <v/>
      </c>
      <c r="C219" s="21" t="str">
        <f>IF(MOV_CC_NACIONAL!C219="","",MOV_CC_NACIONAL!C219)</f>
        <v/>
      </c>
      <c r="D219" s="22" t="str">
        <f t="shared" si="1"/>
        <v>Other</v>
      </c>
    </row>
    <row r="220" ht="15.75" customHeight="1">
      <c r="A220" s="22" t="str">
        <f>IF(MOV_CC_NACIONAL!A220="","",MOV_CC_NACIONAL!A220)</f>
        <v/>
      </c>
      <c r="B220" s="22" t="str">
        <f>IF(MOV_CC_NACIONAL!B220="","",MOV_CC_NACIONAL!B220)</f>
        <v/>
      </c>
      <c r="C220" s="21" t="str">
        <f>IF(MOV_CC_NACIONAL!C220="","",MOV_CC_NACIONAL!C220)</f>
        <v/>
      </c>
      <c r="D220" s="22" t="str">
        <f t="shared" si="1"/>
        <v>Other</v>
      </c>
    </row>
    <row r="221" ht="15.75" customHeight="1">
      <c r="A221" s="22" t="str">
        <f>IF(MOV_CC_NACIONAL!A221="","",MOV_CC_NACIONAL!A221)</f>
        <v/>
      </c>
      <c r="B221" s="22" t="str">
        <f>IF(MOV_CC_NACIONAL!B221="","",MOV_CC_NACIONAL!B221)</f>
        <v/>
      </c>
      <c r="C221" s="21" t="str">
        <f>IF(MOV_CC_NACIONAL!C221="","",MOV_CC_NACIONAL!C221)</f>
        <v/>
      </c>
      <c r="D221" s="22" t="str">
        <f t="shared" si="1"/>
        <v>Other</v>
      </c>
    </row>
    <row r="222" ht="15.75" customHeight="1">
      <c r="A222" s="22" t="str">
        <f>IF(MOV_CC_NACIONAL!A222="","",MOV_CC_NACIONAL!A222)</f>
        <v/>
      </c>
      <c r="B222" s="22" t="str">
        <f>IF(MOV_CC_NACIONAL!B222="","",MOV_CC_NACIONAL!B222)</f>
        <v/>
      </c>
      <c r="C222" s="21" t="str">
        <f>IF(MOV_CC_NACIONAL!C222="","",MOV_CC_NACIONAL!C222)</f>
        <v/>
      </c>
      <c r="D222" s="22" t="str">
        <f t="shared" si="1"/>
        <v>Other</v>
      </c>
    </row>
    <row r="223" ht="15.75" customHeight="1">
      <c r="A223" s="22" t="str">
        <f>IF(MOV_CC_NACIONAL!A223="","",MOV_CC_NACIONAL!A223)</f>
        <v/>
      </c>
      <c r="B223" s="22" t="str">
        <f>IF(MOV_CC_NACIONAL!B223="","",MOV_CC_NACIONAL!B223)</f>
        <v/>
      </c>
      <c r="C223" s="21" t="str">
        <f>IF(MOV_CC_NACIONAL!C223="","",MOV_CC_NACIONAL!C223)</f>
        <v/>
      </c>
      <c r="D223" s="22" t="str">
        <f t="shared" si="1"/>
        <v>Other</v>
      </c>
    </row>
    <row r="224" ht="15.75" customHeight="1">
      <c r="A224" s="22" t="str">
        <f>IF(MOV_CC_NACIONAL!A224="","",MOV_CC_NACIONAL!A224)</f>
        <v/>
      </c>
      <c r="B224" s="22" t="str">
        <f>IF(MOV_CC_NACIONAL!B224="","",MOV_CC_NACIONAL!B224)</f>
        <v/>
      </c>
      <c r="C224" s="21" t="str">
        <f>IF(MOV_CC_NACIONAL!C224="","",MOV_CC_NACIONAL!C224)</f>
        <v/>
      </c>
      <c r="D224" s="22" t="str">
        <f t="shared" si="1"/>
        <v>Other</v>
      </c>
    </row>
    <row r="225" ht="15.75" customHeight="1">
      <c r="A225" s="22" t="str">
        <f>IF(MOV_CC_NACIONAL!A225="","",MOV_CC_NACIONAL!A225)</f>
        <v/>
      </c>
      <c r="B225" s="22" t="str">
        <f>IF(MOV_CC_NACIONAL!B225="","",MOV_CC_NACIONAL!B225)</f>
        <v/>
      </c>
      <c r="C225" s="21" t="str">
        <f>IF(MOV_CC_NACIONAL!C225="","",MOV_CC_NACIONAL!C225)</f>
        <v/>
      </c>
      <c r="D225" s="22" t="str">
        <f t="shared" si="1"/>
        <v>Other</v>
      </c>
    </row>
    <row r="226" ht="15.75" customHeight="1">
      <c r="A226" s="22" t="str">
        <f>IF(MOV_CC_NACIONAL!A226="","",MOV_CC_NACIONAL!A226)</f>
        <v/>
      </c>
      <c r="B226" s="22" t="str">
        <f>IF(MOV_CC_NACIONAL!B226="","",MOV_CC_NACIONAL!B226)</f>
        <v/>
      </c>
      <c r="C226" s="21" t="str">
        <f>IF(MOV_CC_NACIONAL!C226="","",MOV_CC_NACIONAL!C226)</f>
        <v/>
      </c>
      <c r="D226" s="22" t="str">
        <f t="shared" si="1"/>
        <v>Other</v>
      </c>
    </row>
    <row r="227" ht="15.75" customHeight="1">
      <c r="A227" s="22" t="str">
        <f>IF(MOV_CC_NACIONAL!A227="","",MOV_CC_NACIONAL!A227)</f>
        <v/>
      </c>
      <c r="B227" s="22" t="str">
        <f>IF(MOV_CC_NACIONAL!B227="","",MOV_CC_NACIONAL!B227)</f>
        <v/>
      </c>
      <c r="C227" s="21" t="str">
        <f>IF(MOV_CC_NACIONAL!C227="","",MOV_CC_NACIONAL!C227)</f>
        <v/>
      </c>
      <c r="D227" s="22" t="str">
        <f t="shared" si="1"/>
        <v>Other</v>
      </c>
    </row>
    <row r="228" ht="15.75" customHeight="1">
      <c r="A228" s="22" t="str">
        <f>IF(MOV_CC_NACIONAL!A228="","",MOV_CC_NACIONAL!A228)</f>
        <v/>
      </c>
      <c r="B228" s="22" t="str">
        <f>IF(MOV_CC_NACIONAL!B228="","",MOV_CC_NACIONAL!B228)</f>
        <v/>
      </c>
      <c r="C228" s="21" t="str">
        <f>IF(MOV_CC_NACIONAL!C228="","",MOV_CC_NACIONAL!C228)</f>
        <v/>
      </c>
      <c r="D228" s="22" t="str">
        <f t="shared" si="1"/>
        <v>Other</v>
      </c>
    </row>
    <row r="229" ht="15.75" customHeight="1">
      <c r="A229" s="22" t="str">
        <f>IF(MOV_CC_NACIONAL!A229="","",MOV_CC_NACIONAL!A229)</f>
        <v/>
      </c>
      <c r="B229" s="22" t="str">
        <f>IF(MOV_CC_NACIONAL!B229="","",MOV_CC_NACIONAL!B229)</f>
        <v/>
      </c>
      <c r="C229" s="21" t="str">
        <f>IF(MOV_CC_NACIONAL!C229="","",MOV_CC_NACIONAL!C229)</f>
        <v/>
      </c>
      <c r="D229" s="22" t="str">
        <f t="shared" si="1"/>
        <v>Other</v>
      </c>
    </row>
    <row r="230" ht="15.75" customHeight="1">
      <c r="A230" s="22" t="str">
        <f>IF(MOV_CC_NACIONAL!A230="","",MOV_CC_NACIONAL!A230)</f>
        <v/>
      </c>
      <c r="B230" s="22" t="str">
        <f>IF(MOV_CC_NACIONAL!B230="","",MOV_CC_NACIONAL!B230)</f>
        <v/>
      </c>
      <c r="C230" s="21" t="str">
        <f>IF(MOV_CC_NACIONAL!C230="","",MOV_CC_NACIONAL!C230)</f>
        <v/>
      </c>
      <c r="D230" s="22" t="str">
        <f t="shared" si="1"/>
        <v>Other</v>
      </c>
    </row>
    <row r="231" ht="15.75" customHeight="1">
      <c r="A231" s="22" t="str">
        <f>IF(MOV_CC_NACIONAL!A231="","",MOV_CC_NACIONAL!A231)</f>
        <v/>
      </c>
      <c r="B231" s="22" t="str">
        <f>IF(MOV_CC_NACIONAL!B231="","",MOV_CC_NACIONAL!B231)</f>
        <v/>
      </c>
      <c r="C231" s="21" t="str">
        <f>IF(MOV_CC_NACIONAL!C231="","",MOV_CC_NACIONAL!C231)</f>
        <v/>
      </c>
      <c r="D231" s="22" t="str">
        <f t="shared" si="1"/>
        <v>Other</v>
      </c>
    </row>
    <row r="232" ht="15.75" customHeight="1">
      <c r="A232" s="22" t="str">
        <f>IF(MOV_CC_NACIONAL!A232="","",MOV_CC_NACIONAL!A232)</f>
        <v/>
      </c>
      <c r="B232" s="22" t="str">
        <f>IF(MOV_CC_NACIONAL!B232="","",MOV_CC_NACIONAL!B232)</f>
        <v/>
      </c>
      <c r="C232" s="21" t="str">
        <f>IF(MOV_CC_NACIONAL!C232="","",MOV_CC_NACIONAL!C232)</f>
        <v/>
      </c>
      <c r="D232" s="22" t="str">
        <f t="shared" si="1"/>
        <v>Other</v>
      </c>
    </row>
    <row r="233" ht="15.75" customHeight="1">
      <c r="A233" s="22" t="str">
        <f>IF(MOV_CC_NACIONAL!A233="","",MOV_CC_NACIONAL!A233)</f>
        <v/>
      </c>
      <c r="B233" s="22" t="str">
        <f>IF(MOV_CC_NACIONAL!B233="","",MOV_CC_NACIONAL!B233)</f>
        <v/>
      </c>
      <c r="C233" s="21" t="str">
        <f>IF(MOV_CC_NACIONAL!C233="","",MOV_CC_NACIONAL!C233)</f>
        <v/>
      </c>
      <c r="D233" s="22" t="str">
        <f t="shared" si="1"/>
        <v>Other</v>
      </c>
    </row>
    <row r="234" ht="15.75" customHeight="1">
      <c r="A234" s="22" t="str">
        <f>IF(MOV_CC_NACIONAL!A234="","",MOV_CC_NACIONAL!A234)</f>
        <v/>
      </c>
      <c r="B234" s="22" t="str">
        <f>IF(MOV_CC_NACIONAL!B234="","",MOV_CC_NACIONAL!B234)</f>
        <v/>
      </c>
      <c r="C234" s="21" t="str">
        <f>IF(MOV_CC_NACIONAL!C234="","",MOV_CC_NACIONAL!C234)</f>
        <v/>
      </c>
      <c r="D234" s="22" t="str">
        <f t="shared" si="1"/>
        <v>Other</v>
      </c>
    </row>
    <row r="235" ht="15.75" customHeight="1">
      <c r="A235" s="22" t="str">
        <f>IF(MOV_CC_NACIONAL!A235="","",MOV_CC_NACIONAL!A235)</f>
        <v/>
      </c>
      <c r="B235" s="22" t="str">
        <f>IF(MOV_CC_NACIONAL!B235="","",MOV_CC_NACIONAL!B235)</f>
        <v/>
      </c>
      <c r="C235" s="21" t="str">
        <f>IF(MOV_CC_NACIONAL!C235="","",MOV_CC_NACIONAL!C235)</f>
        <v/>
      </c>
      <c r="D235" s="22" t="str">
        <f t="shared" si="1"/>
        <v>Other</v>
      </c>
    </row>
    <row r="236" ht="15.75" customHeight="1">
      <c r="A236" s="22" t="str">
        <f>IF(MOV_CC_NACIONAL!A236="","",MOV_CC_NACIONAL!A236)</f>
        <v/>
      </c>
      <c r="B236" s="22" t="str">
        <f>IF(MOV_CC_NACIONAL!B236="","",MOV_CC_NACIONAL!B236)</f>
        <v/>
      </c>
      <c r="C236" s="21" t="str">
        <f>IF(MOV_CC_NACIONAL!C236="","",MOV_CC_NACIONAL!C236)</f>
        <v/>
      </c>
      <c r="D236" s="22" t="str">
        <f t="shared" si="1"/>
        <v>Other</v>
      </c>
    </row>
    <row r="237" ht="15.75" customHeight="1">
      <c r="A237" s="22" t="str">
        <f>IF(MOV_CC_NACIONAL!A237="","",MOV_CC_NACIONAL!A237)</f>
        <v/>
      </c>
      <c r="B237" s="22" t="str">
        <f>IF(MOV_CC_NACIONAL!B237="","",MOV_CC_NACIONAL!B237)</f>
        <v/>
      </c>
      <c r="C237" s="21" t="str">
        <f>IF(MOV_CC_NACIONAL!C237="","",MOV_CC_NACIONAL!C237)</f>
        <v/>
      </c>
      <c r="D237" s="22" t="str">
        <f t="shared" si="1"/>
        <v>Other</v>
      </c>
    </row>
    <row r="238" ht="15.75" customHeight="1">
      <c r="A238" s="22" t="str">
        <f>IF(MOV_CC_NACIONAL!A238="","",MOV_CC_NACIONAL!A238)</f>
        <v/>
      </c>
      <c r="B238" s="22" t="str">
        <f>IF(MOV_CC_NACIONAL!B238="","",MOV_CC_NACIONAL!B238)</f>
        <v/>
      </c>
      <c r="C238" s="21" t="str">
        <f>IF(MOV_CC_NACIONAL!C238="","",MOV_CC_NACIONAL!C238)</f>
        <v/>
      </c>
      <c r="D238" s="22" t="str">
        <f t="shared" si="1"/>
        <v>Other</v>
      </c>
    </row>
    <row r="239" ht="15.75" customHeight="1">
      <c r="A239" s="22" t="str">
        <f>IF(MOV_CC_NACIONAL!A239="","",MOV_CC_NACIONAL!A239)</f>
        <v/>
      </c>
      <c r="B239" s="22" t="str">
        <f>IF(MOV_CC_NACIONAL!B239="","",MOV_CC_NACIONAL!B239)</f>
        <v/>
      </c>
      <c r="C239" s="21" t="str">
        <f>IF(MOV_CC_NACIONAL!C239="","",MOV_CC_NACIONAL!C239)</f>
        <v/>
      </c>
      <c r="D239" s="22" t="str">
        <f t="shared" si="1"/>
        <v>Other</v>
      </c>
    </row>
    <row r="240" ht="15.75" customHeight="1">
      <c r="A240" s="22" t="str">
        <f>IF(MOV_CC_NACIONAL!A240="","",MOV_CC_NACIONAL!A240)</f>
        <v/>
      </c>
      <c r="B240" s="22" t="str">
        <f>IF(MOV_CC_NACIONAL!B240="","",MOV_CC_NACIONAL!B240)</f>
        <v/>
      </c>
      <c r="C240" s="21" t="str">
        <f>IF(MOV_CC_NACIONAL!C240="","",MOV_CC_NACIONAL!C240)</f>
        <v/>
      </c>
      <c r="D240" s="22" t="str">
        <f t="shared" si="1"/>
        <v>Other</v>
      </c>
    </row>
    <row r="241" ht="15.75" customHeight="1">
      <c r="A241" s="22" t="str">
        <f>IF(MOV_CC_NACIONAL!A241="","",MOV_CC_NACIONAL!A241)</f>
        <v/>
      </c>
      <c r="B241" s="22" t="str">
        <f>IF(MOV_CC_NACIONAL!B241="","",MOV_CC_NACIONAL!B241)</f>
        <v/>
      </c>
      <c r="C241" s="21" t="str">
        <f>IF(MOV_CC_NACIONAL!C241="","",MOV_CC_NACIONAL!C241)</f>
        <v/>
      </c>
      <c r="D241" s="22" t="str">
        <f t="shared" si="1"/>
        <v>Other</v>
      </c>
    </row>
    <row r="242" ht="15.75" customHeight="1">
      <c r="A242" s="22" t="str">
        <f>IF(MOV_CC_NACIONAL!A242="","",MOV_CC_NACIONAL!A242)</f>
        <v/>
      </c>
      <c r="B242" s="22" t="str">
        <f>IF(MOV_CC_NACIONAL!B242="","",MOV_CC_NACIONAL!B242)</f>
        <v/>
      </c>
      <c r="C242" s="21" t="str">
        <f>IF(MOV_CC_NACIONAL!C242="","",MOV_CC_NACIONAL!C242)</f>
        <v/>
      </c>
      <c r="D242" s="22" t="str">
        <f t="shared" si="1"/>
        <v>Other</v>
      </c>
    </row>
    <row r="243" ht="15.75" customHeight="1">
      <c r="A243" s="22" t="str">
        <f>IF(MOV_CC_NACIONAL!A243="","",MOV_CC_NACIONAL!A243)</f>
        <v/>
      </c>
      <c r="B243" s="22" t="str">
        <f>IF(MOV_CC_NACIONAL!B243="","",MOV_CC_NACIONAL!B243)</f>
        <v/>
      </c>
      <c r="C243" s="21" t="str">
        <f>IF(MOV_CC_NACIONAL!C243="","",MOV_CC_NACIONAL!C243)</f>
        <v/>
      </c>
      <c r="D243" s="22" t="str">
        <f t="shared" si="1"/>
        <v>Other</v>
      </c>
    </row>
    <row r="244" ht="15.75" customHeight="1">
      <c r="A244" s="22" t="str">
        <f>IF(MOV_CC_NACIONAL!A244="","",MOV_CC_NACIONAL!A244)</f>
        <v/>
      </c>
      <c r="B244" s="22" t="str">
        <f>IF(MOV_CC_NACIONAL!B244="","",MOV_CC_NACIONAL!B244)</f>
        <v/>
      </c>
      <c r="C244" s="21" t="str">
        <f>IF(MOV_CC_NACIONAL!C244="","",MOV_CC_NACIONAL!C244)</f>
        <v/>
      </c>
      <c r="D244" s="22" t="str">
        <f t="shared" si="1"/>
        <v>Other</v>
      </c>
    </row>
    <row r="245" ht="15.75" customHeight="1">
      <c r="A245" s="22" t="str">
        <f>IF(MOV_CC_NACIONAL!A245="","",MOV_CC_NACIONAL!A245)</f>
        <v/>
      </c>
      <c r="B245" s="22" t="str">
        <f>IF(MOV_CC_NACIONAL!B245="","",MOV_CC_NACIONAL!B245)</f>
        <v/>
      </c>
      <c r="C245" s="21" t="str">
        <f>IF(MOV_CC_NACIONAL!C245="","",MOV_CC_NACIONAL!C245)</f>
        <v/>
      </c>
      <c r="D245" s="22" t="str">
        <f t="shared" si="1"/>
        <v>Other</v>
      </c>
    </row>
    <row r="246" ht="15.75" customHeight="1">
      <c r="A246" s="22" t="str">
        <f>IF(MOV_CC_NACIONAL!A246="","",MOV_CC_NACIONAL!A246)</f>
        <v/>
      </c>
      <c r="B246" s="22" t="str">
        <f>IF(MOV_CC_NACIONAL!B246="","",MOV_CC_NACIONAL!B246)</f>
        <v/>
      </c>
      <c r="C246" s="21" t="str">
        <f>IF(MOV_CC_NACIONAL!C246="","",MOV_CC_NACIONAL!C246)</f>
        <v/>
      </c>
      <c r="D246" s="22" t="str">
        <f t="shared" si="1"/>
        <v>Other</v>
      </c>
    </row>
    <row r="247" ht="15.75" customHeight="1">
      <c r="A247" s="22" t="str">
        <f>IF(MOV_CC_NACIONAL!A247="","",MOV_CC_NACIONAL!A247)</f>
        <v/>
      </c>
      <c r="B247" s="22" t="str">
        <f>IF(MOV_CC_NACIONAL!B247="","",MOV_CC_NACIONAL!B247)</f>
        <v/>
      </c>
      <c r="C247" s="21" t="str">
        <f>IF(MOV_CC_NACIONAL!C247="","",MOV_CC_NACIONAL!C247)</f>
        <v/>
      </c>
      <c r="D247" s="22" t="str">
        <f t="shared" si="1"/>
        <v>Other</v>
      </c>
    </row>
    <row r="248" ht="15.75" customHeight="1">
      <c r="A248" s="22" t="str">
        <f>IF(MOV_CC_NACIONAL!A248="","",MOV_CC_NACIONAL!A248)</f>
        <v/>
      </c>
      <c r="B248" s="22" t="str">
        <f>IF(MOV_CC_NACIONAL!B248="","",MOV_CC_NACIONAL!B248)</f>
        <v/>
      </c>
      <c r="C248" s="21" t="str">
        <f>IF(MOV_CC_NACIONAL!C248="","",MOV_CC_NACIONAL!C248)</f>
        <v/>
      </c>
      <c r="D248" s="22" t="str">
        <f t="shared" si="1"/>
        <v>Other</v>
      </c>
    </row>
    <row r="249" ht="15.75" customHeight="1">
      <c r="A249" s="22" t="str">
        <f>IF(MOV_CC_NACIONAL!A249="","",MOV_CC_NACIONAL!A249)</f>
        <v/>
      </c>
      <c r="B249" s="22" t="str">
        <f>IF(MOV_CC_NACIONAL!B249="","",MOV_CC_NACIONAL!B249)</f>
        <v/>
      </c>
      <c r="C249" s="21" t="str">
        <f>IF(MOV_CC_NACIONAL!C249="","",MOV_CC_NACIONAL!C249)</f>
        <v/>
      </c>
      <c r="D249" s="22" t="str">
        <f t="shared" si="1"/>
        <v>Other</v>
      </c>
    </row>
    <row r="250" ht="15.75" customHeight="1">
      <c r="A250" s="22" t="str">
        <f>IF(MOV_CC_NACIONAL!A250="","",MOV_CC_NACIONAL!A250)</f>
        <v/>
      </c>
      <c r="B250" s="22" t="str">
        <f>IF(MOV_CC_NACIONAL!B250="","",MOV_CC_NACIONAL!B250)</f>
        <v/>
      </c>
      <c r="C250" s="21" t="str">
        <f>IF(MOV_CC_NACIONAL!C250="","",MOV_CC_NACIONAL!C250)</f>
        <v/>
      </c>
      <c r="D250" s="22" t="str">
        <f t="shared" si="1"/>
        <v>Other</v>
      </c>
    </row>
    <row r="251" ht="15.75" customHeight="1">
      <c r="A251" s="22" t="str">
        <f>IF(MOV_CC_NACIONAL!A251="","",MOV_CC_NACIONAL!A251)</f>
        <v/>
      </c>
      <c r="B251" s="22" t="str">
        <f>IF(MOV_CC_NACIONAL!B251="","",MOV_CC_NACIONAL!B251)</f>
        <v/>
      </c>
      <c r="C251" s="21" t="str">
        <f>IF(MOV_CC_NACIONAL!C251="","",MOV_CC_NACIONAL!C251)</f>
        <v/>
      </c>
      <c r="D251" s="22" t="str">
        <f t="shared" si="1"/>
        <v>Other</v>
      </c>
    </row>
    <row r="252" ht="15.75" customHeight="1">
      <c r="A252" s="22" t="str">
        <f>IF(MOV_CC_NACIONAL!A252="","",MOV_CC_NACIONAL!A252)</f>
        <v/>
      </c>
      <c r="B252" s="22" t="str">
        <f>IF(MOV_CC_NACIONAL!B252="","",MOV_CC_NACIONAL!B252)</f>
        <v/>
      </c>
      <c r="C252" s="21" t="str">
        <f>IF(MOV_CC_NACIONAL!C252="","",MOV_CC_NACIONAL!C252)</f>
        <v/>
      </c>
      <c r="D252" s="22" t="str">
        <f t="shared" si="1"/>
        <v>Other</v>
      </c>
    </row>
    <row r="253" ht="15.75" customHeight="1">
      <c r="A253" s="22" t="str">
        <f>IF(MOV_CC_NACIONAL!A253="","",MOV_CC_NACIONAL!A253)</f>
        <v/>
      </c>
      <c r="B253" s="22" t="str">
        <f>IF(MOV_CC_NACIONAL!B253="","",MOV_CC_NACIONAL!B253)</f>
        <v/>
      </c>
      <c r="C253" s="21" t="str">
        <f>IF(MOV_CC_NACIONAL!C253="","",MOV_CC_NACIONAL!C253)</f>
        <v/>
      </c>
      <c r="D253" s="22" t="str">
        <f t="shared" si="1"/>
        <v>Other</v>
      </c>
    </row>
    <row r="254" ht="15.75" customHeight="1">
      <c r="A254" s="22" t="str">
        <f>IF(MOV_CC_NACIONAL!A254="","",MOV_CC_NACIONAL!A254)</f>
        <v/>
      </c>
      <c r="B254" s="22" t="str">
        <f>IF(MOV_CC_NACIONAL!B254="","",MOV_CC_NACIONAL!B254)</f>
        <v/>
      </c>
      <c r="C254" s="21" t="str">
        <f>IF(MOV_CC_NACIONAL!C254="","",MOV_CC_NACIONAL!C254)</f>
        <v/>
      </c>
      <c r="D254" s="22" t="str">
        <f t="shared" si="1"/>
        <v>Other</v>
      </c>
    </row>
    <row r="255" ht="15.75" customHeight="1">
      <c r="A255" s="22" t="str">
        <f>IF(MOV_CC_NACIONAL!A255="","",MOV_CC_NACIONAL!A255)</f>
        <v/>
      </c>
      <c r="B255" s="22" t="str">
        <f>IF(MOV_CC_NACIONAL!B255="","",MOV_CC_NACIONAL!B255)</f>
        <v/>
      </c>
      <c r="C255" s="21" t="str">
        <f>IF(MOV_CC_NACIONAL!C255="","",MOV_CC_NACIONAL!C255)</f>
        <v/>
      </c>
      <c r="D255" s="22" t="str">
        <f t="shared" si="1"/>
        <v>Other</v>
      </c>
    </row>
    <row r="256" ht="15.75" customHeight="1">
      <c r="A256" s="22" t="str">
        <f>IF(MOV_CC_NACIONAL!A256="","",MOV_CC_NACIONAL!A256)</f>
        <v/>
      </c>
      <c r="B256" s="22" t="str">
        <f>IF(MOV_CC_NACIONAL!B256="","",MOV_CC_NACIONAL!B256)</f>
        <v/>
      </c>
      <c r="C256" s="21" t="str">
        <f>IF(MOV_CC_NACIONAL!C256="","",MOV_CC_NACIONAL!C256)</f>
        <v/>
      </c>
      <c r="D256" s="22" t="str">
        <f t="shared" si="1"/>
        <v>Other</v>
      </c>
    </row>
    <row r="257" ht="15.75" customHeight="1">
      <c r="A257" s="22" t="str">
        <f>IF(MOV_CC_NACIONAL!A257="","",MOV_CC_NACIONAL!A257)</f>
        <v/>
      </c>
      <c r="B257" s="22" t="str">
        <f>IF(MOV_CC_NACIONAL!B257="","",MOV_CC_NACIONAL!B257)</f>
        <v/>
      </c>
      <c r="C257" s="21" t="str">
        <f>IF(MOV_CC_NACIONAL!C257="","",MOV_CC_NACIONAL!C257)</f>
        <v/>
      </c>
      <c r="D257" s="22" t="str">
        <f t="shared" si="1"/>
        <v>Other</v>
      </c>
    </row>
    <row r="258" ht="15.75" customHeight="1">
      <c r="A258" s="22" t="str">
        <f>IF(MOV_CC_NACIONAL!A258="","",MOV_CC_NACIONAL!A258)</f>
        <v/>
      </c>
      <c r="B258" s="22" t="str">
        <f>IF(MOV_CC_NACIONAL!B258="","",MOV_CC_NACIONAL!B258)</f>
        <v/>
      </c>
      <c r="C258" s="21" t="str">
        <f>IF(MOV_CC_NACIONAL!C258="","",MOV_CC_NACIONAL!C258)</f>
        <v/>
      </c>
      <c r="D258" s="22" t="str">
        <f t="shared" si="1"/>
        <v>Other</v>
      </c>
    </row>
    <row r="259" ht="15.75" customHeight="1">
      <c r="A259" s="22" t="str">
        <f>IF(MOV_CC_NACIONAL!A259="","",MOV_CC_NACIONAL!A259)</f>
        <v/>
      </c>
      <c r="B259" s="22" t="str">
        <f>IF(MOV_CC_NACIONAL!B259="","",MOV_CC_NACIONAL!B259)</f>
        <v/>
      </c>
      <c r="C259" s="21" t="str">
        <f>IF(MOV_CC_NACIONAL!C259="","",MOV_CC_NACIONAL!C259)</f>
        <v/>
      </c>
      <c r="D259" s="22" t="str">
        <f t="shared" si="1"/>
        <v>Other</v>
      </c>
    </row>
    <row r="260" ht="15.75" customHeight="1">
      <c r="A260" s="22" t="str">
        <f>IF(MOV_CC_NACIONAL!A260="","",MOV_CC_NACIONAL!A260)</f>
        <v/>
      </c>
      <c r="B260" s="22" t="str">
        <f>IF(MOV_CC_NACIONAL!B260="","",MOV_CC_NACIONAL!B260)</f>
        <v/>
      </c>
      <c r="C260" s="21" t="str">
        <f>IF(MOV_CC_NACIONAL!C260="","",MOV_CC_NACIONAL!C260)</f>
        <v/>
      </c>
      <c r="D260" s="22" t="str">
        <f t="shared" si="1"/>
        <v>Other</v>
      </c>
    </row>
    <row r="261" ht="15.75" customHeight="1">
      <c r="A261" s="22" t="str">
        <f>IF(MOV_CC_NACIONAL!A261="","",MOV_CC_NACIONAL!A261)</f>
        <v/>
      </c>
      <c r="B261" s="22" t="str">
        <f>IF(MOV_CC_NACIONAL!B261="","",MOV_CC_NACIONAL!B261)</f>
        <v/>
      </c>
      <c r="C261" s="21" t="str">
        <f>IF(MOV_CC_NACIONAL!C261="","",MOV_CC_NACIONAL!C261)</f>
        <v/>
      </c>
      <c r="D261" s="22" t="str">
        <f t="shared" si="1"/>
        <v>Other</v>
      </c>
    </row>
    <row r="262" ht="15.75" customHeight="1">
      <c r="A262" s="22" t="str">
        <f>IF(MOV_CC_NACIONAL!A262="","",MOV_CC_NACIONAL!A262)</f>
        <v/>
      </c>
      <c r="B262" s="22" t="str">
        <f>IF(MOV_CC_NACIONAL!B262="","",MOV_CC_NACIONAL!B262)</f>
        <v/>
      </c>
      <c r="C262" s="21" t="str">
        <f>IF(MOV_CC_NACIONAL!C262="","",MOV_CC_NACIONAL!C262)</f>
        <v/>
      </c>
      <c r="D262" s="22" t="str">
        <f t="shared" si="1"/>
        <v>Other</v>
      </c>
    </row>
    <row r="263" ht="15.75" customHeight="1">
      <c r="A263" s="22" t="str">
        <f>IF(MOV_CC_NACIONAL!A263="","",MOV_CC_NACIONAL!A263)</f>
        <v/>
      </c>
      <c r="B263" s="22" t="str">
        <f>IF(MOV_CC_NACIONAL!B263="","",MOV_CC_NACIONAL!B263)</f>
        <v/>
      </c>
      <c r="C263" s="21" t="str">
        <f>IF(MOV_CC_NACIONAL!C263="","",MOV_CC_NACIONAL!C263)</f>
        <v/>
      </c>
      <c r="D263" s="22" t="str">
        <f t="shared" si="1"/>
        <v>Other</v>
      </c>
    </row>
    <row r="264" ht="15.75" customHeight="1">
      <c r="A264" s="22" t="str">
        <f>IF(MOV_CC_NACIONAL!A264="","",MOV_CC_NACIONAL!A264)</f>
        <v/>
      </c>
      <c r="B264" s="22" t="str">
        <f>IF(MOV_CC_NACIONAL!B264="","",MOV_CC_NACIONAL!B264)</f>
        <v/>
      </c>
      <c r="C264" s="21" t="str">
        <f>IF(MOV_CC_NACIONAL!C264="","",MOV_CC_NACIONAL!C264)</f>
        <v/>
      </c>
      <c r="D264" s="22" t="str">
        <f t="shared" si="1"/>
        <v>Other</v>
      </c>
    </row>
    <row r="265" ht="15.75" customHeight="1">
      <c r="A265" s="22" t="str">
        <f>IF(MOV_CC_NACIONAL!A265="","",MOV_CC_NACIONAL!A265)</f>
        <v/>
      </c>
      <c r="B265" s="22" t="str">
        <f>IF(MOV_CC_NACIONAL!B265="","",MOV_CC_NACIONAL!B265)</f>
        <v/>
      </c>
      <c r="C265" s="21" t="str">
        <f>IF(MOV_CC_NACIONAL!C265="","",MOV_CC_NACIONAL!C265)</f>
        <v/>
      </c>
      <c r="D265" s="22" t="str">
        <f t="shared" si="1"/>
        <v>Other</v>
      </c>
    </row>
    <row r="266" ht="15.75" customHeight="1">
      <c r="A266" s="22" t="str">
        <f>IF(MOV_CC_NACIONAL!A266="","",MOV_CC_NACIONAL!A266)</f>
        <v/>
      </c>
      <c r="B266" s="22" t="str">
        <f>IF(MOV_CC_NACIONAL!B266="","",MOV_CC_NACIONAL!B266)</f>
        <v/>
      </c>
      <c r="C266" s="21" t="str">
        <f>IF(MOV_CC_NACIONAL!C266="","",MOV_CC_NACIONAL!C266)</f>
        <v/>
      </c>
      <c r="D266" s="22" t="str">
        <f t="shared" si="1"/>
        <v>Other</v>
      </c>
    </row>
    <row r="267" ht="15.75" customHeight="1">
      <c r="A267" s="22" t="str">
        <f>IF(MOV_CC_NACIONAL!A267="","",MOV_CC_NACIONAL!A267)</f>
        <v/>
      </c>
      <c r="B267" s="22" t="str">
        <f>IF(MOV_CC_NACIONAL!B267="","",MOV_CC_NACIONAL!B267)</f>
        <v/>
      </c>
      <c r="C267" s="21" t="str">
        <f>IF(MOV_CC_NACIONAL!C267="","",MOV_CC_NACIONAL!C267)</f>
        <v/>
      </c>
      <c r="D267" s="22" t="str">
        <f t="shared" si="1"/>
        <v>Other</v>
      </c>
    </row>
    <row r="268" ht="15.75" customHeight="1">
      <c r="A268" s="22" t="str">
        <f>IF(MOV_CC_NACIONAL!A268="","",MOV_CC_NACIONAL!A268)</f>
        <v/>
      </c>
      <c r="B268" s="22" t="str">
        <f>IF(MOV_CC_NACIONAL!B268="","",MOV_CC_NACIONAL!B268)</f>
        <v/>
      </c>
      <c r="C268" s="21" t="str">
        <f>IF(MOV_CC_NACIONAL!C268="","",MOV_CC_NACIONAL!C268)</f>
        <v/>
      </c>
      <c r="D268" s="22" t="str">
        <f t="shared" si="1"/>
        <v>Other</v>
      </c>
    </row>
    <row r="269" ht="15.75" customHeight="1">
      <c r="A269" s="22" t="str">
        <f>IF(MOV_CC_NACIONAL!A269="","",MOV_CC_NACIONAL!A269)</f>
        <v/>
      </c>
      <c r="B269" s="22" t="str">
        <f>IF(MOV_CC_NACIONAL!B269="","",MOV_CC_NACIONAL!B269)</f>
        <v/>
      </c>
      <c r="C269" s="21" t="str">
        <f>IF(MOV_CC_NACIONAL!C269="","",MOV_CC_NACIONAL!C269)</f>
        <v/>
      </c>
      <c r="D269" s="22" t="str">
        <f t="shared" si="1"/>
        <v>Other</v>
      </c>
    </row>
    <row r="270" ht="15.75" customHeight="1">
      <c r="A270" s="22" t="str">
        <f>IF(MOV_CC_NACIONAL!A270="","",MOV_CC_NACIONAL!A270)</f>
        <v/>
      </c>
      <c r="B270" s="22" t="str">
        <f>IF(MOV_CC_NACIONAL!B270="","",MOV_CC_NACIONAL!B270)</f>
        <v/>
      </c>
      <c r="C270" s="21" t="str">
        <f>IF(MOV_CC_NACIONAL!C270="","",MOV_CC_NACIONAL!C270)</f>
        <v/>
      </c>
      <c r="D270" s="22" t="str">
        <f t="shared" si="1"/>
        <v>Other</v>
      </c>
    </row>
    <row r="271" ht="15.75" customHeight="1">
      <c r="A271" s="22" t="str">
        <f>IF(MOV_CC_NACIONAL!A271="","",MOV_CC_NACIONAL!A271)</f>
        <v/>
      </c>
      <c r="B271" s="22" t="str">
        <f>IF(MOV_CC_NACIONAL!B271="","",MOV_CC_NACIONAL!B271)</f>
        <v/>
      </c>
      <c r="C271" s="21" t="str">
        <f>IF(MOV_CC_NACIONAL!C271="","",MOV_CC_NACIONAL!C271)</f>
        <v/>
      </c>
      <c r="D271" s="22" t="str">
        <f t="shared" si="1"/>
        <v>Other</v>
      </c>
    </row>
    <row r="272" ht="15.75" customHeight="1">
      <c r="A272" s="22" t="str">
        <f>IF(MOV_CC_NACIONAL!A272="","",MOV_CC_NACIONAL!A272)</f>
        <v/>
      </c>
      <c r="B272" s="22" t="str">
        <f>IF(MOV_CC_NACIONAL!B272="","",MOV_CC_NACIONAL!B272)</f>
        <v/>
      </c>
      <c r="C272" s="21" t="str">
        <f>IF(MOV_CC_NACIONAL!C272="","",MOV_CC_NACIONAL!C272)</f>
        <v/>
      </c>
      <c r="D272" s="22" t="str">
        <f t="shared" si="1"/>
        <v>Other</v>
      </c>
    </row>
    <row r="273" ht="15.75" customHeight="1">
      <c r="A273" s="22" t="str">
        <f>IF(MOV_CC_NACIONAL!A273="","",MOV_CC_NACIONAL!A273)</f>
        <v/>
      </c>
      <c r="B273" s="22" t="str">
        <f>IF(MOV_CC_NACIONAL!B273="","",MOV_CC_NACIONAL!B273)</f>
        <v/>
      </c>
      <c r="C273" s="21" t="str">
        <f>IF(MOV_CC_NACIONAL!C273="","",MOV_CC_NACIONAL!C273)</f>
        <v/>
      </c>
      <c r="D273" s="22" t="str">
        <f t="shared" si="1"/>
        <v>Other</v>
      </c>
    </row>
    <row r="274" ht="15.75" customHeight="1">
      <c r="A274" s="22" t="str">
        <f>IF(MOV_CC_NACIONAL!A274="","",MOV_CC_NACIONAL!A274)</f>
        <v/>
      </c>
      <c r="B274" s="22" t="str">
        <f>IF(MOV_CC_NACIONAL!B274="","",MOV_CC_NACIONAL!B274)</f>
        <v/>
      </c>
      <c r="C274" s="21" t="str">
        <f>IF(MOV_CC_NACIONAL!C274="","",MOV_CC_NACIONAL!C274)</f>
        <v/>
      </c>
      <c r="D274" s="22" t="str">
        <f t="shared" si="1"/>
        <v>Other</v>
      </c>
    </row>
    <row r="275" ht="15.75" customHeight="1">
      <c r="A275" s="22" t="str">
        <f>IF(MOV_CC_NACIONAL!A275="","",MOV_CC_NACIONAL!A275)</f>
        <v/>
      </c>
      <c r="B275" s="22" t="str">
        <f>IF(MOV_CC_NACIONAL!B275="","",MOV_CC_NACIONAL!B275)</f>
        <v/>
      </c>
      <c r="C275" s="21" t="str">
        <f>IF(MOV_CC_NACIONAL!C275="","",MOV_CC_NACIONAL!C275)</f>
        <v/>
      </c>
      <c r="D275" s="22" t="str">
        <f t="shared" si="1"/>
        <v>Other</v>
      </c>
    </row>
    <row r="276" ht="15.75" customHeight="1">
      <c r="A276" s="22" t="str">
        <f>IF(MOV_CC_NACIONAL!A276="","",MOV_CC_NACIONAL!A276)</f>
        <v/>
      </c>
      <c r="B276" s="22" t="str">
        <f>IF(MOV_CC_NACIONAL!B276="","",MOV_CC_NACIONAL!B276)</f>
        <v/>
      </c>
      <c r="C276" s="21" t="str">
        <f>IF(MOV_CC_NACIONAL!C276="","",MOV_CC_NACIONAL!C276)</f>
        <v/>
      </c>
      <c r="D276" s="22" t="str">
        <f t="shared" si="1"/>
        <v>Other</v>
      </c>
    </row>
    <row r="277" ht="15.75" customHeight="1">
      <c r="A277" s="22" t="str">
        <f>IF(MOV_CC_NACIONAL!A277="","",MOV_CC_NACIONAL!A277)</f>
        <v/>
      </c>
      <c r="B277" s="22" t="str">
        <f>IF(MOV_CC_NACIONAL!B277="","",MOV_CC_NACIONAL!B277)</f>
        <v/>
      </c>
      <c r="C277" s="21" t="str">
        <f>IF(MOV_CC_NACIONAL!C277="","",MOV_CC_NACIONAL!C277)</f>
        <v/>
      </c>
      <c r="D277" s="22" t="str">
        <f t="shared" si="1"/>
        <v>Other</v>
      </c>
    </row>
    <row r="278" ht="15.75" customHeight="1">
      <c r="A278" s="22" t="str">
        <f>IF(MOV_CC_NACIONAL!A278="","",MOV_CC_NACIONAL!A278)</f>
        <v/>
      </c>
      <c r="B278" s="22" t="str">
        <f>IF(MOV_CC_NACIONAL!B278="","",MOV_CC_NACIONAL!B278)</f>
        <v/>
      </c>
      <c r="C278" s="21" t="str">
        <f>IF(MOV_CC_NACIONAL!C278="","",MOV_CC_NACIONAL!C278)</f>
        <v/>
      </c>
      <c r="D278" s="22" t="str">
        <f t="shared" si="1"/>
        <v>Other</v>
      </c>
    </row>
    <row r="279" ht="15.75" customHeight="1">
      <c r="A279" s="22" t="str">
        <f>IF(MOV_CC_NACIONAL!A279="","",MOV_CC_NACIONAL!A279)</f>
        <v/>
      </c>
      <c r="B279" s="22" t="str">
        <f>IF(MOV_CC_NACIONAL!B279="","",MOV_CC_NACIONAL!B279)</f>
        <v/>
      </c>
      <c r="C279" s="21" t="str">
        <f>IF(MOV_CC_NACIONAL!C279="","",MOV_CC_NACIONAL!C279)</f>
        <v/>
      </c>
      <c r="D279" s="22" t="str">
        <f t="shared" si="1"/>
        <v>Other</v>
      </c>
    </row>
    <row r="280" ht="15.75" customHeight="1">
      <c r="A280" s="22" t="str">
        <f>IF(MOV_CC_NACIONAL!A280="","",MOV_CC_NACIONAL!A280)</f>
        <v/>
      </c>
      <c r="B280" s="22" t="str">
        <f>IF(MOV_CC_NACIONAL!B280="","",MOV_CC_NACIONAL!B280)</f>
        <v/>
      </c>
      <c r="C280" s="21" t="str">
        <f>IF(MOV_CC_NACIONAL!C280="","",MOV_CC_NACIONAL!C280)</f>
        <v/>
      </c>
      <c r="D280" s="22" t="str">
        <f t="shared" si="1"/>
        <v>Other</v>
      </c>
    </row>
    <row r="281" ht="15.75" customHeight="1">
      <c r="A281" s="22" t="str">
        <f>IF(MOV_CC_NACIONAL!A281="","",MOV_CC_NACIONAL!A281)</f>
        <v/>
      </c>
      <c r="B281" s="22" t="str">
        <f>IF(MOV_CC_NACIONAL!B281="","",MOV_CC_NACIONAL!B281)</f>
        <v/>
      </c>
      <c r="C281" s="21" t="str">
        <f>IF(MOV_CC_NACIONAL!C281="","",MOV_CC_NACIONAL!C281)</f>
        <v/>
      </c>
      <c r="D281" s="22" t="str">
        <f t="shared" si="1"/>
        <v>Other</v>
      </c>
    </row>
    <row r="282" ht="15.75" customHeight="1">
      <c r="A282" s="22" t="str">
        <f>IF(MOV_CC_NACIONAL!A282="","",MOV_CC_NACIONAL!A282)</f>
        <v/>
      </c>
      <c r="B282" s="22" t="str">
        <f>IF(MOV_CC_NACIONAL!B282="","",MOV_CC_NACIONAL!B282)</f>
        <v/>
      </c>
      <c r="C282" s="21" t="str">
        <f>IF(MOV_CC_NACIONAL!C282="","",MOV_CC_NACIONAL!C282)</f>
        <v/>
      </c>
      <c r="D282" s="22" t="str">
        <f t="shared" si="1"/>
        <v>Other</v>
      </c>
    </row>
    <row r="283" ht="15.75" customHeight="1">
      <c r="A283" s="22" t="str">
        <f>IF(MOV_CC_NACIONAL!A283="","",MOV_CC_NACIONAL!A283)</f>
        <v/>
      </c>
      <c r="B283" s="22" t="str">
        <f>IF(MOV_CC_NACIONAL!B283="","",MOV_CC_NACIONAL!B283)</f>
        <v/>
      </c>
      <c r="C283" s="21" t="str">
        <f>IF(MOV_CC_NACIONAL!C283="","",MOV_CC_NACIONAL!C283)</f>
        <v/>
      </c>
      <c r="D283" s="22" t="str">
        <f t="shared" si="1"/>
        <v>Other</v>
      </c>
    </row>
    <row r="284" ht="15.75" customHeight="1">
      <c r="A284" s="22" t="str">
        <f>IF(MOV_CC_NACIONAL!A284="","",MOV_CC_NACIONAL!A284)</f>
        <v/>
      </c>
      <c r="B284" s="22" t="str">
        <f>IF(MOV_CC_NACIONAL!B284="","",MOV_CC_NACIONAL!B284)</f>
        <v/>
      </c>
      <c r="C284" s="21" t="str">
        <f>IF(MOV_CC_NACIONAL!C284="","",MOV_CC_NACIONAL!C284)</f>
        <v/>
      </c>
      <c r="D284" s="22" t="str">
        <f t="shared" si="1"/>
        <v>Other</v>
      </c>
    </row>
    <row r="285" ht="15.75" customHeight="1">
      <c r="A285" s="22" t="str">
        <f>IF(MOV_CC_NACIONAL!A285="","",MOV_CC_NACIONAL!A285)</f>
        <v/>
      </c>
      <c r="B285" s="22" t="str">
        <f>IF(MOV_CC_NACIONAL!B285="","",MOV_CC_NACIONAL!B285)</f>
        <v/>
      </c>
      <c r="C285" s="21" t="str">
        <f>IF(MOV_CC_NACIONAL!C285="","",MOV_CC_NACIONAL!C285)</f>
        <v/>
      </c>
      <c r="D285" s="22" t="str">
        <f t="shared" si="1"/>
        <v>Other</v>
      </c>
    </row>
    <row r="286" ht="15.75" customHeight="1">
      <c r="A286" s="22" t="str">
        <f>IF(MOV_CC_NACIONAL!A286="","",MOV_CC_NACIONAL!A286)</f>
        <v/>
      </c>
      <c r="B286" s="22" t="str">
        <f>IF(MOV_CC_NACIONAL!B286="","",MOV_CC_NACIONAL!B286)</f>
        <v/>
      </c>
      <c r="C286" s="21" t="str">
        <f>IF(MOV_CC_NACIONAL!C286="","",MOV_CC_NACIONAL!C286)</f>
        <v/>
      </c>
      <c r="D286" s="22" t="str">
        <f t="shared" si="1"/>
        <v>Other</v>
      </c>
    </row>
    <row r="287" ht="15.75" customHeight="1">
      <c r="A287" s="22" t="str">
        <f>IF(MOV_CC_NACIONAL!A287="","",MOV_CC_NACIONAL!A287)</f>
        <v/>
      </c>
      <c r="B287" s="22" t="str">
        <f>IF(MOV_CC_NACIONAL!B287="","",MOV_CC_NACIONAL!B287)</f>
        <v/>
      </c>
      <c r="C287" s="21" t="str">
        <f>IF(MOV_CC_NACIONAL!C287="","",MOV_CC_NACIONAL!C287)</f>
        <v/>
      </c>
      <c r="D287" s="22" t="str">
        <f t="shared" si="1"/>
        <v>Other</v>
      </c>
    </row>
    <row r="288" ht="15.75" customHeight="1">
      <c r="A288" s="22" t="str">
        <f>IF(MOV_CC_NACIONAL!A288="","",MOV_CC_NACIONAL!A288)</f>
        <v/>
      </c>
      <c r="B288" s="22" t="str">
        <f>IF(MOV_CC_NACIONAL!B288="","",MOV_CC_NACIONAL!B288)</f>
        <v/>
      </c>
      <c r="C288" s="21" t="str">
        <f>IF(MOV_CC_NACIONAL!C288="","",MOV_CC_NACIONAL!C288)</f>
        <v/>
      </c>
      <c r="D288" s="22" t="str">
        <f t="shared" si="1"/>
        <v>Other</v>
      </c>
    </row>
    <row r="289" ht="15.75" customHeight="1">
      <c r="A289" s="22" t="str">
        <f>IF(MOV_CC_NACIONAL!A289="","",MOV_CC_NACIONAL!A289)</f>
        <v/>
      </c>
      <c r="B289" s="22" t="str">
        <f>IF(MOV_CC_NACIONAL!B289="","",MOV_CC_NACIONAL!B289)</f>
        <v/>
      </c>
      <c r="C289" s="21" t="str">
        <f>IF(MOV_CC_NACIONAL!C289="","",MOV_CC_NACIONAL!C289)</f>
        <v/>
      </c>
      <c r="D289" s="22" t="str">
        <f t="shared" si="1"/>
        <v>Other</v>
      </c>
    </row>
    <row r="290" ht="15.75" customHeight="1">
      <c r="A290" s="22" t="str">
        <f>IF(MOV_CC_NACIONAL!A290="","",MOV_CC_NACIONAL!A290)</f>
        <v/>
      </c>
      <c r="B290" s="22" t="str">
        <f>IF(MOV_CC_NACIONAL!B290="","",MOV_CC_NACIONAL!B290)</f>
        <v/>
      </c>
      <c r="C290" s="21" t="str">
        <f>IF(MOV_CC_NACIONAL!C290="","",MOV_CC_NACIONAL!C290)</f>
        <v/>
      </c>
      <c r="D290" s="22" t="str">
        <f t="shared" si="1"/>
        <v>Other</v>
      </c>
    </row>
    <row r="291" ht="15.75" customHeight="1">
      <c r="A291" s="22" t="str">
        <f>IF(MOV_CC_NACIONAL!A291="","",MOV_CC_NACIONAL!A291)</f>
        <v/>
      </c>
      <c r="B291" s="22" t="str">
        <f>IF(MOV_CC_NACIONAL!B291="","",MOV_CC_NACIONAL!B291)</f>
        <v/>
      </c>
      <c r="C291" s="21" t="str">
        <f>IF(MOV_CC_NACIONAL!C291="","",MOV_CC_NACIONAL!C291)</f>
        <v/>
      </c>
      <c r="D291" s="22" t="str">
        <f t="shared" si="1"/>
        <v>Other</v>
      </c>
    </row>
    <row r="292" ht="15.75" customHeight="1">
      <c r="A292" s="22" t="str">
        <f>IF(MOV_CC_NACIONAL!A292="","",MOV_CC_NACIONAL!A292)</f>
        <v/>
      </c>
      <c r="B292" s="22" t="str">
        <f>IF(MOV_CC_NACIONAL!B292="","",MOV_CC_NACIONAL!B292)</f>
        <v/>
      </c>
      <c r="C292" s="21" t="str">
        <f>IF(MOV_CC_NACIONAL!C292="","",MOV_CC_NACIONAL!C292)</f>
        <v/>
      </c>
      <c r="D292" s="22" t="str">
        <f t="shared" si="1"/>
        <v>Other</v>
      </c>
    </row>
    <row r="293" ht="15.75" customHeight="1">
      <c r="A293" s="22" t="str">
        <f>IF(MOV_CC_NACIONAL!A293="","",MOV_CC_NACIONAL!A293)</f>
        <v/>
      </c>
      <c r="B293" s="22" t="str">
        <f>IF(MOV_CC_NACIONAL!B293="","",MOV_CC_NACIONAL!B293)</f>
        <v/>
      </c>
      <c r="C293" s="21" t="str">
        <f>IF(MOV_CC_NACIONAL!C293="","",MOV_CC_NACIONAL!C293)</f>
        <v/>
      </c>
      <c r="D293" s="22" t="str">
        <f t="shared" si="1"/>
        <v>Other</v>
      </c>
    </row>
    <row r="294" ht="15.75" customHeight="1">
      <c r="A294" s="22" t="str">
        <f>IF(MOV_CC_NACIONAL!A294="","",MOV_CC_NACIONAL!A294)</f>
        <v/>
      </c>
      <c r="B294" s="22" t="str">
        <f>IF(MOV_CC_NACIONAL!B294="","",MOV_CC_NACIONAL!B294)</f>
        <v/>
      </c>
      <c r="C294" s="21" t="str">
        <f>IF(MOV_CC_NACIONAL!C294="","",MOV_CC_NACIONAL!C294)</f>
        <v/>
      </c>
      <c r="D294" s="22" t="str">
        <f t="shared" si="1"/>
        <v>Other</v>
      </c>
    </row>
    <row r="295" ht="15.75" customHeight="1">
      <c r="A295" s="22" t="str">
        <f>IF(MOV_CC_NACIONAL!A295="","",MOV_CC_NACIONAL!A295)</f>
        <v/>
      </c>
      <c r="B295" s="22" t="str">
        <f>IF(MOV_CC_NACIONAL!B295="","",MOV_CC_NACIONAL!B295)</f>
        <v/>
      </c>
      <c r="C295" s="21" t="str">
        <f>IF(MOV_CC_NACIONAL!C295="","",MOV_CC_NACIONAL!C295)</f>
        <v/>
      </c>
      <c r="D295" s="22" t="str">
        <f t="shared" si="1"/>
        <v>Other</v>
      </c>
    </row>
    <row r="296" ht="15.75" customHeight="1">
      <c r="A296" s="22" t="str">
        <f>IF(MOV_CC_NACIONAL!A296="","",MOV_CC_NACIONAL!A296)</f>
        <v/>
      </c>
      <c r="B296" s="22" t="str">
        <f>IF(MOV_CC_NACIONAL!B296="","",MOV_CC_NACIONAL!B296)</f>
        <v/>
      </c>
      <c r="C296" s="21" t="str">
        <f>IF(MOV_CC_NACIONAL!C296="","",MOV_CC_NACIONAL!C296)</f>
        <v/>
      </c>
      <c r="D296" s="22" t="str">
        <f t="shared" si="1"/>
        <v>Other</v>
      </c>
    </row>
    <row r="297" ht="15.75" customHeight="1">
      <c r="A297" s="22" t="str">
        <f>IF(MOV_CC_NACIONAL!A297="","",MOV_CC_NACIONAL!A297)</f>
        <v/>
      </c>
      <c r="B297" s="22" t="str">
        <f>IF(MOV_CC_NACIONAL!B297="","",MOV_CC_NACIONAL!B297)</f>
        <v/>
      </c>
      <c r="C297" s="21" t="str">
        <f>IF(MOV_CC_NACIONAL!C297="","",MOV_CC_NACIONAL!C297)</f>
        <v/>
      </c>
      <c r="D297" s="22" t="str">
        <f t="shared" si="1"/>
        <v>Other</v>
      </c>
    </row>
    <row r="298" ht="15.75" customHeight="1">
      <c r="A298" s="22" t="str">
        <f>IF(MOV_CC_NACIONAL!A298="","",MOV_CC_NACIONAL!A298)</f>
        <v/>
      </c>
      <c r="B298" s="22" t="str">
        <f>IF(MOV_CC_NACIONAL!B298="","",MOV_CC_NACIONAL!B298)</f>
        <v/>
      </c>
      <c r="C298" s="21" t="str">
        <f>IF(MOV_CC_NACIONAL!C298="","",MOV_CC_NACIONAL!C298)</f>
        <v/>
      </c>
      <c r="D298" s="22" t="str">
        <f t="shared" si="1"/>
        <v>Other</v>
      </c>
    </row>
    <row r="299" ht="15.75" customHeight="1">
      <c r="A299" s="22" t="str">
        <f>IF(MOV_CC_NACIONAL!A299="","",MOV_CC_NACIONAL!A299)</f>
        <v/>
      </c>
      <c r="B299" s="22" t="str">
        <f>IF(MOV_CC_NACIONAL!B299="","",MOV_CC_NACIONAL!B299)</f>
        <v/>
      </c>
      <c r="C299" s="21" t="str">
        <f>IF(MOV_CC_NACIONAL!C299="","",MOV_CC_NACIONAL!C299)</f>
        <v/>
      </c>
      <c r="D299" s="22" t="str">
        <f t="shared" si="1"/>
        <v>Other</v>
      </c>
    </row>
    <row r="300" ht="15.75" customHeight="1">
      <c r="A300" s="22" t="str">
        <f>IF(MOV_CC_NACIONAL!A300="","",MOV_CC_NACIONAL!A300)</f>
        <v/>
      </c>
      <c r="B300" s="22" t="str">
        <f>IF(MOV_CC_NACIONAL!B300="","",MOV_CC_NACIONAL!B300)</f>
        <v/>
      </c>
      <c r="C300" s="21" t="str">
        <f>IF(MOV_CC_NACIONAL!C300="","",MOV_CC_NACIONAL!C300)</f>
        <v/>
      </c>
      <c r="D300" s="22" t="str">
        <f t="shared" si="1"/>
        <v>Other</v>
      </c>
    </row>
    <row r="301" ht="15.75" customHeight="1">
      <c r="A301" s="22" t="str">
        <f>IF(MOV_CC_NACIONAL!A301="","",MOV_CC_NACIONAL!A301)</f>
        <v/>
      </c>
      <c r="B301" s="22" t="str">
        <f>IF(MOV_CC_NACIONAL!B301="","",MOV_CC_NACIONAL!B301)</f>
        <v/>
      </c>
      <c r="C301" s="21" t="str">
        <f>IF(MOV_CC_NACIONAL!C301="","",MOV_CC_NACIONAL!C301)</f>
        <v/>
      </c>
      <c r="D301" s="22" t="str">
        <f t="shared" si="1"/>
        <v>Other</v>
      </c>
    </row>
    <row r="302" ht="15.75" customHeight="1">
      <c r="A302" s="22" t="str">
        <f>IF(MOV_CC_NACIONAL!A302="","",MOV_CC_NACIONAL!A302)</f>
        <v/>
      </c>
      <c r="B302" s="22" t="str">
        <f>IF(MOV_CC_NACIONAL!B302="","",MOV_CC_NACIONAL!B302)</f>
        <v/>
      </c>
      <c r="C302" s="21" t="str">
        <f>IF(MOV_CC_NACIONAL!C302="","",MOV_CC_NACIONAL!C302)</f>
        <v/>
      </c>
      <c r="D302" s="22" t="str">
        <f t="shared" si="1"/>
        <v>Other</v>
      </c>
    </row>
    <row r="303" ht="15.75" customHeight="1">
      <c r="A303" s="22" t="str">
        <f>IF(MOV_CC_NACIONAL!A303="","",MOV_CC_NACIONAL!A303)</f>
        <v/>
      </c>
      <c r="B303" s="22" t="str">
        <f>IF(MOV_CC_NACIONAL!B303="","",MOV_CC_NACIONAL!B303)</f>
        <v/>
      </c>
      <c r="C303" s="21" t="str">
        <f>IF(MOV_CC_NACIONAL!C303="","",MOV_CC_NACIONAL!C303)</f>
        <v/>
      </c>
      <c r="D303" s="22" t="str">
        <f t="shared" si="1"/>
        <v>Other</v>
      </c>
    </row>
    <row r="304" ht="15.75" customHeight="1">
      <c r="A304" s="22" t="str">
        <f>IF(MOV_CC_NACIONAL!A304="","",MOV_CC_NACIONAL!A304)</f>
        <v/>
      </c>
      <c r="B304" s="22" t="str">
        <f>IF(MOV_CC_NACIONAL!B304="","",MOV_CC_NACIONAL!B304)</f>
        <v/>
      </c>
      <c r="C304" s="21" t="str">
        <f>IF(MOV_CC_NACIONAL!C304="","",MOV_CC_NACIONAL!C304)</f>
        <v/>
      </c>
      <c r="D304" s="22" t="str">
        <f t="shared" si="1"/>
        <v>Other</v>
      </c>
    </row>
    <row r="305" ht="15.75" customHeight="1">
      <c r="A305" s="22" t="str">
        <f>IF(MOV_CC_NACIONAL!A305="","",MOV_CC_NACIONAL!A305)</f>
        <v/>
      </c>
      <c r="B305" s="22" t="str">
        <f>IF(MOV_CC_NACIONAL!B305="","",MOV_CC_NACIONAL!B305)</f>
        <v/>
      </c>
      <c r="C305" s="21" t="str">
        <f>IF(MOV_CC_NACIONAL!C305="","",MOV_CC_NACIONAL!C305)</f>
        <v/>
      </c>
      <c r="D305" s="22" t="str">
        <f t="shared" si="1"/>
        <v>Other</v>
      </c>
    </row>
    <row r="306" ht="15.75" customHeight="1">
      <c r="A306" s="22" t="str">
        <f>IF(MOV_CC_NACIONAL!A306="","",MOV_CC_NACIONAL!A306)</f>
        <v/>
      </c>
      <c r="B306" s="22" t="str">
        <f>IF(MOV_CC_NACIONAL!B306="","",MOV_CC_NACIONAL!B306)</f>
        <v/>
      </c>
      <c r="C306" s="21" t="str">
        <f>IF(MOV_CC_NACIONAL!C306="","",MOV_CC_NACIONAL!C306)</f>
        <v/>
      </c>
      <c r="D306" s="22" t="str">
        <f t="shared" si="1"/>
        <v>Other</v>
      </c>
    </row>
    <row r="307" ht="15.75" customHeight="1">
      <c r="A307" s="22" t="str">
        <f>IF(MOV_CC_NACIONAL!A307="","",MOV_CC_NACIONAL!A307)</f>
        <v/>
      </c>
      <c r="B307" s="22" t="str">
        <f>IF(MOV_CC_NACIONAL!B307="","",MOV_CC_NACIONAL!B307)</f>
        <v/>
      </c>
      <c r="C307" s="21" t="str">
        <f>IF(MOV_CC_NACIONAL!C307="","",MOV_CC_NACIONAL!C307)</f>
        <v/>
      </c>
      <c r="D307" s="22" t="str">
        <f t="shared" si="1"/>
        <v>Other</v>
      </c>
    </row>
    <row r="308" ht="15.75" customHeight="1">
      <c r="A308" s="22" t="str">
        <f>IF(MOV_CC_NACIONAL!A308="","",MOV_CC_NACIONAL!A308)</f>
        <v/>
      </c>
      <c r="B308" s="22" t="str">
        <f>IF(MOV_CC_NACIONAL!B308="","",MOV_CC_NACIONAL!B308)</f>
        <v/>
      </c>
      <c r="C308" s="21" t="str">
        <f>IF(MOV_CC_NACIONAL!C308="","",MOV_CC_NACIONAL!C308)</f>
        <v/>
      </c>
      <c r="D308" s="22" t="str">
        <f t="shared" si="1"/>
        <v>Other</v>
      </c>
    </row>
    <row r="309" ht="15.75" customHeight="1">
      <c r="A309" s="22" t="str">
        <f>IF(MOV_CC_NACIONAL!A309="","",MOV_CC_NACIONAL!A309)</f>
        <v/>
      </c>
      <c r="B309" s="22" t="str">
        <f>IF(MOV_CC_NACIONAL!B309="","",MOV_CC_NACIONAL!B309)</f>
        <v/>
      </c>
      <c r="C309" s="21" t="str">
        <f>IF(MOV_CC_NACIONAL!C309="","",MOV_CC_NACIONAL!C309)</f>
        <v/>
      </c>
      <c r="D309" s="22" t="str">
        <f t="shared" si="1"/>
        <v>Other</v>
      </c>
    </row>
    <row r="310" ht="15.75" customHeight="1">
      <c r="A310" s="22" t="str">
        <f>IF(MOV_CC_NACIONAL!A310="","",MOV_CC_NACIONAL!A310)</f>
        <v/>
      </c>
      <c r="B310" s="22" t="str">
        <f>IF(MOV_CC_NACIONAL!B310="","",MOV_CC_NACIONAL!B310)</f>
        <v/>
      </c>
      <c r="C310" s="21" t="str">
        <f>IF(MOV_CC_NACIONAL!C310="","",MOV_CC_NACIONAL!C310)</f>
        <v/>
      </c>
      <c r="D310" s="22" t="str">
        <f t="shared" si="1"/>
        <v>Other</v>
      </c>
    </row>
    <row r="311" ht="15.75" customHeight="1">
      <c r="A311" s="22" t="str">
        <f>IF(MOV_CC_NACIONAL!A311="","",MOV_CC_NACIONAL!A311)</f>
        <v/>
      </c>
      <c r="B311" s="22" t="str">
        <f>IF(MOV_CC_NACIONAL!B311="","",MOV_CC_NACIONAL!B311)</f>
        <v/>
      </c>
      <c r="C311" s="21" t="str">
        <f>IF(MOV_CC_NACIONAL!C311="","",MOV_CC_NACIONAL!C311)</f>
        <v/>
      </c>
      <c r="D311" s="22" t="str">
        <f t="shared" si="1"/>
        <v>Other</v>
      </c>
    </row>
    <row r="312" ht="15.75" customHeight="1">
      <c r="A312" s="22" t="str">
        <f>IF(MOV_CC_NACIONAL!A312="","",MOV_CC_NACIONAL!A312)</f>
        <v/>
      </c>
      <c r="B312" s="22" t="str">
        <f>IF(MOV_CC_NACIONAL!B312="","",MOV_CC_NACIONAL!B312)</f>
        <v/>
      </c>
      <c r="C312" s="21" t="str">
        <f>IF(MOV_CC_NACIONAL!C312="","",MOV_CC_NACIONAL!C312)</f>
        <v/>
      </c>
      <c r="D312" s="22" t="str">
        <f t="shared" si="1"/>
        <v>Other</v>
      </c>
    </row>
    <row r="313" ht="15.75" customHeight="1">
      <c r="A313" s="22" t="str">
        <f>IF(MOV_CC_NACIONAL!A313="","",MOV_CC_NACIONAL!A313)</f>
        <v/>
      </c>
      <c r="B313" s="22" t="str">
        <f>IF(MOV_CC_NACIONAL!B313="","",MOV_CC_NACIONAL!B313)</f>
        <v/>
      </c>
      <c r="C313" s="21" t="str">
        <f>IF(MOV_CC_NACIONAL!C313="","",MOV_CC_NACIONAL!C313)</f>
        <v/>
      </c>
      <c r="D313" s="22" t="str">
        <f t="shared" si="1"/>
        <v>Other</v>
      </c>
    </row>
    <row r="314" ht="15.75" customHeight="1">
      <c r="A314" s="22" t="str">
        <f>IF(MOV_CC_NACIONAL!A314="","",MOV_CC_NACIONAL!A314)</f>
        <v/>
      </c>
      <c r="B314" s="22" t="str">
        <f>IF(MOV_CC_NACIONAL!B314="","",MOV_CC_NACIONAL!B314)</f>
        <v/>
      </c>
      <c r="C314" s="21" t="str">
        <f>IF(MOV_CC_NACIONAL!C314="","",MOV_CC_NACIONAL!C314)</f>
        <v/>
      </c>
      <c r="D314" s="22" t="str">
        <f t="shared" si="1"/>
        <v>Other</v>
      </c>
    </row>
    <row r="315" ht="15.75" customHeight="1">
      <c r="A315" s="22" t="str">
        <f>IF(MOV_CC_NACIONAL!A315="","",MOV_CC_NACIONAL!A315)</f>
        <v/>
      </c>
      <c r="B315" s="22" t="str">
        <f>IF(MOV_CC_NACIONAL!B315="","",MOV_CC_NACIONAL!B315)</f>
        <v/>
      </c>
      <c r="C315" s="21" t="str">
        <f>IF(MOV_CC_NACIONAL!C315="","",MOV_CC_NACIONAL!C315)</f>
        <v/>
      </c>
      <c r="D315" s="22" t="str">
        <f t="shared" si="1"/>
        <v>Other</v>
      </c>
    </row>
    <row r="316" ht="15.75" customHeight="1">
      <c r="A316" s="22" t="str">
        <f>IF(MOV_CC_NACIONAL!A316="","",MOV_CC_NACIONAL!A316)</f>
        <v/>
      </c>
      <c r="B316" s="22" t="str">
        <f>IF(MOV_CC_NACIONAL!B316="","",MOV_CC_NACIONAL!B316)</f>
        <v/>
      </c>
      <c r="C316" s="21" t="str">
        <f>IF(MOV_CC_NACIONAL!C316="","",MOV_CC_NACIONAL!C316)</f>
        <v/>
      </c>
      <c r="D316" s="22" t="str">
        <f t="shared" si="1"/>
        <v>Other</v>
      </c>
    </row>
    <row r="317" ht="15.75" customHeight="1">
      <c r="A317" s="22" t="str">
        <f>IF(MOV_CC_NACIONAL!A317="","",MOV_CC_NACIONAL!A317)</f>
        <v/>
      </c>
      <c r="B317" s="22" t="str">
        <f>IF(MOV_CC_NACIONAL!B317="","",MOV_CC_NACIONAL!B317)</f>
        <v/>
      </c>
      <c r="C317" s="21" t="str">
        <f>IF(MOV_CC_NACIONAL!C317="","",MOV_CC_NACIONAL!C317)</f>
        <v/>
      </c>
      <c r="D317" s="22" t="str">
        <f t="shared" si="1"/>
        <v>Other</v>
      </c>
    </row>
    <row r="318" ht="15.75" customHeight="1">
      <c r="A318" s="22" t="str">
        <f>IF(MOV_CC_NACIONAL!A318="","",MOV_CC_NACIONAL!A318)</f>
        <v/>
      </c>
      <c r="B318" s="22" t="str">
        <f>IF(MOV_CC_NACIONAL!B318="","",MOV_CC_NACIONAL!B318)</f>
        <v/>
      </c>
      <c r="C318" s="21" t="str">
        <f>IF(MOV_CC_NACIONAL!C318="","",MOV_CC_NACIONAL!C318)</f>
        <v/>
      </c>
      <c r="D318" s="22" t="str">
        <f t="shared" si="1"/>
        <v>Other</v>
      </c>
    </row>
    <row r="319" ht="15.75" customHeight="1">
      <c r="A319" s="22" t="str">
        <f>IF(MOV_CC_NACIONAL!A319="","",MOV_CC_NACIONAL!A319)</f>
        <v/>
      </c>
      <c r="B319" s="22" t="str">
        <f>IF(MOV_CC_NACIONAL!B319="","",MOV_CC_NACIONAL!B319)</f>
        <v/>
      </c>
      <c r="C319" s="21" t="str">
        <f>IF(MOV_CC_NACIONAL!C319="","",MOV_CC_NACIONAL!C319)</f>
        <v/>
      </c>
      <c r="D319" s="22" t="str">
        <f t="shared" si="1"/>
        <v>Other</v>
      </c>
    </row>
    <row r="320" ht="15.75" customHeight="1">
      <c r="A320" s="22" t="str">
        <f>IF(MOV_CC_NACIONAL!A320="","",MOV_CC_NACIONAL!A320)</f>
        <v/>
      </c>
      <c r="B320" s="22" t="str">
        <f>IF(MOV_CC_NACIONAL!B320="","",MOV_CC_NACIONAL!B320)</f>
        <v/>
      </c>
      <c r="C320" s="21" t="str">
        <f>IF(MOV_CC_NACIONAL!C320="","",MOV_CC_NACIONAL!C320)</f>
        <v/>
      </c>
      <c r="D320" s="22" t="str">
        <f t="shared" si="1"/>
        <v>Other</v>
      </c>
    </row>
    <row r="321" ht="15.75" customHeight="1">
      <c r="A321" s="22" t="str">
        <f>IF(MOV_CC_NACIONAL!A321="","",MOV_CC_NACIONAL!A321)</f>
        <v/>
      </c>
      <c r="B321" s="22" t="str">
        <f>IF(MOV_CC_NACIONAL!B321="","",MOV_CC_NACIONAL!B321)</f>
        <v/>
      </c>
      <c r="C321" s="21" t="str">
        <f>IF(MOV_CC_NACIONAL!C321="","",MOV_CC_NACIONAL!C321)</f>
        <v/>
      </c>
      <c r="D321" s="22" t="str">
        <f t="shared" si="1"/>
        <v>Other</v>
      </c>
    </row>
    <row r="322" ht="15.75" customHeight="1">
      <c r="A322" s="22" t="str">
        <f>IF(MOV_CC_NACIONAL!A322="","",MOV_CC_NACIONAL!A322)</f>
        <v/>
      </c>
      <c r="B322" s="22" t="str">
        <f>IF(MOV_CC_NACIONAL!B322="","",MOV_CC_NACIONAL!B322)</f>
        <v/>
      </c>
      <c r="C322" s="21" t="str">
        <f>IF(MOV_CC_NACIONAL!C322="","",MOV_CC_NACIONAL!C322)</f>
        <v/>
      </c>
      <c r="D322" s="22" t="str">
        <f t="shared" si="1"/>
        <v>Other</v>
      </c>
    </row>
    <row r="323" ht="15.75" customHeight="1">
      <c r="A323" s="22" t="str">
        <f>IF(MOV_CC_NACIONAL!A323="","",MOV_CC_NACIONAL!A323)</f>
        <v/>
      </c>
      <c r="B323" s="22" t="str">
        <f>IF(MOV_CC_NACIONAL!B323="","",MOV_CC_NACIONAL!B323)</f>
        <v/>
      </c>
      <c r="C323" s="21" t="str">
        <f>IF(MOV_CC_NACIONAL!C323="","",MOV_CC_NACIONAL!C323)</f>
        <v/>
      </c>
      <c r="D323" s="22" t="str">
        <f t="shared" si="1"/>
        <v>Other</v>
      </c>
    </row>
    <row r="324" ht="15.75" customHeight="1">
      <c r="A324" s="22" t="str">
        <f>IF(MOV_CC_NACIONAL!A324="","",MOV_CC_NACIONAL!A324)</f>
        <v/>
      </c>
      <c r="B324" s="22" t="str">
        <f>IF(MOV_CC_NACIONAL!B324="","",MOV_CC_NACIONAL!B324)</f>
        <v/>
      </c>
      <c r="C324" s="21" t="str">
        <f>IF(MOV_CC_NACIONAL!C324="","",MOV_CC_NACIONAL!C324)</f>
        <v/>
      </c>
      <c r="D324" s="22" t="str">
        <f t="shared" si="1"/>
        <v>Other</v>
      </c>
    </row>
    <row r="325" ht="15.75" customHeight="1">
      <c r="A325" s="22" t="str">
        <f>IF(MOV_CC_NACIONAL!A325="","",MOV_CC_NACIONAL!A325)</f>
        <v/>
      </c>
      <c r="B325" s="22" t="str">
        <f>IF(MOV_CC_NACIONAL!B325="","",MOV_CC_NACIONAL!B325)</f>
        <v/>
      </c>
      <c r="C325" s="21" t="str">
        <f>IF(MOV_CC_NACIONAL!C325="","",MOV_CC_NACIONAL!C325)</f>
        <v/>
      </c>
      <c r="D325" s="22" t="str">
        <f t="shared" si="1"/>
        <v>Other</v>
      </c>
    </row>
    <row r="326" ht="15.75" customHeight="1">
      <c r="A326" s="22" t="str">
        <f>IF(MOV_CC_NACIONAL!A326="","",MOV_CC_NACIONAL!A326)</f>
        <v/>
      </c>
      <c r="B326" s="22" t="str">
        <f>IF(MOV_CC_NACIONAL!B326="","",MOV_CC_NACIONAL!B326)</f>
        <v/>
      </c>
      <c r="C326" s="21" t="str">
        <f>IF(MOV_CC_NACIONAL!C326="","",MOV_CC_NACIONAL!C326)</f>
        <v/>
      </c>
      <c r="D326" s="22" t="str">
        <f t="shared" si="1"/>
        <v>Other</v>
      </c>
    </row>
    <row r="327" ht="15.75" customHeight="1">
      <c r="A327" s="22" t="str">
        <f>IF(MOV_CC_NACIONAL!A327="","",MOV_CC_NACIONAL!A327)</f>
        <v/>
      </c>
      <c r="B327" s="22" t="str">
        <f>IF(MOV_CC_NACIONAL!B327="","",MOV_CC_NACIONAL!B327)</f>
        <v/>
      </c>
      <c r="C327" s="21" t="str">
        <f>IF(MOV_CC_NACIONAL!C327="","",MOV_CC_NACIONAL!C327)</f>
        <v/>
      </c>
      <c r="D327" s="22" t="str">
        <f t="shared" si="1"/>
        <v>Other</v>
      </c>
    </row>
    <row r="328" ht="15.75" customHeight="1">
      <c r="A328" s="22" t="str">
        <f>IF(MOV_CC_NACIONAL!A328="","",MOV_CC_NACIONAL!A328)</f>
        <v/>
      </c>
      <c r="B328" s="22" t="str">
        <f>IF(MOV_CC_NACIONAL!B328="","",MOV_CC_NACIONAL!B328)</f>
        <v/>
      </c>
      <c r="C328" s="21" t="str">
        <f>IF(MOV_CC_NACIONAL!C328="","",MOV_CC_NACIONAL!C328)</f>
        <v/>
      </c>
      <c r="D328" s="22" t="str">
        <f t="shared" si="1"/>
        <v>Other</v>
      </c>
    </row>
    <row r="329" ht="15.75" customHeight="1">
      <c r="A329" s="22" t="str">
        <f>IF(MOV_CC_NACIONAL!A329="","",MOV_CC_NACIONAL!A329)</f>
        <v/>
      </c>
      <c r="B329" s="22" t="str">
        <f>IF(MOV_CC_NACIONAL!B329="","",MOV_CC_NACIONAL!B329)</f>
        <v/>
      </c>
      <c r="C329" s="21" t="str">
        <f>IF(MOV_CC_NACIONAL!C329="","",MOV_CC_NACIONAL!C329)</f>
        <v/>
      </c>
      <c r="D329" s="22" t="str">
        <f t="shared" si="1"/>
        <v>Other</v>
      </c>
    </row>
    <row r="330" ht="15.75" customHeight="1">
      <c r="A330" s="22" t="str">
        <f>IF(MOV_CC_NACIONAL!A330="","",MOV_CC_NACIONAL!A330)</f>
        <v/>
      </c>
      <c r="B330" s="22" t="str">
        <f>IF(MOV_CC_NACIONAL!B330="","",MOV_CC_NACIONAL!B330)</f>
        <v/>
      </c>
      <c r="C330" s="21" t="str">
        <f>IF(MOV_CC_NACIONAL!C330="","",MOV_CC_NACIONAL!C330)</f>
        <v/>
      </c>
      <c r="D330" s="22" t="str">
        <f t="shared" si="1"/>
        <v>Other</v>
      </c>
    </row>
    <row r="331" ht="15.75" customHeight="1">
      <c r="A331" s="22" t="str">
        <f>IF(MOV_CC_NACIONAL!A331="","",MOV_CC_NACIONAL!A331)</f>
        <v/>
      </c>
      <c r="B331" s="22" t="str">
        <f>IF(MOV_CC_NACIONAL!B331="","",MOV_CC_NACIONAL!B331)</f>
        <v/>
      </c>
      <c r="C331" s="21" t="str">
        <f>IF(MOV_CC_NACIONAL!C331="","",MOV_CC_NACIONAL!C331)</f>
        <v/>
      </c>
      <c r="D331" s="22" t="str">
        <f t="shared" si="1"/>
        <v>Other</v>
      </c>
    </row>
    <row r="332" ht="15.75" customHeight="1">
      <c r="A332" s="22" t="str">
        <f>IF(MOV_CC_NACIONAL!A332="","",MOV_CC_NACIONAL!A332)</f>
        <v/>
      </c>
      <c r="B332" s="22" t="str">
        <f>IF(MOV_CC_NACIONAL!B332="","",MOV_CC_NACIONAL!B332)</f>
        <v/>
      </c>
      <c r="C332" s="21" t="str">
        <f>IF(MOV_CC_NACIONAL!C332="","",MOV_CC_NACIONAL!C332)</f>
        <v/>
      </c>
      <c r="D332" s="22" t="str">
        <f t="shared" si="1"/>
        <v>Other</v>
      </c>
    </row>
    <row r="333" ht="15.75" customHeight="1">
      <c r="A333" s="22" t="str">
        <f>IF(MOV_CC_NACIONAL!A333="","",MOV_CC_NACIONAL!A333)</f>
        <v/>
      </c>
      <c r="B333" s="22" t="str">
        <f>IF(MOV_CC_NACIONAL!B333="","",MOV_CC_NACIONAL!B333)</f>
        <v/>
      </c>
      <c r="C333" s="21" t="str">
        <f>IF(MOV_CC_NACIONAL!C333="","",MOV_CC_NACIONAL!C333)</f>
        <v/>
      </c>
      <c r="D333" s="22" t="str">
        <f t="shared" si="1"/>
        <v>Other</v>
      </c>
    </row>
    <row r="334" ht="15.75" customHeight="1">
      <c r="A334" s="22" t="str">
        <f>IF(MOV_CC_NACIONAL!A334="","",MOV_CC_NACIONAL!A334)</f>
        <v/>
      </c>
      <c r="B334" s="22" t="str">
        <f>IF(MOV_CC_NACIONAL!B334="","",MOV_CC_NACIONAL!B334)</f>
        <v/>
      </c>
      <c r="C334" s="21" t="str">
        <f>IF(MOV_CC_NACIONAL!C334="","",MOV_CC_NACIONAL!C334)</f>
        <v/>
      </c>
      <c r="D334" s="22" t="str">
        <f t="shared" si="1"/>
        <v>Other</v>
      </c>
    </row>
    <row r="335" ht="15.75" customHeight="1">
      <c r="A335" s="22" t="str">
        <f>IF(MOV_CC_NACIONAL!A335="","",MOV_CC_NACIONAL!A335)</f>
        <v/>
      </c>
      <c r="B335" s="22" t="str">
        <f>IF(MOV_CC_NACIONAL!B335="","",MOV_CC_NACIONAL!B335)</f>
        <v/>
      </c>
      <c r="C335" s="21" t="str">
        <f>IF(MOV_CC_NACIONAL!C335="","",MOV_CC_NACIONAL!C335)</f>
        <v/>
      </c>
      <c r="D335" s="22" t="str">
        <f t="shared" si="1"/>
        <v>Other</v>
      </c>
    </row>
    <row r="336" ht="15.75" customHeight="1">
      <c r="A336" s="22" t="str">
        <f>IF(MOV_CC_NACIONAL!A336="","",MOV_CC_NACIONAL!A336)</f>
        <v/>
      </c>
      <c r="B336" s="22" t="str">
        <f>IF(MOV_CC_NACIONAL!B336="","",MOV_CC_NACIONAL!B336)</f>
        <v/>
      </c>
      <c r="C336" s="21" t="str">
        <f>IF(MOV_CC_NACIONAL!C336="","",MOV_CC_NACIONAL!C336)</f>
        <v/>
      </c>
      <c r="D336" s="22" t="str">
        <f t="shared" si="1"/>
        <v>Other</v>
      </c>
    </row>
    <row r="337" ht="15.75" customHeight="1">
      <c r="A337" s="22" t="str">
        <f>IF(MOV_CC_NACIONAL!A337="","",MOV_CC_NACIONAL!A337)</f>
        <v/>
      </c>
      <c r="B337" s="22" t="str">
        <f>IF(MOV_CC_NACIONAL!B337="","",MOV_CC_NACIONAL!B337)</f>
        <v/>
      </c>
      <c r="C337" s="21" t="str">
        <f>IF(MOV_CC_NACIONAL!C337="","",MOV_CC_NACIONAL!C337)</f>
        <v/>
      </c>
      <c r="D337" s="22" t="str">
        <f t="shared" si="1"/>
        <v>Other</v>
      </c>
    </row>
    <row r="338" ht="15.75" customHeight="1">
      <c r="A338" s="22" t="str">
        <f>IF(MOV_CC_NACIONAL!A338="","",MOV_CC_NACIONAL!A338)</f>
        <v/>
      </c>
      <c r="B338" s="22" t="str">
        <f>IF(MOV_CC_NACIONAL!B338="","",MOV_CC_NACIONAL!B338)</f>
        <v/>
      </c>
      <c r="C338" s="21" t="str">
        <f>IF(MOV_CC_NACIONAL!C338="","",MOV_CC_NACIONAL!C338)</f>
        <v/>
      </c>
      <c r="D338" s="22" t="str">
        <f t="shared" si="1"/>
        <v>Other</v>
      </c>
    </row>
    <row r="339" ht="15.75" customHeight="1">
      <c r="A339" s="22" t="str">
        <f>IF(MOV_CC_NACIONAL!A339="","",MOV_CC_NACIONAL!A339)</f>
        <v/>
      </c>
      <c r="B339" s="22" t="str">
        <f>IF(MOV_CC_NACIONAL!B339="","",MOV_CC_NACIONAL!B339)</f>
        <v/>
      </c>
      <c r="C339" s="21" t="str">
        <f>IF(MOV_CC_NACIONAL!C339="","",MOV_CC_NACIONAL!C339)</f>
        <v/>
      </c>
      <c r="D339" s="22" t="str">
        <f t="shared" si="1"/>
        <v>Other</v>
      </c>
    </row>
    <row r="340" ht="15.75" customHeight="1">
      <c r="A340" s="22" t="str">
        <f>IF(MOV_CC_NACIONAL!A340="","",MOV_CC_NACIONAL!A340)</f>
        <v/>
      </c>
      <c r="B340" s="22" t="str">
        <f>IF(MOV_CC_NACIONAL!B340="","",MOV_CC_NACIONAL!B340)</f>
        <v/>
      </c>
      <c r="C340" s="21" t="str">
        <f>IF(MOV_CC_NACIONAL!C340="","",MOV_CC_NACIONAL!C340)</f>
        <v/>
      </c>
      <c r="D340" s="22" t="str">
        <f t="shared" si="1"/>
        <v>Other</v>
      </c>
    </row>
    <row r="341" ht="15.75" customHeight="1">
      <c r="A341" s="22" t="str">
        <f>IF(MOV_CC_NACIONAL!A341="","",MOV_CC_NACIONAL!A341)</f>
        <v/>
      </c>
      <c r="B341" s="22" t="str">
        <f>IF(MOV_CC_NACIONAL!B341="","",MOV_CC_NACIONAL!B341)</f>
        <v/>
      </c>
      <c r="C341" s="21" t="str">
        <f>IF(MOV_CC_NACIONAL!C341="","",MOV_CC_NACIONAL!C341)</f>
        <v/>
      </c>
      <c r="D341" s="22" t="str">
        <f t="shared" si="1"/>
        <v>Other</v>
      </c>
    </row>
    <row r="342" ht="15.75" customHeight="1">
      <c r="A342" s="22" t="str">
        <f>IF(MOV_CC_NACIONAL!A342="","",MOV_CC_NACIONAL!A342)</f>
        <v/>
      </c>
      <c r="B342" s="22" t="str">
        <f>IF(MOV_CC_NACIONAL!B342="","",MOV_CC_NACIONAL!B342)</f>
        <v/>
      </c>
      <c r="C342" s="21" t="str">
        <f>IF(MOV_CC_NACIONAL!C342="","",MOV_CC_NACIONAL!C342)</f>
        <v/>
      </c>
      <c r="D342" s="22" t="str">
        <f t="shared" si="1"/>
        <v>Other</v>
      </c>
    </row>
    <row r="343" ht="15.75" customHeight="1">
      <c r="A343" s="22" t="str">
        <f>IF(MOV_CC_NACIONAL!A343="","",MOV_CC_NACIONAL!A343)</f>
        <v/>
      </c>
      <c r="B343" s="22" t="str">
        <f>IF(MOV_CC_NACIONAL!B343="","",MOV_CC_NACIONAL!B343)</f>
        <v/>
      </c>
      <c r="C343" s="21" t="str">
        <f>IF(MOV_CC_NACIONAL!C343="","",MOV_CC_NACIONAL!C343)</f>
        <v/>
      </c>
      <c r="D343" s="22" t="str">
        <f t="shared" si="1"/>
        <v>Other</v>
      </c>
    </row>
    <row r="344" ht="15.75" customHeight="1">
      <c r="A344" s="22" t="str">
        <f>IF(MOV_CC_NACIONAL!A344="","",MOV_CC_NACIONAL!A344)</f>
        <v/>
      </c>
      <c r="B344" s="22" t="str">
        <f>IF(MOV_CC_NACIONAL!B344="","",MOV_CC_NACIONAL!B344)</f>
        <v/>
      </c>
      <c r="C344" s="21" t="str">
        <f>IF(MOV_CC_NACIONAL!C344="","",MOV_CC_NACIONAL!C344)</f>
        <v/>
      </c>
      <c r="D344" s="22" t="str">
        <f t="shared" si="1"/>
        <v>Other</v>
      </c>
    </row>
    <row r="345" ht="15.75" customHeight="1">
      <c r="A345" s="22" t="str">
        <f>IF(MOV_CC_NACIONAL!A345="","",MOV_CC_NACIONAL!A345)</f>
        <v/>
      </c>
      <c r="B345" s="22" t="str">
        <f>IF(MOV_CC_NACIONAL!B345="","",MOV_CC_NACIONAL!B345)</f>
        <v/>
      </c>
      <c r="C345" s="21" t="str">
        <f>IF(MOV_CC_NACIONAL!C345="","",MOV_CC_NACIONAL!C345)</f>
        <v/>
      </c>
      <c r="D345" s="22" t="str">
        <f t="shared" si="1"/>
        <v>Other</v>
      </c>
    </row>
    <row r="346" ht="15.75" customHeight="1">
      <c r="A346" s="22" t="str">
        <f>IF(MOV_CC_NACIONAL!A346="","",MOV_CC_NACIONAL!A346)</f>
        <v/>
      </c>
      <c r="B346" s="22" t="str">
        <f>IF(MOV_CC_NACIONAL!B346="","",MOV_CC_NACIONAL!B346)</f>
        <v/>
      </c>
      <c r="C346" s="21" t="str">
        <f>IF(MOV_CC_NACIONAL!C346="","",MOV_CC_NACIONAL!C346)</f>
        <v/>
      </c>
      <c r="D346" s="22" t="str">
        <f t="shared" si="1"/>
        <v>Other</v>
      </c>
    </row>
    <row r="347" ht="15.75" customHeight="1">
      <c r="A347" s="22" t="str">
        <f>IF(MOV_CC_NACIONAL!A347="","",MOV_CC_NACIONAL!A347)</f>
        <v/>
      </c>
      <c r="B347" s="22" t="str">
        <f>IF(MOV_CC_NACIONAL!B347="","",MOV_CC_NACIONAL!B347)</f>
        <v/>
      </c>
      <c r="C347" s="21" t="str">
        <f>IF(MOV_CC_NACIONAL!C347="","",MOV_CC_NACIONAL!C347)</f>
        <v/>
      </c>
      <c r="D347" s="22" t="str">
        <f t="shared" si="1"/>
        <v>Other</v>
      </c>
    </row>
    <row r="348" ht="15.75" customHeight="1">
      <c r="A348" s="22" t="str">
        <f>IF(MOV_CC_NACIONAL!A348="","",MOV_CC_NACIONAL!A348)</f>
        <v/>
      </c>
      <c r="B348" s="22" t="str">
        <f>IF(MOV_CC_NACIONAL!B348="","",MOV_CC_NACIONAL!B348)</f>
        <v/>
      </c>
      <c r="C348" s="21" t="str">
        <f>IF(MOV_CC_NACIONAL!C348="","",MOV_CC_NACIONAL!C348)</f>
        <v/>
      </c>
      <c r="D348" s="22" t="str">
        <f t="shared" si="1"/>
        <v>Other</v>
      </c>
    </row>
    <row r="349" ht="15.75" customHeight="1">
      <c r="A349" s="22" t="str">
        <f>IF(MOV_CC_NACIONAL!A349="","",MOV_CC_NACIONAL!A349)</f>
        <v/>
      </c>
      <c r="B349" s="22" t="str">
        <f>IF(MOV_CC_NACIONAL!B349="","",MOV_CC_NACIONAL!B349)</f>
        <v/>
      </c>
      <c r="C349" s="21" t="str">
        <f>IF(MOV_CC_NACIONAL!C349="","",MOV_CC_NACIONAL!C349)</f>
        <v/>
      </c>
      <c r="D349" s="22" t="str">
        <f t="shared" si="1"/>
        <v>Other</v>
      </c>
    </row>
    <row r="350" ht="15.75" customHeight="1">
      <c r="A350" s="22" t="str">
        <f>IF(MOV_CC_NACIONAL!A350="","",MOV_CC_NACIONAL!A350)</f>
        <v/>
      </c>
      <c r="B350" s="22" t="str">
        <f>IF(MOV_CC_NACIONAL!B350="","",MOV_CC_NACIONAL!B350)</f>
        <v/>
      </c>
      <c r="C350" s="21" t="str">
        <f>IF(MOV_CC_NACIONAL!C350="","",MOV_CC_NACIONAL!C350)</f>
        <v/>
      </c>
      <c r="D350" s="22" t="str">
        <f t="shared" si="1"/>
        <v>Other</v>
      </c>
    </row>
    <row r="351" ht="15.75" customHeight="1">
      <c r="A351" s="22" t="str">
        <f>IF(MOV_CC_NACIONAL!A351="","",MOV_CC_NACIONAL!A351)</f>
        <v/>
      </c>
      <c r="B351" s="22" t="str">
        <f>IF(MOV_CC_NACIONAL!B351="","",MOV_CC_NACIONAL!B351)</f>
        <v/>
      </c>
      <c r="C351" s="21" t="str">
        <f>IF(MOV_CC_NACIONAL!C351="","",MOV_CC_NACIONAL!C351)</f>
        <v/>
      </c>
      <c r="D351" s="22" t="str">
        <f t="shared" si="1"/>
        <v>Other</v>
      </c>
    </row>
    <row r="352" ht="15.75" customHeight="1">
      <c r="A352" s="22" t="str">
        <f>IF(MOV_CC_NACIONAL!A352="","",MOV_CC_NACIONAL!A352)</f>
        <v/>
      </c>
      <c r="B352" s="22" t="str">
        <f>IF(MOV_CC_NACIONAL!B352="","",MOV_CC_NACIONAL!B352)</f>
        <v/>
      </c>
      <c r="C352" s="21" t="str">
        <f>IF(MOV_CC_NACIONAL!C352="","",MOV_CC_NACIONAL!C352)</f>
        <v/>
      </c>
      <c r="D352" s="22" t="str">
        <f t="shared" si="1"/>
        <v>Other</v>
      </c>
    </row>
    <row r="353" ht="15.75" customHeight="1">
      <c r="A353" s="22" t="str">
        <f>IF(MOV_CC_NACIONAL!A353="","",MOV_CC_NACIONAL!A353)</f>
        <v/>
      </c>
      <c r="B353" s="22" t="str">
        <f>IF(MOV_CC_NACIONAL!B353="","",MOV_CC_NACIONAL!B353)</f>
        <v/>
      </c>
      <c r="C353" s="21" t="str">
        <f>IF(MOV_CC_NACIONAL!C353="","",MOV_CC_NACIONAL!C353)</f>
        <v/>
      </c>
      <c r="D353" s="22" t="str">
        <f t="shared" si="1"/>
        <v>Other</v>
      </c>
    </row>
    <row r="354" ht="15.75" customHeight="1">
      <c r="A354" s="22" t="str">
        <f>IF(MOV_CC_NACIONAL!A354="","",MOV_CC_NACIONAL!A354)</f>
        <v/>
      </c>
      <c r="B354" s="22" t="str">
        <f>IF(MOV_CC_NACIONAL!B354="","",MOV_CC_NACIONAL!B354)</f>
        <v/>
      </c>
      <c r="C354" s="21" t="str">
        <f>IF(MOV_CC_NACIONAL!C354="","",MOV_CC_NACIONAL!C354)</f>
        <v/>
      </c>
      <c r="D354" s="22" t="str">
        <f t="shared" si="1"/>
        <v>Other</v>
      </c>
    </row>
    <row r="355" ht="15.75" customHeight="1">
      <c r="A355" s="22" t="str">
        <f>IF(MOV_CC_NACIONAL!A355="","",MOV_CC_NACIONAL!A355)</f>
        <v/>
      </c>
      <c r="B355" s="22" t="str">
        <f>IF(MOV_CC_NACIONAL!B355="","",MOV_CC_NACIONAL!B355)</f>
        <v/>
      </c>
      <c r="C355" s="21" t="str">
        <f>IF(MOV_CC_NACIONAL!C355="","",MOV_CC_NACIONAL!C355)</f>
        <v/>
      </c>
      <c r="D355" s="22" t="str">
        <f t="shared" si="1"/>
        <v>Other</v>
      </c>
    </row>
    <row r="356" ht="15.75" customHeight="1">
      <c r="A356" s="22" t="str">
        <f>IF(MOV_CC_NACIONAL!A356="","",MOV_CC_NACIONAL!A356)</f>
        <v/>
      </c>
      <c r="B356" s="22" t="str">
        <f>IF(MOV_CC_NACIONAL!B356="","",MOV_CC_NACIONAL!B356)</f>
        <v/>
      </c>
      <c r="C356" s="21" t="str">
        <f>IF(MOV_CC_NACIONAL!C356="","",MOV_CC_NACIONAL!C356)</f>
        <v/>
      </c>
      <c r="D356" s="22" t="str">
        <f t="shared" si="1"/>
        <v>Other</v>
      </c>
    </row>
    <row r="357" ht="15.75" customHeight="1">
      <c r="A357" s="22" t="str">
        <f>IF(MOV_CC_NACIONAL!A357="","",MOV_CC_NACIONAL!A357)</f>
        <v/>
      </c>
      <c r="B357" s="22" t="str">
        <f>IF(MOV_CC_NACIONAL!B357="","",MOV_CC_NACIONAL!B357)</f>
        <v/>
      </c>
      <c r="C357" s="21" t="str">
        <f>IF(MOV_CC_NACIONAL!C357="","",MOV_CC_NACIONAL!C357)</f>
        <v/>
      </c>
      <c r="D357" s="22" t="str">
        <f t="shared" si="1"/>
        <v>Other</v>
      </c>
    </row>
    <row r="358" ht="15.75" customHeight="1">
      <c r="A358" s="22" t="str">
        <f>IF(MOV_CC_NACIONAL!A358="","",MOV_CC_NACIONAL!A358)</f>
        <v/>
      </c>
      <c r="B358" s="22" t="str">
        <f>IF(MOV_CC_NACIONAL!B358="","",MOV_CC_NACIONAL!B358)</f>
        <v/>
      </c>
      <c r="C358" s="21" t="str">
        <f>IF(MOV_CC_NACIONAL!C358="","",MOV_CC_NACIONAL!C358)</f>
        <v/>
      </c>
      <c r="D358" s="22" t="str">
        <f t="shared" si="1"/>
        <v>Other</v>
      </c>
    </row>
    <row r="359" ht="15.75" customHeight="1">
      <c r="A359" s="22" t="str">
        <f>IF(MOV_CC_NACIONAL!A359="","",MOV_CC_NACIONAL!A359)</f>
        <v/>
      </c>
      <c r="B359" s="22" t="str">
        <f>IF(MOV_CC_NACIONAL!B359="","",MOV_CC_NACIONAL!B359)</f>
        <v/>
      </c>
      <c r="C359" s="21" t="str">
        <f>IF(MOV_CC_NACIONAL!C359="","",MOV_CC_NACIONAL!C359)</f>
        <v/>
      </c>
      <c r="D359" s="22" t="str">
        <f t="shared" si="1"/>
        <v>Other</v>
      </c>
    </row>
    <row r="360" ht="15.75" customHeight="1">
      <c r="A360" s="22" t="str">
        <f>IF(MOV_CC_NACIONAL!A360="","",MOV_CC_NACIONAL!A360)</f>
        <v/>
      </c>
      <c r="B360" s="22" t="str">
        <f>IF(MOV_CC_NACIONAL!B360="","",MOV_CC_NACIONAL!B360)</f>
        <v/>
      </c>
      <c r="C360" s="21" t="str">
        <f>IF(MOV_CC_NACIONAL!C360="","",MOV_CC_NACIONAL!C360)</f>
        <v/>
      </c>
      <c r="D360" s="22" t="str">
        <f t="shared" si="1"/>
        <v>Other</v>
      </c>
    </row>
    <row r="361" ht="15.75" customHeight="1">
      <c r="A361" s="22" t="str">
        <f>IF(MOV_CC_NACIONAL!A361="","",MOV_CC_NACIONAL!A361)</f>
        <v/>
      </c>
      <c r="B361" s="22" t="str">
        <f>IF(MOV_CC_NACIONAL!B361="","",MOV_CC_NACIONAL!B361)</f>
        <v/>
      </c>
      <c r="C361" s="21" t="str">
        <f>IF(MOV_CC_NACIONAL!C361="","",MOV_CC_NACIONAL!C361)</f>
        <v/>
      </c>
      <c r="D361" s="22" t="str">
        <f t="shared" si="1"/>
        <v>Other</v>
      </c>
    </row>
    <row r="362" ht="15.75" customHeight="1">
      <c r="A362" s="22" t="str">
        <f>IF(MOV_CC_NACIONAL!A362="","",MOV_CC_NACIONAL!A362)</f>
        <v/>
      </c>
      <c r="B362" s="22" t="str">
        <f>IF(MOV_CC_NACIONAL!B362="","",MOV_CC_NACIONAL!B362)</f>
        <v/>
      </c>
      <c r="C362" s="21" t="str">
        <f>IF(MOV_CC_NACIONAL!C362="","",MOV_CC_NACIONAL!C362)</f>
        <v/>
      </c>
      <c r="D362" s="22" t="str">
        <f t="shared" si="1"/>
        <v>Other</v>
      </c>
    </row>
    <row r="363" ht="15.75" customHeight="1">
      <c r="A363" s="22" t="str">
        <f>IF(MOV_CC_NACIONAL!A363="","",MOV_CC_NACIONAL!A363)</f>
        <v/>
      </c>
      <c r="B363" s="22" t="str">
        <f>IF(MOV_CC_NACIONAL!B363="","",MOV_CC_NACIONAL!B363)</f>
        <v/>
      </c>
      <c r="C363" s="21" t="str">
        <f>IF(MOV_CC_NACIONAL!C363="","",MOV_CC_NACIONAL!C363)</f>
        <v/>
      </c>
      <c r="D363" s="22" t="str">
        <f t="shared" si="1"/>
        <v>Other</v>
      </c>
    </row>
    <row r="364" ht="15.75" customHeight="1">
      <c r="A364" s="22" t="str">
        <f>IF(MOV_CC_NACIONAL!A364="","",MOV_CC_NACIONAL!A364)</f>
        <v/>
      </c>
      <c r="B364" s="22" t="str">
        <f>IF(MOV_CC_NACIONAL!B364="","",MOV_CC_NACIONAL!B364)</f>
        <v/>
      </c>
      <c r="C364" s="21" t="str">
        <f>IF(MOV_CC_NACIONAL!C364="","",MOV_CC_NACIONAL!C364)</f>
        <v/>
      </c>
      <c r="D364" s="22" t="str">
        <f t="shared" si="1"/>
        <v>Other</v>
      </c>
    </row>
    <row r="365" ht="15.75" customHeight="1">
      <c r="A365" s="22" t="str">
        <f>IF(MOV_CC_NACIONAL!A365="","",MOV_CC_NACIONAL!A365)</f>
        <v/>
      </c>
      <c r="B365" s="22" t="str">
        <f>IF(MOV_CC_NACIONAL!B365="","",MOV_CC_NACIONAL!B365)</f>
        <v/>
      </c>
      <c r="C365" s="21" t="str">
        <f>IF(MOV_CC_NACIONAL!C365="","",MOV_CC_NACIONAL!C365)</f>
        <v/>
      </c>
      <c r="D365" s="22" t="str">
        <f t="shared" si="1"/>
        <v>Other</v>
      </c>
    </row>
    <row r="366" ht="15.75" customHeight="1">
      <c r="A366" s="22" t="str">
        <f>IF(MOV_CC_NACIONAL!A366="","",MOV_CC_NACIONAL!A366)</f>
        <v/>
      </c>
      <c r="B366" s="22" t="str">
        <f>IF(MOV_CC_NACIONAL!B366="","",MOV_CC_NACIONAL!B366)</f>
        <v/>
      </c>
      <c r="C366" s="21" t="str">
        <f>IF(MOV_CC_NACIONAL!C366="","",MOV_CC_NACIONAL!C366)</f>
        <v/>
      </c>
      <c r="D366" s="22" t="str">
        <f t="shared" si="1"/>
        <v>Other</v>
      </c>
    </row>
    <row r="367" ht="15.75" customHeight="1">
      <c r="A367" s="22" t="str">
        <f>IF(MOV_CC_NACIONAL!A367="","",MOV_CC_NACIONAL!A367)</f>
        <v/>
      </c>
      <c r="B367" s="22" t="str">
        <f>IF(MOV_CC_NACIONAL!B367="","",MOV_CC_NACIONAL!B367)</f>
        <v/>
      </c>
      <c r="C367" s="21" t="str">
        <f>IF(MOV_CC_NACIONAL!C367="","",MOV_CC_NACIONAL!C367)</f>
        <v/>
      </c>
      <c r="D367" s="22" t="str">
        <f t="shared" si="1"/>
        <v>Other</v>
      </c>
    </row>
    <row r="368" ht="15.75" customHeight="1">
      <c r="A368" s="22" t="str">
        <f>IF(MOV_CC_NACIONAL!A368="","",MOV_CC_NACIONAL!A368)</f>
        <v/>
      </c>
      <c r="B368" s="22" t="str">
        <f>IF(MOV_CC_NACIONAL!B368="","",MOV_CC_NACIONAL!B368)</f>
        <v/>
      </c>
      <c r="C368" s="21" t="str">
        <f>IF(MOV_CC_NACIONAL!C368="","",MOV_CC_NACIONAL!C368)</f>
        <v/>
      </c>
      <c r="D368" s="22" t="str">
        <f t="shared" si="1"/>
        <v>Other</v>
      </c>
    </row>
    <row r="369" ht="15.75" customHeight="1">
      <c r="A369" s="22" t="str">
        <f>IF(MOV_CC_NACIONAL!A369="","",MOV_CC_NACIONAL!A369)</f>
        <v/>
      </c>
      <c r="B369" s="22" t="str">
        <f>IF(MOV_CC_NACIONAL!B369="","",MOV_CC_NACIONAL!B369)</f>
        <v/>
      </c>
      <c r="C369" s="21" t="str">
        <f>IF(MOV_CC_NACIONAL!C369="","",MOV_CC_NACIONAL!C369)</f>
        <v/>
      </c>
      <c r="D369" s="22" t="str">
        <f t="shared" si="1"/>
        <v>Other</v>
      </c>
    </row>
    <row r="370" ht="15.75" customHeight="1">
      <c r="A370" s="22" t="str">
        <f>IF(MOV_CC_NACIONAL!A370="","",MOV_CC_NACIONAL!A370)</f>
        <v/>
      </c>
      <c r="B370" s="22" t="str">
        <f>IF(MOV_CC_NACIONAL!B370="","",MOV_CC_NACIONAL!B370)</f>
        <v/>
      </c>
      <c r="C370" s="21" t="str">
        <f>IF(MOV_CC_NACIONAL!C370="","",MOV_CC_NACIONAL!C370)</f>
        <v/>
      </c>
      <c r="D370" s="22" t="str">
        <f t="shared" si="1"/>
        <v>Other</v>
      </c>
    </row>
    <row r="371" ht="15.75" customHeight="1">
      <c r="A371" s="22" t="str">
        <f>IF(MOV_CC_NACIONAL!A371="","",MOV_CC_NACIONAL!A371)</f>
        <v/>
      </c>
      <c r="B371" s="22" t="str">
        <f>IF(MOV_CC_NACIONAL!B371="","",MOV_CC_NACIONAL!B371)</f>
        <v/>
      </c>
      <c r="C371" s="21" t="str">
        <f>IF(MOV_CC_NACIONAL!C371="","",MOV_CC_NACIONAL!C371)</f>
        <v/>
      </c>
      <c r="D371" s="22" t="str">
        <f t="shared" si="1"/>
        <v>Other</v>
      </c>
    </row>
    <row r="372" ht="15.75" customHeight="1">
      <c r="A372" s="22" t="str">
        <f>IF(MOV_CC_NACIONAL!A372="","",MOV_CC_NACIONAL!A372)</f>
        <v/>
      </c>
      <c r="B372" s="22" t="str">
        <f>IF(MOV_CC_NACIONAL!B372="","",MOV_CC_NACIONAL!B372)</f>
        <v/>
      </c>
      <c r="C372" s="21" t="str">
        <f>IF(MOV_CC_NACIONAL!C372="","",MOV_CC_NACIONAL!C372)</f>
        <v/>
      </c>
      <c r="D372" s="22" t="str">
        <f t="shared" si="1"/>
        <v>Other</v>
      </c>
    </row>
    <row r="373" ht="15.75" customHeight="1">
      <c r="A373" s="22" t="str">
        <f>IF(MOV_CC_NACIONAL!A373="","",MOV_CC_NACIONAL!A373)</f>
        <v/>
      </c>
      <c r="B373" s="22" t="str">
        <f>IF(MOV_CC_NACIONAL!B373="","",MOV_CC_NACIONAL!B373)</f>
        <v/>
      </c>
      <c r="C373" s="21" t="str">
        <f>IF(MOV_CC_NACIONAL!C373="","",MOV_CC_NACIONAL!C373)</f>
        <v/>
      </c>
      <c r="D373" s="22" t="str">
        <f t="shared" si="1"/>
        <v>Other</v>
      </c>
    </row>
    <row r="374" ht="15.75" customHeight="1">
      <c r="A374" s="22" t="str">
        <f>IF(MOV_CC_NACIONAL!A374="","",MOV_CC_NACIONAL!A374)</f>
        <v/>
      </c>
      <c r="B374" s="22" t="str">
        <f>IF(MOV_CC_NACIONAL!B374="","",MOV_CC_NACIONAL!B374)</f>
        <v/>
      </c>
      <c r="C374" s="21" t="str">
        <f>IF(MOV_CC_NACIONAL!C374="","",MOV_CC_NACIONAL!C374)</f>
        <v/>
      </c>
      <c r="D374" s="22" t="str">
        <f t="shared" si="1"/>
        <v>Other</v>
      </c>
    </row>
    <row r="375" ht="15.75" customHeight="1">
      <c r="A375" s="22" t="str">
        <f>IF(MOV_CC_NACIONAL!A375="","",MOV_CC_NACIONAL!A375)</f>
        <v/>
      </c>
      <c r="B375" s="22" t="str">
        <f>IF(MOV_CC_NACIONAL!B375="","",MOV_CC_NACIONAL!B375)</f>
        <v/>
      </c>
      <c r="C375" s="21" t="str">
        <f>IF(MOV_CC_NACIONAL!C375="","",MOV_CC_NACIONAL!C375)</f>
        <v/>
      </c>
      <c r="D375" s="22" t="str">
        <f t="shared" si="1"/>
        <v>Other</v>
      </c>
    </row>
    <row r="376" ht="15.75" customHeight="1">
      <c r="A376" s="22" t="str">
        <f>IF(MOV_CC_NACIONAL!A376="","",MOV_CC_NACIONAL!A376)</f>
        <v/>
      </c>
      <c r="B376" s="22" t="str">
        <f>IF(MOV_CC_NACIONAL!B376="","",MOV_CC_NACIONAL!B376)</f>
        <v/>
      </c>
      <c r="C376" s="21" t="str">
        <f>IF(MOV_CC_NACIONAL!C376="","",MOV_CC_NACIONAL!C376)</f>
        <v/>
      </c>
      <c r="D376" s="22" t="str">
        <f t="shared" si="1"/>
        <v>Other</v>
      </c>
    </row>
    <row r="377" ht="15.75" customHeight="1">
      <c r="A377" s="22" t="str">
        <f>IF(MOV_CC_NACIONAL!A377="","",MOV_CC_NACIONAL!A377)</f>
        <v/>
      </c>
      <c r="B377" s="22" t="str">
        <f>IF(MOV_CC_NACIONAL!B377="","",MOV_CC_NACIONAL!B377)</f>
        <v/>
      </c>
      <c r="C377" s="21" t="str">
        <f>IF(MOV_CC_NACIONAL!C377="","",MOV_CC_NACIONAL!C377)</f>
        <v/>
      </c>
      <c r="D377" s="22" t="str">
        <f t="shared" si="1"/>
        <v>Other</v>
      </c>
    </row>
    <row r="378" ht="15.75" customHeight="1">
      <c r="A378" s="22" t="str">
        <f>IF(MOV_CC_NACIONAL!A378="","",MOV_CC_NACIONAL!A378)</f>
        <v/>
      </c>
      <c r="B378" s="22" t="str">
        <f>IF(MOV_CC_NACIONAL!B378="","",MOV_CC_NACIONAL!B378)</f>
        <v/>
      </c>
      <c r="C378" s="21" t="str">
        <f>IF(MOV_CC_NACIONAL!C378="","",MOV_CC_NACIONAL!C378)</f>
        <v/>
      </c>
      <c r="D378" s="22" t="str">
        <f t="shared" si="1"/>
        <v>Other</v>
      </c>
    </row>
    <row r="379" ht="15.75" customHeight="1">
      <c r="A379" s="22" t="str">
        <f>IF(MOV_CC_NACIONAL!A379="","",MOV_CC_NACIONAL!A379)</f>
        <v/>
      </c>
      <c r="B379" s="22" t="str">
        <f>IF(MOV_CC_NACIONAL!B379="","",MOV_CC_NACIONAL!B379)</f>
        <v/>
      </c>
      <c r="C379" s="21" t="str">
        <f>IF(MOV_CC_NACIONAL!C379="","",MOV_CC_NACIONAL!C379)</f>
        <v/>
      </c>
      <c r="D379" s="22" t="str">
        <f t="shared" si="1"/>
        <v>Other</v>
      </c>
    </row>
    <row r="380" ht="15.75" customHeight="1">
      <c r="A380" s="22" t="str">
        <f>IF(MOV_CC_NACIONAL!A380="","",MOV_CC_NACIONAL!A380)</f>
        <v/>
      </c>
      <c r="B380" s="22" t="str">
        <f>IF(MOV_CC_NACIONAL!B380="","",MOV_CC_NACIONAL!B380)</f>
        <v/>
      </c>
      <c r="C380" s="21" t="str">
        <f>IF(MOV_CC_NACIONAL!C380="","",MOV_CC_NACIONAL!C380)</f>
        <v/>
      </c>
      <c r="D380" s="22" t="str">
        <f t="shared" si="1"/>
        <v>Other</v>
      </c>
    </row>
    <row r="381" ht="15.75" customHeight="1">
      <c r="A381" s="22" t="str">
        <f>IF(MOV_CC_NACIONAL!A381="","",MOV_CC_NACIONAL!A381)</f>
        <v/>
      </c>
      <c r="B381" s="22" t="str">
        <f>IF(MOV_CC_NACIONAL!B381="","",MOV_CC_NACIONAL!B381)</f>
        <v/>
      </c>
      <c r="C381" s="21" t="str">
        <f>IF(MOV_CC_NACIONAL!C381="","",MOV_CC_NACIONAL!C381)</f>
        <v/>
      </c>
      <c r="D381" s="22" t="str">
        <f t="shared" si="1"/>
        <v>Other</v>
      </c>
    </row>
    <row r="382" ht="15.75" customHeight="1">
      <c r="A382" s="22" t="str">
        <f>IF(MOV_CC_NACIONAL!A382="","",MOV_CC_NACIONAL!A382)</f>
        <v/>
      </c>
      <c r="B382" s="22" t="str">
        <f>IF(MOV_CC_NACIONAL!B382="","",MOV_CC_NACIONAL!B382)</f>
        <v/>
      </c>
      <c r="C382" s="21" t="str">
        <f>IF(MOV_CC_NACIONAL!C382="","",MOV_CC_NACIONAL!C382)</f>
        <v/>
      </c>
      <c r="D382" s="22" t="str">
        <f t="shared" si="1"/>
        <v>Other</v>
      </c>
    </row>
    <row r="383" ht="15.75" customHeight="1">
      <c r="A383" s="22" t="str">
        <f>IF(MOV_CC_NACIONAL!A383="","",MOV_CC_NACIONAL!A383)</f>
        <v/>
      </c>
      <c r="B383" s="22" t="str">
        <f>IF(MOV_CC_NACIONAL!B383="","",MOV_CC_NACIONAL!B383)</f>
        <v/>
      </c>
      <c r="C383" s="21" t="str">
        <f>IF(MOV_CC_NACIONAL!C383="","",MOV_CC_NACIONAL!C383)</f>
        <v/>
      </c>
      <c r="D383" s="22" t="str">
        <f t="shared" si="1"/>
        <v>Other</v>
      </c>
    </row>
    <row r="384" ht="15.75" customHeight="1">
      <c r="A384" s="22" t="str">
        <f>IF(MOV_CC_NACIONAL!A384="","",MOV_CC_NACIONAL!A384)</f>
        <v/>
      </c>
      <c r="B384" s="22" t="str">
        <f>IF(MOV_CC_NACIONAL!B384="","",MOV_CC_NACIONAL!B384)</f>
        <v/>
      </c>
      <c r="C384" s="21" t="str">
        <f>IF(MOV_CC_NACIONAL!C384="","",MOV_CC_NACIONAL!C384)</f>
        <v/>
      </c>
      <c r="D384" s="22" t="str">
        <f t="shared" si="1"/>
        <v>Other</v>
      </c>
    </row>
    <row r="385" ht="15.75" customHeight="1">
      <c r="A385" s="22" t="str">
        <f>IF(MOV_CC_NACIONAL!A385="","",MOV_CC_NACIONAL!A385)</f>
        <v/>
      </c>
      <c r="B385" s="22" t="str">
        <f>IF(MOV_CC_NACIONAL!B385="","",MOV_CC_NACIONAL!B385)</f>
        <v/>
      </c>
      <c r="C385" s="21" t="str">
        <f>IF(MOV_CC_NACIONAL!C385="","",MOV_CC_NACIONAL!C385)</f>
        <v/>
      </c>
      <c r="D385" s="22" t="str">
        <f t="shared" si="1"/>
        <v>Other</v>
      </c>
    </row>
    <row r="386" ht="15.75" customHeight="1">
      <c r="A386" s="22" t="str">
        <f>IF(MOV_CC_NACIONAL!A386="","",MOV_CC_NACIONAL!A386)</f>
        <v/>
      </c>
      <c r="B386" s="22" t="str">
        <f>IF(MOV_CC_NACIONAL!B386="","",MOV_CC_NACIONAL!B386)</f>
        <v/>
      </c>
      <c r="C386" s="21" t="str">
        <f>IF(MOV_CC_NACIONAL!C386="","",MOV_CC_NACIONAL!C386)</f>
        <v/>
      </c>
      <c r="D386" s="22" t="str">
        <f t="shared" si="1"/>
        <v>Other</v>
      </c>
    </row>
    <row r="387" ht="15.75" customHeight="1">
      <c r="A387" s="22" t="str">
        <f>IF(MOV_CC_NACIONAL!A387="","",MOV_CC_NACIONAL!A387)</f>
        <v/>
      </c>
      <c r="B387" s="22" t="str">
        <f>IF(MOV_CC_NACIONAL!B387="","",MOV_CC_NACIONAL!B387)</f>
        <v/>
      </c>
      <c r="C387" s="21" t="str">
        <f>IF(MOV_CC_NACIONAL!C387="","",MOV_CC_NACIONAL!C387)</f>
        <v/>
      </c>
      <c r="D387" s="22" t="str">
        <f t="shared" si="1"/>
        <v>Other</v>
      </c>
    </row>
    <row r="388" ht="15.75" customHeight="1">
      <c r="A388" s="22" t="str">
        <f>IF(MOV_CC_NACIONAL!A388="","",MOV_CC_NACIONAL!A388)</f>
        <v/>
      </c>
      <c r="B388" s="22" t="str">
        <f>IF(MOV_CC_NACIONAL!B388="","",MOV_CC_NACIONAL!B388)</f>
        <v/>
      </c>
      <c r="C388" s="21" t="str">
        <f>IF(MOV_CC_NACIONAL!C388="","",MOV_CC_NACIONAL!C388)</f>
        <v/>
      </c>
      <c r="D388" s="22" t="str">
        <f t="shared" si="1"/>
        <v>Other</v>
      </c>
    </row>
    <row r="389" ht="15.75" customHeight="1">
      <c r="A389" s="22" t="str">
        <f>IF(MOV_CC_NACIONAL!A389="","",MOV_CC_NACIONAL!A389)</f>
        <v/>
      </c>
      <c r="B389" s="22" t="str">
        <f>IF(MOV_CC_NACIONAL!B389="","",MOV_CC_NACIONAL!B389)</f>
        <v/>
      </c>
      <c r="C389" s="21" t="str">
        <f>IF(MOV_CC_NACIONAL!C389="","",MOV_CC_NACIONAL!C389)</f>
        <v/>
      </c>
      <c r="D389" s="22" t="str">
        <f t="shared" si="1"/>
        <v>Other</v>
      </c>
    </row>
    <row r="390" ht="15.75" customHeight="1">
      <c r="A390" s="22" t="str">
        <f>IF(MOV_CC_NACIONAL!A390="","",MOV_CC_NACIONAL!A390)</f>
        <v/>
      </c>
      <c r="B390" s="22" t="str">
        <f>IF(MOV_CC_NACIONAL!B390="","",MOV_CC_NACIONAL!B390)</f>
        <v/>
      </c>
      <c r="C390" s="21" t="str">
        <f>IF(MOV_CC_NACIONAL!C390="","",MOV_CC_NACIONAL!C390)</f>
        <v/>
      </c>
      <c r="D390" s="22" t="str">
        <f t="shared" si="1"/>
        <v>Other</v>
      </c>
    </row>
    <row r="391" ht="15.75" customHeight="1">
      <c r="A391" s="22" t="str">
        <f>IF(MOV_CC_NACIONAL!A391="","",MOV_CC_NACIONAL!A391)</f>
        <v/>
      </c>
      <c r="B391" s="22" t="str">
        <f>IF(MOV_CC_NACIONAL!B391="","",MOV_CC_NACIONAL!B391)</f>
        <v/>
      </c>
      <c r="C391" s="21" t="str">
        <f>IF(MOV_CC_NACIONAL!C391="","",MOV_CC_NACIONAL!C391)</f>
        <v/>
      </c>
      <c r="D391" s="22" t="str">
        <f t="shared" si="1"/>
        <v>Other</v>
      </c>
    </row>
    <row r="392" ht="15.75" customHeight="1">
      <c r="A392" s="22" t="str">
        <f>IF(MOV_CC_NACIONAL!A392="","",MOV_CC_NACIONAL!A392)</f>
        <v/>
      </c>
      <c r="B392" s="22" t="str">
        <f>IF(MOV_CC_NACIONAL!B392="","",MOV_CC_NACIONAL!B392)</f>
        <v/>
      </c>
      <c r="C392" s="21" t="str">
        <f>IF(MOV_CC_NACIONAL!C392="","",MOV_CC_NACIONAL!C392)</f>
        <v/>
      </c>
      <c r="D392" s="22" t="str">
        <f t="shared" si="1"/>
        <v>Other</v>
      </c>
    </row>
    <row r="393" ht="15.75" customHeight="1">
      <c r="A393" s="22" t="str">
        <f>IF(MOV_CC_NACIONAL!A393="","",MOV_CC_NACIONAL!A393)</f>
        <v/>
      </c>
      <c r="B393" s="22" t="str">
        <f>IF(MOV_CC_NACIONAL!B393="","",MOV_CC_NACIONAL!B393)</f>
        <v/>
      </c>
      <c r="C393" s="21" t="str">
        <f>IF(MOV_CC_NACIONAL!C393="","",MOV_CC_NACIONAL!C393)</f>
        <v/>
      </c>
      <c r="D393" s="22" t="str">
        <f t="shared" si="1"/>
        <v>Other</v>
      </c>
    </row>
    <row r="394" ht="15.75" customHeight="1">
      <c r="A394" s="22" t="str">
        <f>IF(MOV_CC_NACIONAL!A394="","",MOV_CC_NACIONAL!A394)</f>
        <v/>
      </c>
      <c r="B394" s="22" t="str">
        <f>IF(MOV_CC_NACIONAL!B394="","",MOV_CC_NACIONAL!B394)</f>
        <v/>
      </c>
      <c r="C394" s="21" t="str">
        <f>IF(MOV_CC_NACIONAL!C394="","",MOV_CC_NACIONAL!C394)</f>
        <v/>
      </c>
      <c r="D394" s="22" t="str">
        <f t="shared" si="1"/>
        <v>Other</v>
      </c>
    </row>
    <row r="395" ht="15.75" customHeight="1">
      <c r="A395" s="22" t="str">
        <f>IF(MOV_CC_NACIONAL!A395="","",MOV_CC_NACIONAL!A395)</f>
        <v/>
      </c>
      <c r="B395" s="22" t="str">
        <f>IF(MOV_CC_NACIONAL!B395="","",MOV_CC_NACIONAL!B395)</f>
        <v/>
      </c>
      <c r="C395" s="21" t="str">
        <f>IF(MOV_CC_NACIONAL!C395="","",MOV_CC_NACIONAL!C395)</f>
        <v/>
      </c>
      <c r="D395" s="22" t="str">
        <f t="shared" si="1"/>
        <v>Other</v>
      </c>
    </row>
    <row r="396" ht="15.75" customHeight="1">
      <c r="A396" s="22" t="str">
        <f>IF(MOV_CC_NACIONAL!A396="","",MOV_CC_NACIONAL!A396)</f>
        <v/>
      </c>
      <c r="B396" s="22" t="str">
        <f>IF(MOV_CC_NACIONAL!B396="","",MOV_CC_NACIONAL!B396)</f>
        <v/>
      </c>
      <c r="C396" s="21" t="str">
        <f>IF(MOV_CC_NACIONAL!C396="","",MOV_CC_NACIONAL!C396)</f>
        <v/>
      </c>
      <c r="D396" s="22" t="str">
        <f t="shared" si="1"/>
        <v>Other</v>
      </c>
    </row>
    <row r="397" ht="15.75" customHeight="1">
      <c r="A397" s="22" t="str">
        <f>IF(MOV_CC_NACIONAL!A397="","",MOV_CC_NACIONAL!A397)</f>
        <v/>
      </c>
      <c r="B397" s="22" t="str">
        <f>IF(MOV_CC_NACIONAL!B397="","",MOV_CC_NACIONAL!B397)</f>
        <v/>
      </c>
      <c r="C397" s="21" t="str">
        <f>IF(MOV_CC_NACIONAL!C397="","",MOV_CC_NACIONAL!C397)</f>
        <v/>
      </c>
      <c r="D397" s="22" t="str">
        <f t="shared" si="1"/>
        <v>Other</v>
      </c>
    </row>
    <row r="398" ht="15.75" customHeight="1">
      <c r="A398" s="22" t="str">
        <f>IF(MOV_CC_NACIONAL!A398="","",MOV_CC_NACIONAL!A398)</f>
        <v/>
      </c>
      <c r="B398" s="22" t="str">
        <f>IF(MOV_CC_NACIONAL!B398="","",MOV_CC_NACIONAL!B398)</f>
        <v/>
      </c>
      <c r="C398" s="21" t="str">
        <f>IF(MOV_CC_NACIONAL!C398="","",MOV_CC_NACIONAL!C398)</f>
        <v/>
      </c>
      <c r="D398" s="22" t="str">
        <f t="shared" si="1"/>
        <v>Other</v>
      </c>
    </row>
    <row r="399" ht="15.75" customHeight="1">
      <c r="A399" s="22" t="str">
        <f>IF(MOV_CC_NACIONAL!A399="","",MOV_CC_NACIONAL!A399)</f>
        <v/>
      </c>
      <c r="B399" s="22" t="str">
        <f>IF(MOV_CC_NACIONAL!B399="","",MOV_CC_NACIONAL!B399)</f>
        <v/>
      </c>
      <c r="C399" s="21" t="str">
        <f>IF(MOV_CC_NACIONAL!C399="","",MOV_CC_NACIONAL!C399)</f>
        <v/>
      </c>
      <c r="D399" s="22" t="str">
        <f t="shared" si="1"/>
        <v>Other</v>
      </c>
    </row>
    <row r="400" ht="15.75" customHeight="1">
      <c r="A400" s="22" t="str">
        <f>IF(MOV_CC_NACIONAL!A400="","",MOV_CC_NACIONAL!A400)</f>
        <v/>
      </c>
      <c r="B400" s="22" t="str">
        <f>IF(MOV_CC_NACIONAL!B400="","",MOV_CC_NACIONAL!B400)</f>
        <v/>
      </c>
      <c r="C400" s="21" t="str">
        <f>IF(MOV_CC_NACIONAL!C400="","",MOV_CC_NACIONAL!C400)</f>
        <v/>
      </c>
      <c r="D400" s="22" t="str">
        <f t="shared" si="1"/>
        <v>Other</v>
      </c>
    </row>
    <row r="401" ht="15.75" customHeight="1">
      <c r="A401" s="22" t="str">
        <f>IF(MOV_CC_NACIONAL!A401="","",MOV_CC_NACIONAL!A401)</f>
        <v/>
      </c>
      <c r="B401" s="22" t="str">
        <f>IF(MOV_CC_NACIONAL!B401="","",MOV_CC_NACIONAL!B401)</f>
        <v/>
      </c>
      <c r="C401" s="21" t="str">
        <f>IF(MOV_CC_NACIONAL!C401="","",MOV_CC_NACIONAL!C401)</f>
        <v/>
      </c>
      <c r="D401" s="22" t="str">
        <f t="shared" si="1"/>
        <v>Other</v>
      </c>
    </row>
    <row r="402" ht="15.75" customHeight="1">
      <c r="A402" s="22" t="str">
        <f>IF(MOV_CC_NACIONAL!A402="","",MOV_CC_NACIONAL!A402)</f>
        <v/>
      </c>
      <c r="B402" s="22" t="str">
        <f>IF(MOV_CC_NACIONAL!B402="","",MOV_CC_NACIONAL!B402)</f>
        <v/>
      </c>
      <c r="C402" s="21" t="str">
        <f>IF(MOV_CC_NACIONAL!C402="","",MOV_CC_NACIONAL!C402)</f>
        <v/>
      </c>
      <c r="D402" s="22" t="str">
        <f t="shared" si="1"/>
        <v>Other</v>
      </c>
    </row>
    <row r="403" ht="15.75" customHeight="1">
      <c r="A403" s="22" t="str">
        <f>IF(MOV_CC_NACIONAL!A403="","",MOV_CC_NACIONAL!A403)</f>
        <v/>
      </c>
      <c r="B403" s="22" t="str">
        <f>IF(MOV_CC_NACIONAL!B403="","",MOV_CC_NACIONAL!B403)</f>
        <v/>
      </c>
      <c r="C403" s="21" t="str">
        <f>IF(MOV_CC_NACIONAL!C403="","",MOV_CC_NACIONAL!C403)</f>
        <v/>
      </c>
      <c r="D403" s="22" t="str">
        <f t="shared" si="1"/>
        <v>Other</v>
      </c>
    </row>
    <row r="404" ht="15.75" customHeight="1">
      <c r="A404" s="22" t="str">
        <f>IF(MOV_CC_NACIONAL!A404="","",MOV_CC_NACIONAL!A404)</f>
        <v/>
      </c>
      <c r="B404" s="22" t="str">
        <f>IF(MOV_CC_NACIONAL!B404="","",MOV_CC_NACIONAL!B404)</f>
        <v/>
      </c>
      <c r="C404" s="21" t="str">
        <f>IF(MOV_CC_NACIONAL!C404="","",MOV_CC_NACIONAL!C404)</f>
        <v/>
      </c>
      <c r="D404" s="22" t="str">
        <f t="shared" si="1"/>
        <v>Other</v>
      </c>
    </row>
    <row r="405" ht="15.75" customHeight="1">
      <c r="A405" s="22" t="str">
        <f>IF(MOV_CC_NACIONAL!A405="","",MOV_CC_NACIONAL!A405)</f>
        <v/>
      </c>
      <c r="B405" s="22" t="str">
        <f>IF(MOV_CC_NACIONAL!B405="","",MOV_CC_NACIONAL!B405)</f>
        <v/>
      </c>
      <c r="C405" s="21" t="str">
        <f>IF(MOV_CC_NACIONAL!C405="","",MOV_CC_NACIONAL!C405)</f>
        <v/>
      </c>
      <c r="D405" s="22" t="str">
        <f t="shared" si="1"/>
        <v>Other</v>
      </c>
    </row>
    <row r="406" ht="15.75" customHeight="1">
      <c r="A406" s="22" t="str">
        <f>IF(MOV_CC_NACIONAL!A406="","",MOV_CC_NACIONAL!A406)</f>
        <v/>
      </c>
      <c r="B406" s="22" t="str">
        <f>IF(MOV_CC_NACIONAL!B406="","",MOV_CC_NACIONAL!B406)</f>
        <v/>
      </c>
      <c r="C406" s="21" t="str">
        <f>IF(MOV_CC_NACIONAL!C406="","",MOV_CC_NACIONAL!C406)</f>
        <v/>
      </c>
      <c r="D406" s="22" t="str">
        <f t="shared" si="1"/>
        <v>Other</v>
      </c>
    </row>
    <row r="407" ht="15.75" customHeight="1">
      <c r="A407" s="22" t="str">
        <f>IF(MOV_CC_NACIONAL!A407="","",MOV_CC_NACIONAL!A407)</f>
        <v/>
      </c>
      <c r="B407" s="22" t="str">
        <f>IF(MOV_CC_NACIONAL!B407="","",MOV_CC_NACIONAL!B407)</f>
        <v/>
      </c>
      <c r="C407" s="21" t="str">
        <f>IF(MOV_CC_NACIONAL!C407="","",MOV_CC_NACIONAL!C407)</f>
        <v/>
      </c>
      <c r="D407" s="22" t="str">
        <f t="shared" si="1"/>
        <v>Other</v>
      </c>
    </row>
    <row r="408" ht="15.75" customHeight="1">
      <c r="A408" s="22" t="str">
        <f>IF(MOV_CC_NACIONAL!A408="","",MOV_CC_NACIONAL!A408)</f>
        <v/>
      </c>
      <c r="B408" s="22" t="str">
        <f>IF(MOV_CC_NACIONAL!B408="","",MOV_CC_NACIONAL!B408)</f>
        <v/>
      </c>
      <c r="C408" s="21" t="str">
        <f>IF(MOV_CC_NACIONAL!C408="","",MOV_CC_NACIONAL!C408)</f>
        <v/>
      </c>
      <c r="D408" s="22" t="str">
        <f t="shared" si="1"/>
        <v>Other</v>
      </c>
    </row>
    <row r="409" ht="15.75" customHeight="1">
      <c r="A409" s="22" t="str">
        <f>IF(MOV_CC_NACIONAL!A409="","",MOV_CC_NACIONAL!A409)</f>
        <v/>
      </c>
      <c r="B409" s="22" t="str">
        <f>IF(MOV_CC_NACIONAL!B409="","",MOV_CC_NACIONAL!B409)</f>
        <v/>
      </c>
      <c r="C409" s="21" t="str">
        <f>IF(MOV_CC_NACIONAL!C409="","",MOV_CC_NACIONAL!C409)</f>
        <v/>
      </c>
      <c r="D409" s="22" t="str">
        <f t="shared" si="1"/>
        <v>Other</v>
      </c>
    </row>
    <row r="410" ht="15.75" customHeight="1">
      <c r="A410" s="22" t="str">
        <f>IF(MOV_CC_NACIONAL!A410="","",MOV_CC_NACIONAL!A410)</f>
        <v/>
      </c>
      <c r="B410" s="22" t="str">
        <f>IF(MOV_CC_NACIONAL!B410="","",MOV_CC_NACIONAL!B410)</f>
        <v/>
      </c>
      <c r="C410" s="21" t="str">
        <f>IF(MOV_CC_NACIONAL!C410="","",MOV_CC_NACIONAL!C410)</f>
        <v/>
      </c>
      <c r="D410" s="22" t="str">
        <f t="shared" si="1"/>
        <v>Other</v>
      </c>
    </row>
    <row r="411" ht="15.75" customHeight="1">
      <c r="A411" s="22" t="str">
        <f>IF(MOV_CC_NACIONAL!A411="","",MOV_CC_NACIONAL!A411)</f>
        <v/>
      </c>
      <c r="B411" s="22" t="str">
        <f>IF(MOV_CC_NACIONAL!B411="","",MOV_CC_NACIONAL!B411)</f>
        <v/>
      </c>
      <c r="C411" s="21" t="str">
        <f>IF(MOV_CC_NACIONAL!C411="","",MOV_CC_NACIONAL!C411)</f>
        <v/>
      </c>
      <c r="D411" s="22" t="str">
        <f t="shared" si="1"/>
        <v>Other</v>
      </c>
    </row>
    <row r="412" ht="15.75" customHeight="1">
      <c r="A412" s="22" t="str">
        <f>IF(MOV_CC_NACIONAL!A412="","",MOV_CC_NACIONAL!A412)</f>
        <v/>
      </c>
      <c r="B412" s="22" t="str">
        <f>IF(MOV_CC_NACIONAL!B412="","",MOV_CC_NACIONAL!B412)</f>
        <v/>
      </c>
      <c r="C412" s="21" t="str">
        <f>IF(MOV_CC_NACIONAL!C412="","",MOV_CC_NACIONAL!C412)</f>
        <v/>
      </c>
      <c r="D412" s="22" t="str">
        <f t="shared" si="1"/>
        <v>Other</v>
      </c>
    </row>
    <row r="413" ht="15.75" customHeight="1">
      <c r="A413" s="22" t="str">
        <f>IF(MOV_CC_NACIONAL!A413="","",MOV_CC_NACIONAL!A413)</f>
        <v/>
      </c>
      <c r="B413" s="22" t="str">
        <f>IF(MOV_CC_NACIONAL!B413="","",MOV_CC_NACIONAL!B413)</f>
        <v/>
      </c>
      <c r="C413" s="21" t="str">
        <f>IF(MOV_CC_NACIONAL!C413="","",MOV_CC_NACIONAL!C413)</f>
        <v/>
      </c>
      <c r="D413" s="22" t="str">
        <f t="shared" si="1"/>
        <v>Other</v>
      </c>
    </row>
    <row r="414" ht="15.75" customHeight="1">
      <c r="A414" s="22" t="str">
        <f>IF(MOV_CC_NACIONAL!A414="","",MOV_CC_NACIONAL!A414)</f>
        <v/>
      </c>
      <c r="B414" s="22" t="str">
        <f>IF(MOV_CC_NACIONAL!B414="","",MOV_CC_NACIONAL!B414)</f>
        <v/>
      </c>
      <c r="C414" s="21" t="str">
        <f>IF(MOV_CC_NACIONAL!C414="","",MOV_CC_NACIONAL!C414)</f>
        <v/>
      </c>
      <c r="D414" s="22" t="str">
        <f t="shared" si="1"/>
        <v>Other</v>
      </c>
    </row>
    <row r="415" ht="15.75" customHeight="1">
      <c r="A415" s="22" t="str">
        <f>IF(MOV_CC_NACIONAL!A415="","",MOV_CC_NACIONAL!A415)</f>
        <v/>
      </c>
      <c r="B415" s="22" t="str">
        <f>IF(MOV_CC_NACIONAL!B415="","",MOV_CC_NACIONAL!B415)</f>
        <v/>
      </c>
      <c r="C415" s="21" t="str">
        <f>IF(MOV_CC_NACIONAL!C415="","",MOV_CC_NACIONAL!C415)</f>
        <v/>
      </c>
      <c r="D415" s="22" t="str">
        <f t="shared" si="1"/>
        <v>Other</v>
      </c>
    </row>
    <row r="416" ht="15.75" customHeight="1">
      <c r="A416" s="22" t="str">
        <f>IF(MOV_CC_NACIONAL!A416="","",MOV_CC_NACIONAL!A416)</f>
        <v/>
      </c>
      <c r="B416" s="22" t="str">
        <f>IF(MOV_CC_NACIONAL!B416="","",MOV_CC_NACIONAL!B416)</f>
        <v/>
      </c>
      <c r="C416" s="21" t="str">
        <f>IF(MOV_CC_NACIONAL!C416="","",MOV_CC_NACIONAL!C416)</f>
        <v/>
      </c>
      <c r="D416" s="22" t="str">
        <f t="shared" si="1"/>
        <v>Other</v>
      </c>
    </row>
    <row r="417" ht="15.75" customHeight="1">
      <c r="A417" s="22" t="str">
        <f>IF(MOV_CC_NACIONAL!A417="","",MOV_CC_NACIONAL!A417)</f>
        <v/>
      </c>
      <c r="B417" s="22" t="str">
        <f>IF(MOV_CC_NACIONAL!B417="","",MOV_CC_NACIONAL!B417)</f>
        <v/>
      </c>
      <c r="C417" s="21" t="str">
        <f>IF(MOV_CC_NACIONAL!C417="","",MOV_CC_NACIONAL!C417)</f>
        <v/>
      </c>
      <c r="D417" s="22" t="str">
        <f t="shared" si="1"/>
        <v>Other</v>
      </c>
    </row>
    <row r="418" ht="15.75" customHeight="1">
      <c r="A418" s="22" t="str">
        <f>IF(MOV_CC_NACIONAL!A418="","",MOV_CC_NACIONAL!A418)</f>
        <v/>
      </c>
      <c r="B418" s="22" t="str">
        <f>IF(MOV_CC_NACIONAL!B418="","",MOV_CC_NACIONAL!B418)</f>
        <v/>
      </c>
      <c r="C418" s="21" t="str">
        <f>IF(MOV_CC_NACIONAL!C418="","",MOV_CC_NACIONAL!C418)</f>
        <v/>
      </c>
      <c r="D418" s="22" t="str">
        <f t="shared" si="1"/>
        <v>Other</v>
      </c>
    </row>
    <row r="419" ht="15.75" customHeight="1">
      <c r="A419" s="22" t="str">
        <f>IF(MOV_CC_NACIONAL!A419="","",MOV_CC_NACIONAL!A419)</f>
        <v/>
      </c>
      <c r="B419" s="22" t="str">
        <f>IF(MOV_CC_NACIONAL!B419="","",MOV_CC_NACIONAL!B419)</f>
        <v/>
      </c>
      <c r="C419" s="21" t="str">
        <f>IF(MOV_CC_NACIONAL!C419="","",MOV_CC_NACIONAL!C419)</f>
        <v/>
      </c>
      <c r="D419" s="22" t="str">
        <f t="shared" si="1"/>
        <v>Other</v>
      </c>
    </row>
    <row r="420" ht="15.75" customHeight="1">
      <c r="A420" s="22" t="str">
        <f>IF(MOV_CC_NACIONAL!A420="","",MOV_CC_NACIONAL!A420)</f>
        <v/>
      </c>
      <c r="B420" s="22" t="str">
        <f>IF(MOV_CC_NACIONAL!B420="","",MOV_CC_NACIONAL!B420)</f>
        <v/>
      </c>
      <c r="C420" s="21" t="str">
        <f>IF(MOV_CC_NACIONAL!C420="","",MOV_CC_NACIONAL!C420)</f>
        <v/>
      </c>
      <c r="D420" s="22" t="str">
        <f t="shared" si="1"/>
        <v>Other</v>
      </c>
    </row>
    <row r="421" ht="15.75" customHeight="1">
      <c r="A421" s="22" t="str">
        <f>IF(MOV_CC_NACIONAL!A421="","",MOV_CC_NACIONAL!A421)</f>
        <v/>
      </c>
      <c r="B421" s="22" t="str">
        <f>IF(MOV_CC_NACIONAL!B421="","",MOV_CC_NACIONAL!B421)</f>
        <v/>
      </c>
      <c r="C421" s="21" t="str">
        <f>IF(MOV_CC_NACIONAL!C421="","",MOV_CC_NACIONAL!C421)</f>
        <v/>
      </c>
      <c r="D421" s="22" t="str">
        <f t="shared" si="1"/>
        <v>Other</v>
      </c>
    </row>
    <row r="422" ht="15.75" customHeight="1">
      <c r="A422" s="22" t="str">
        <f>IF(MOV_CC_NACIONAL!A422="","",MOV_CC_NACIONAL!A422)</f>
        <v/>
      </c>
      <c r="B422" s="22" t="str">
        <f>IF(MOV_CC_NACIONAL!B422="","",MOV_CC_NACIONAL!B422)</f>
        <v/>
      </c>
      <c r="C422" s="21" t="str">
        <f>IF(MOV_CC_NACIONAL!C422="","",MOV_CC_NACIONAL!C422)</f>
        <v/>
      </c>
      <c r="D422" s="22" t="str">
        <f t="shared" si="1"/>
        <v>Other</v>
      </c>
    </row>
    <row r="423" ht="15.75" customHeight="1">
      <c r="A423" s="22" t="str">
        <f>IF(MOV_CC_NACIONAL!A423="","",MOV_CC_NACIONAL!A423)</f>
        <v/>
      </c>
      <c r="B423" s="22" t="str">
        <f>IF(MOV_CC_NACIONAL!B423="","",MOV_CC_NACIONAL!B423)</f>
        <v/>
      </c>
      <c r="C423" s="21" t="str">
        <f>IF(MOV_CC_NACIONAL!C423="","",MOV_CC_NACIONAL!C423)</f>
        <v/>
      </c>
      <c r="D423" s="22" t="str">
        <f t="shared" si="1"/>
        <v>Other</v>
      </c>
    </row>
    <row r="424" ht="15.75" customHeight="1">
      <c r="A424" s="22" t="str">
        <f>IF(MOV_CC_NACIONAL!A424="","",MOV_CC_NACIONAL!A424)</f>
        <v/>
      </c>
      <c r="B424" s="22" t="str">
        <f>IF(MOV_CC_NACIONAL!B424="","",MOV_CC_NACIONAL!B424)</f>
        <v/>
      </c>
      <c r="C424" s="21" t="str">
        <f>IF(MOV_CC_NACIONAL!C424="","",MOV_CC_NACIONAL!C424)</f>
        <v/>
      </c>
      <c r="D424" s="22" t="str">
        <f t="shared" si="1"/>
        <v>Other</v>
      </c>
    </row>
    <row r="425" ht="15.75" customHeight="1">
      <c r="A425" s="22" t="str">
        <f>IF(MOV_CC_NACIONAL!A425="","",MOV_CC_NACIONAL!A425)</f>
        <v/>
      </c>
      <c r="B425" s="22" t="str">
        <f>IF(MOV_CC_NACIONAL!B425="","",MOV_CC_NACIONAL!B425)</f>
        <v/>
      </c>
      <c r="C425" s="21" t="str">
        <f>IF(MOV_CC_NACIONAL!C425="","",MOV_CC_NACIONAL!C425)</f>
        <v/>
      </c>
      <c r="D425" s="22" t="str">
        <f t="shared" si="1"/>
        <v>Other</v>
      </c>
    </row>
    <row r="426" ht="15.75" customHeight="1">
      <c r="A426" s="22" t="str">
        <f>IF(MOV_CC_NACIONAL!A426="","",MOV_CC_NACIONAL!A426)</f>
        <v/>
      </c>
      <c r="B426" s="22" t="str">
        <f>IF(MOV_CC_NACIONAL!B426="","",MOV_CC_NACIONAL!B426)</f>
        <v/>
      </c>
      <c r="C426" s="21" t="str">
        <f>IF(MOV_CC_NACIONAL!C426="","",MOV_CC_NACIONAL!C426)</f>
        <v/>
      </c>
      <c r="D426" s="22" t="str">
        <f t="shared" si="1"/>
        <v>Other</v>
      </c>
    </row>
    <row r="427" ht="15.75" customHeight="1">
      <c r="A427" s="22" t="str">
        <f>IF(MOV_CC_NACIONAL!A427="","",MOV_CC_NACIONAL!A427)</f>
        <v/>
      </c>
      <c r="B427" s="22" t="str">
        <f>IF(MOV_CC_NACIONAL!B427="","",MOV_CC_NACIONAL!B427)</f>
        <v/>
      </c>
      <c r="C427" s="21" t="str">
        <f>IF(MOV_CC_NACIONAL!C427="","",MOV_CC_NACIONAL!C427)</f>
        <v/>
      </c>
      <c r="D427" s="22" t="str">
        <f t="shared" si="1"/>
        <v>Other</v>
      </c>
    </row>
    <row r="428" ht="15.75" customHeight="1">
      <c r="A428" s="22" t="str">
        <f>IF(MOV_CC_NACIONAL!A428="","",MOV_CC_NACIONAL!A428)</f>
        <v/>
      </c>
      <c r="B428" s="22" t="str">
        <f>IF(MOV_CC_NACIONAL!B428="","",MOV_CC_NACIONAL!B428)</f>
        <v/>
      </c>
      <c r="C428" s="21" t="str">
        <f>IF(MOV_CC_NACIONAL!C428="","",MOV_CC_NACIONAL!C428)</f>
        <v/>
      </c>
      <c r="D428" s="22" t="str">
        <f t="shared" si="1"/>
        <v>Other</v>
      </c>
    </row>
    <row r="429" ht="15.75" customHeight="1">
      <c r="A429" s="22" t="str">
        <f>IF(MOV_CC_NACIONAL!A429="","",MOV_CC_NACIONAL!A429)</f>
        <v/>
      </c>
      <c r="B429" s="22" t="str">
        <f>IF(MOV_CC_NACIONAL!B429="","",MOV_CC_NACIONAL!B429)</f>
        <v/>
      </c>
      <c r="C429" s="21" t="str">
        <f>IF(MOV_CC_NACIONAL!C429="","",MOV_CC_NACIONAL!C429)</f>
        <v/>
      </c>
      <c r="D429" s="22" t="str">
        <f t="shared" si="1"/>
        <v>Other</v>
      </c>
    </row>
    <row r="430" ht="15.75" customHeight="1">
      <c r="A430" s="22" t="str">
        <f>IF(MOV_CC_NACIONAL!A430="","",MOV_CC_NACIONAL!A430)</f>
        <v/>
      </c>
      <c r="B430" s="22" t="str">
        <f>IF(MOV_CC_NACIONAL!B430="","",MOV_CC_NACIONAL!B430)</f>
        <v/>
      </c>
      <c r="C430" s="21" t="str">
        <f>IF(MOV_CC_NACIONAL!C430="","",MOV_CC_NACIONAL!C430)</f>
        <v/>
      </c>
      <c r="D430" s="22" t="str">
        <f t="shared" si="1"/>
        <v>Other</v>
      </c>
    </row>
    <row r="431" ht="15.75" customHeight="1">
      <c r="A431" s="22" t="str">
        <f>IF(MOV_CC_NACIONAL!A431="","",MOV_CC_NACIONAL!A431)</f>
        <v/>
      </c>
      <c r="B431" s="22" t="str">
        <f>IF(MOV_CC_NACIONAL!B431="","",MOV_CC_NACIONAL!B431)</f>
        <v/>
      </c>
      <c r="C431" s="21" t="str">
        <f>IF(MOV_CC_NACIONAL!C431="","",MOV_CC_NACIONAL!C431)</f>
        <v/>
      </c>
      <c r="D431" s="22" t="str">
        <f t="shared" si="1"/>
        <v>Other</v>
      </c>
    </row>
    <row r="432" ht="15.75" customHeight="1">
      <c r="A432" s="22" t="str">
        <f>IF(MOV_CC_NACIONAL!A432="","",MOV_CC_NACIONAL!A432)</f>
        <v/>
      </c>
      <c r="B432" s="22" t="str">
        <f>IF(MOV_CC_NACIONAL!B432="","",MOV_CC_NACIONAL!B432)</f>
        <v/>
      </c>
      <c r="C432" s="21" t="str">
        <f>IF(MOV_CC_NACIONAL!C432="","",MOV_CC_NACIONAL!C432)</f>
        <v/>
      </c>
      <c r="D432" s="22" t="str">
        <f t="shared" si="1"/>
        <v>Other</v>
      </c>
    </row>
    <row r="433" ht="15.75" customHeight="1">
      <c r="A433" s="22" t="str">
        <f>IF(MOV_CC_NACIONAL!A433="","",MOV_CC_NACIONAL!A433)</f>
        <v/>
      </c>
      <c r="B433" s="22" t="str">
        <f>IF(MOV_CC_NACIONAL!B433="","",MOV_CC_NACIONAL!B433)</f>
        <v/>
      </c>
      <c r="C433" s="21" t="str">
        <f>IF(MOV_CC_NACIONAL!C433="","",MOV_CC_NACIONAL!C433)</f>
        <v/>
      </c>
      <c r="D433" s="22" t="str">
        <f t="shared" si="1"/>
        <v>Other</v>
      </c>
    </row>
    <row r="434" ht="15.75" customHeight="1">
      <c r="A434" s="22" t="str">
        <f>IF(MOV_CC_NACIONAL!A434="","",MOV_CC_NACIONAL!A434)</f>
        <v/>
      </c>
      <c r="B434" s="22" t="str">
        <f>IF(MOV_CC_NACIONAL!B434="","",MOV_CC_NACIONAL!B434)</f>
        <v/>
      </c>
      <c r="C434" s="21" t="str">
        <f>IF(MOV_CC_NACIONAL!C434="","",MOV_CC_NACIONAL!C434)</f>
        <v/>
      </c>
      <c r="D434" s="22" t="str">
        <f t="shared" si="1"/>
        <v>Other</v>
      </c>
    </row>
    <row r="435" ht="15.75" customHeight="1">
      <c r="A435" s="22" t="str">
        <f>IF(MOV_CC_NACIONAL!A435="","",MOV_CC_NACIONAL!A435)</f>
        <v/>
      </c>
      <c r="B435" s="22" t="str">
        <f>IF(MOV_CC_NACIONAL!B435="","",MOV_CC_NACIONAL!B435)</f>
        <v/>
      </c>
      <c r="C435" s="21" t="str">
        <f>IF(MOV_CC_NACIONAL!C435="","",MOV_CC_NACIONAL!C435)</f>
        <v/>
      </c>
      <c r="D435" s="22" t="str">
        <f t="shared" si="1"/>
        <v>Other</v>
      </c>
    </row>
    <row r="436" ht="15.75" customHeight="1">
      <c r="A436" s="22" t="str">
        <f>IF(MOV_CC_NACIONAL!A436="","",MOV_CC_NACIONAL!A436)</f>
        <v/>
      </c>
      <c r="B436" s="22" t="str">
        <f>IF(MOV_CC_NACIONAL!B436="","",MOV_CC_NACIONAL!B436)</f>
        <v/>
      </c>
      <c r="C436" s="21" t="str">
        <f>IF(MOV_CC_NACIONAL!C436="","",MOV_CC_NACIONAL!C436)</f>
        <v/>
      </c>
      <c r="D436" s="22" t="str">
        <f t="shared" si="1"/>
        <v>Other</v>
      </c>
    </row>
    <row r="437" ht="15.75" customHeight="1">
      <c r="A437" s="22" t="str">
        <f>IF(MOV_CC_NACIONAL!A437="","",MOV_CC_NACIONAL!A437)</f>
        <v/>
      </c>
      <c r="B437" s="22" t="str">
        <f>IF(MOV_CC_NACIONAL!B437="","",MOV_CC_NACIONAL!B437)</f>
        <v/>
      </c>
      <c r="C437" s="21" t="str">
        <f>IF(MOV_CC_NACIONAL!C437="","",MOV_CC_NACIONAL!C437)</f>
        <v/>
      </c>
      <c r="D437" s="22" t="str">
        <f t="shared" si="1"/>
        <v>Other</v>
      </c>
    </row>
    <row r="438" ht="15.75" customHeight="1">
      <c r="A438" s="22" t="str">
        <f>IF(MOV_CC_NACIONAL!A438="","",MOV_CC_NACIONAL!A438)</f>
        <v/>
      </c>
      <c r="B438" s="22" t="str">
        <f>IF(MOV_CC_NACIONAL!B438="","",MOV_CC_NACIONAL!B438)</f>
        <v/>
      </c>
      <c r="C438" s="21" t="str">
        <f>IF(MOV_CC_NACIONAL!C438="","",MOV_CC_NACIONAL!C438)</f>
        <v/>
      </c>
      <c r="D438" s="22" t="str">
        <f t="shared" si="1"/>
        <v>Other</v>
      </c>
    </row>
    <row r="439" ht="15.75" customHeight="1">
      <c r="A439" s="22" t="str">
        <f>IF(MOV_CC_NACIONAL!A439="","",MOV_CC_NACIONAL!A439)</f>
        <v/>
      </c>
      <c r="B439" s="22" t="str">
        <f>IF(MOV_CC_NACIONAL!B439="","",MOV_CC_NACIONAL!B439)</f>
        <v/>
      </c>
      <c r="C439" s="21" t="str">
        <f>IF(MOV_CC_NACIONAL!C439="","",MOV_CC_NACIONAL!C439)</f>
        <v/>
      </c>
      <c r="D439" s="22" t="str">
        <f t="shared" si="1"/>
        <v>Other</v>
      </c>
    </row>
    <row r="440" ht="15.75" customHeight="1">
      <c r="A440" s="22" t="str">
        <f>IF(MOV_CC_NACIONAL!A440="","",MOV_CC_NACIONAL!A440)</f>
        <v/>
      </c>
      <c r="B440" s="22" t="str">
        <f>IF(MOV_CC_NACIONAL!B440="","",MOV_CC_NACIONAL!B440)</f>
        <v/>
      </c>
      <c r="C440" s="21" t="str">
        <f>IF(MOV_CC_NACIONAL!C440="","",MOV_CC_NACIONAL!C440)</f>
        <v/>
      </c>
      <c r="D440" s="22" t="str">
        <f t="shared" si="1"/>
        <v>Other</v>
      </c>
    </row>
    <row r="441" ht="15.75" customHeight="1">
      <c r="A441" s="22" t="str">
        <f>IF(MOV_CC_NACIONAL!A441="","",MOV_CC_NACIONAL!A441)</f>
        <v/>
      </c>
      <c r="B441" s="22" t="str">
        <f>IF(MOV_CC_NACIONAL!B441="","",MOV_CC_NACIONAL!B441)</f>
        <v/>
      </c>
      <c r="C441" s="21" t="str">
        <f>IF(MOV_CC_NACIONAL!C441="","",MOV_CC_NACIONAL!C441)</f>
        <v/>
      </c>
      <c r="D441" s="22" t="str">
        <f t="shared" si="1"/>
        <v>Other</v>
      </c>
    </row>
    <row r="442" ht="15.75" customHeight="1">
      <c r="A442" s="22" t="str">
        <f>IF(MOV_CC_NACIONAL!A442="","",MOV_CC_NACIONAL!A442)</f>
        <v/>
      </c>
      <c r="B442" s="22" t="str">
        <f>IF(MOV_CC_NACIONAL!B442="","",MOV_CC_NACIONAL!B442)</f>
        <v/>
      </c>
      <c r="C442" s="21" t="str">
        <f>IF(MOV_CC_NACIONAL!C442="","",MOV_CC_NACIONAL!C442)</f>
        <v/>
      </c>
      <c r="D442" s="22" t="str">
        <f t="shared" si="1"/>
        <v>Other</v>
      </c>
    </row>
    <row r="443" ht="15.75" customHeight="1">
      <c r="A443" s="22" t="str">
        <f>IF(MOV_CC_NACIONAL!A443="","",MOV_CC_NACIONAL!A443)</f>
        <v/>
      </c>
      <c r="B443" s="22" t="str">
        <f>IF(MOV_CC_NACIONAL!B443="","",MOV_CC_NACIONAL!B443)</f>
        <v/>
      </c>
      <c r="C443" s="21" t="str">
        <f>IF(MOV_CC_NACIONAL!C443="","",MOV_CC_NACIONAL!C443)</f>
        <v/>
      </c>
      <c r="D443" s="22" t="str">
        <f t="shared" si="1"/>
        <v>Other</v>
      </c>
    </row>
    <row r="444" ht="15.75" customHeight="1">
      <c r="A444" s="22" t="str">
        <f>IF(MOV_CC_NACIONAL!A444="","",MOV_CC_NACIONAL!A444)</f>
        <v/>
      </c>
      <c r="B444" s="22" t="str">
        <f>IF(MOV_CC_NACIONAL!B444="","",MOV_CC_NACIONAL!B444)</f>
        <v/>
      </c>
      <c r="C444" s="21" t="str">
        <f>IF(MOV_CC_NACIONAL!C444="","",MOV_CC_NACIONAL!C444)</f>
        <v/>
      </c>
      <c r="D444" s="22" t="str">
        <f t="shared" si="1"/>
        <v>Other</v>
      </c>
    </row>
    <row r="445" ht="15.75" customHeight="1">
      <c r="A445" s="22" t="str">
        <f>IF(MOV_CC_NACIONAL!A445="","",MOV_CC_NACIONAL!A445)</f>
        <v/>
      </c>
      <c r="B445" s="22" t="str">
        <f>IF(MOV_CC_NACIONAL!B445="","",MOV_CC_NACIONAL!B445)</f>
        <v/>
      </c>
      <c r="C445" s="21" t="str">
        <f>IF(MOV_CC_NACIONAL!C445="","",MOV_CC_NACIONAL!C445)</f>
        <v/>
      </c>
      <c r="D445" s="22" t="str">
        <f t="shared" si="1"/>
        <v>Other</v>
      </c>
    </row>
    <row r="446" ht="15.75" customHeight="1">
      <c r="A446" s="22" t="str">
        <f>IF(MOV_CC_NACIONAL!A446="","",MOV_CC_NACIONAL!A446)</f>
        <v/>
      </c>
      <c r="B446" s="22" t="str">
        <f>IF(MOV_CC_NACIONAL!B446="","",MOV_CC_NACIONAL!B446)</f>
        <v/>
      </c>
      <c r="C446" s="21" t="str">
        <f>IF(MOV_CC_NACIONAL!C446="","",MOV_CC_NACIONAL!C446)</f>
        <v/>
      </c>
      <c r="D446" s="22" t="str">
        <f t="shared" si="1"/>
        <v>Other</v>
      </c>
    </row>
    <row r="447" ht="15.75" customHeight="1">
      <c r="A447" s="22" t="str">
        <f>IF(MOV_CC_NACIONAL!A447="","",MOV_CC_NACIONAL!A447)</f>
        <v/>
      </c>
      <c r="B447" s="22" t="str">
        <f>IF(MOV_CC_NACIONAL!B447="","",MOV_CC_NACIONAL!B447)</f>
        <v/>
      </c>
      <c r="C447" s="21" t="str">
        <f>IF(MOV_CC_NACIONAL!C447="","",MOV_CC_NACIONAL!C447)</f>
        <v/>
      </c>
      <c r="D447" s="22" t="str">
        <f t="shared" si="1"/>
        <v>Other</v>
      </c>
    </row>
    <row r="448" ht="15.75" customHeight="1">
      <c r="A448" s="22" t="str">
        <f>IF(MOV_CC_NACIONAL!A448="","",MOV_CC_NACIONAL!A448)</f>
        <v/>
      </c>
      <c r="B448" s="22" t="str">
        <f>IF(MOV_CC_NACIONAL!B448="","",MOV_CC_NACIONAL!B448)</f>
        <v/>
      </c>
      <c r="C448" s="21" t="str">
        <f>IF(MOV_CC_NACIONAL!C448="","",MOV_CC_NACIONAL!C448)</f>
        <v/>
      </c>
      <c r="D448" s="22" t="str">
        <f t="shared" si="1"/>
        <v>Other</v>
      </c>
    </row>
    <row r="449" ht="15.75" customHeight="1">
      <c r="A449" s="22" t="str">
        <f>IF(MOV_CC_NACIONAL!A449="","",MOV_CC_NACIONAL!A449)</f>
        <v/>
      </c>
      <c r="B449" s="22" t="str">
        <f>IF(MOV_CC_NACIONAL!B449="","",MOV_CC_NACIONAL!B449)</f>
        <v/>
      </c>
      <c r="C449" s="21" t="str">
        <f>IF(MOV_CC_NACIONAL!C449="","",MOV_CC_NACIONAL!C449)</f>
        <v/>
      </c>
      <c r="D449" s="22" t="str">
        <f t="shared" si="1"/>
        <v>Other</v>
      </c>
    </row>
    <row r="450" ht="15.75" customHeight="1">
      <c r="A450" s="22" t="str">
        <f>IF(MOV_CC_NACIONAL!A450="","",MOV_CC_NACIONAL!A450)</f>
        <v/>
      </c>
      <c r="B450" s="22" t="str">
        <f>IF(MOV_CC_NACIONAL!B450="","",MOV_CC_NACIONAL!B450)</f>
        <v/>
      </c>
      <c r="C450" s="21" t="str">
        <f>IF(MOV_CC_NACIONAL!C450="","",MOV_CC_NACIONAL!C450)</f>
        <v/>
      </c>
      <c r="D450" s="22" t="str">
        <f t="shared" si="1"/>
        <v>Other</v>
      </c>
    </row>
    <row r="451" ht="15.75" customHeight="1">
      <c r="A451" s="22" t="str">
        <f>IF(MOV_CC_NACIONAL!A451="","",MOV_CC_NACIONAL!A451)</f>
        <v/>
      </c>
      <c r="B451" s="22" t="str">
        <f>IF(MOV_CC_NACIONAL!B451="","",MOV_CC_NACIONAL!B451)</f>
        <v/>
      </c>
      <c r="C451" s="21" t="str">
        <f>IF(MOV_CC_NACIONAL!C451="","",MOV_CC_NACIONAL!C451)</f>
        <v/>
      </c>
      <c r="D451" s="22" t="str">
        <f t="shared" si="1"/>
        <v>Other</v>
      </c>
    </row>
    <row r="452" ht="15.75" customHeight="1">
      <c r="A452" s="22" t="str">
        <f>IF(MOV_CC_NACIONAL!A452="","",MOV_CC_NACIONAL!A452)</f>
        <v/>
      </c>
      <c r="B452" s="22" t="str">
        <f>IF(MOV_CC_NACIONAL!B452="","",MOV_CC_NACIONAL!B452)</f>
        <v/>
      </c>
      <c r="C452" s="21" t="str">
        <f>IF(MOV_CC_NACIONAL!C452="","",MOV_CC_NACIONAL!C452)</f>
        <v/>
      </c>
      <c r="D452" s="22" t="str">
        <f t="shared" si="1"/>
        <v>Other</v>
      </c>
    </row>
    <row r="453" ht="15.75" customHeight="1">
      <c r="A453" s="22" t="str">
        <f>IF(MOV_CC_NACIONAL!A453="","",MOV_CC_NACIONAL!A453)</f>
        <v/>
      </c>
      <c r="B453" s="22" t="str">
        <f>IF(MOV_CC_NACIONAL!B453="","",MOV_CC_NACIONAL!B453)</f>
        <v/>
      </c>
      <c r="C453" s="21" t="str">
        <f>IF(MOV_CC_NACIONAL!C453="","",MOV_CC_NACIONAL!C453)</f>
        <v/>
      </c>
      <c r="D453" s="22" t="str">
        <f t="shared" si="1"/>
        <v>Other</v>
      </c>
    </row>
    <row r="454" ht="15.75" customHeight="1">
      <c r="A454" s="22" t="str">
        <f>IF(MOV_CC_NACIONAL!A454="","",MOV_CC_NACIONAL!A454)</f>
        <v/>
      </c>
      <c r="B454" s="22" t="str">
        <f>IF(MOV_CC_NACIONAL!B454="","",MOV_CC_NACIONAL!B454)</f>
        <v/>
      </c>
      <c r="C454" s="21" t="str">
        <f>IF(MOV_CC_NACIONAL!C454="","",MOV_CC_NACIONAL!C454)</f>
        <v/>
      </c>
      <c r="D454" s="22" t="str">
        <f t="shared" si="1"/>
        <v>Other</v>
      </c>
    </row>
    <row r="455" ht="15.75" customHeight="1">
      <c r="A455" s="22" t="str">
        <f>IF(MOV_CC_NACIONAL!A455="","",MOV_CC_NACIONAL!A455)</f>
        <v/>
      </c>
      <c r="B455" s="22" t="str">
        <f>IF(MOV_CC_NACIONAL!B455="","",MOV_CC_NACIONAL!B455)</f>
        <v/>
      </c>
      <c r="C455" s="21" t="str">
        <f>IF(MOV_CC_NACIONAL!C455="","",MOV_CC_NACIONAL!C455)</f>
        <v/>
      </c>
      <c r="D455" s="22" t="str">
        <f t="shared" si="1"/>
        <v>Other</v>
      </c>
    </row>
    <row r="456" ht="15.75" customHeight="1">
      <c r="A456" s="22" t="str">
        <f>IF(MOV_CC_NACIONAL!A456="","",MOV_CC_NACIONAL!A456)</f>
        <v/>
      </c>
      <c r="B456" s="22" t="str">
        <f>IF(MOV_CC_NACIONAL!B456="","",MOV_CC_NACIONAL!B456)</f>
        <v/>
      </c>
      <c r="C456" s="21" t="str">
        <f>IF(MOV_CC_NACIONAL!C456="","",MOV_CC_NACIONAL!C456)</f>
        <v/>
      </c>
      <c r="D456" s="22" t="str">
        <f t="shared" si="1"/>
        <v>Other</v>
      </c>
    </row>
    <row r="457" ht="15.75" customHeight="1">
      <c r="A457" s="22" t="str">
        <f>IF(MOV_CC_NACIONAL!A457="","",MOV_CC_NACIONAL!A457)</f>
        <v/>
      </c>
      <c r="B457" s="22" t="str">
        <f>IF(MOV_CC_NACIONAL!B457="","",MOV_CC_NACIONAL!B457)</f>
        <v/>
      </c>
      <c r="C457" s="21" t="str">
        <f>IF(MOV_CC_NACIONAL!C457="","",MOV_CC_NACIONAL!C457)</f>
        <v/>
      </c>
      <c r="D457" s="22" t="str">
        <f t="shared" si="1"/>
        <v>Other</v>
      </c>
    </row>
    <row r="458" ht="15.75" customHeight="1">
      <c r="A458" s="22" t="str">
        <f>IF(MOV_CC_NACIONAL!A458="","",MOV_CC_NACIONAL!A458)</f>
        <v/>
      </c>
      <c r="B458" s="22" t="str">
        <f>IF(MOV_CC_NACIONAL!B458="","",MOV_CC_NACIONAL!B458)</f>
        <v/>
      </c>
      <c r="C458" s="21" t="str">
        <f>IF(MOV_CC_NACIONAL!C458="","",MOV_CC_NACIONAL!C458)</f>
        <v/>
      </c>
      <c r="D458" s="22" t="str">
        <f t="shared" si="1"/>
        <v>Other</v>
      </c>
    </row>
    <row r="459" ht="15.75" customHeight="1">
      <c r="A459" s="22" t="str">
        <f>IF(MOV_CC_NACIONAL!A459="","",MOV_CC_NACIONAL!A459)</f>
        <v/>
      </c>
      <c r="B459" s="22" t="str">
        <f>IF(MOV_CC_NACIONAL!B459="","",MOV_CC_NACIONAL!B459)</f>
        <v/>
      </c>
      <c r="C459" s="21" t="str">
        <f>IF(MOV_CC_NACIONAL!C459="","",MOV_CC_NACIONAL!C459)</f>
        <v/>
      </c>
      <c r="D459" s="22" t="str">
        <f t="shared" si="1"/>
        <v>Other</v>
      </c>
    </row>
    <row r="460" ht="15.75" customHeight="1">
      <c r="A460" s="22" t="str">
        <f>IF(MOV_CC_NACIONAL!A460="","",MOV_CC_NACIONAL!A460)</f>
        <v/>
      </c>
      <c r="B460" s="22" t="str">
        <f>IF(MOV_CC_NACIONAL!B460="","",MOV_CC_NACIONAL!B460)</f>
        <v/>
      </c>
      <c r="C460" s="21" t="str">
        <f>IF(MOV_CC_NACIONAL!C460="","",MOV_CC_NACIONAL!C460)</f>
        <v/>
      </c>
      <c r="D460" s="22" t="str">
        <f t="shared" si="1"/>
        <v>Other</v>
      </c>
    </row>
    <row r="461" ht="15.75" customHeight="1">
      <c r="A461" s="22" t="str">
        <f>IF(MOV_CC_NACIONAL!A461="","",MOV_CC_NACIONAL!A461)</f>
        <v/>
      </c>
      <c r="B461" s="22" t="str">
        <f>IF(MOV_CC_NACIONAL!B461="","",MOV_CC_NACIONAL!B461)</f>
        <v/>
      </c>
      <c r="C461" s="21" t="str">
        <f>IF(MOV_CC_NACIONAL!C461="","",MOV_CC_NACIONAL!C461)</f>
        <v/>
      </c>
      <c r="D461" s="22" t="str">
        <f t="shared" si="1"/>
        <v>Other</v>
      </c>
    </row>
    <row r="462" ht="15.75" customHeight="1">
      <c r="A462" s="22" t="str">
        <f>IF(MOV_CC_NACIONAL!A462="","",MOV_CC_NACIONAL!A462)</f>
        <v/>
      </c>
      <c r="B462" s="22" t="str">
        <f>IF(MOV_CC_NACIONAL!B462="","",MOV_CC_NACIONAL!B462)</f>
        <v/>
      </c>
      <c r="C462" s="21" t="str">
        <f>IF(MOV_CC_NACIONAL!C462="","",MOV_CC_NACIONAL!C462)</f>
        <v/>
      </c>
      <c r="D462" s="22" t="str">
        <f t="shared" si="1"/>
        <v>Other</v>
      </c>
    </row>
    <row r="463" ht="15.75" customHeight="1">
      <c r="A463" s="22" t="str">
        <f>IF(MOV_CC_NACIONAL!A463="","",MOV_CC_NACIONAL!A463)</f>
        <v/>
      </c>
      <c r="B463" s="22" t="str">
        <f>IF(MOV_CC_NACIONAL!B463="","",MOV_CC_NACIONAL!B463)</f>
        <v/>
      </c>
      <c r="C463" s="21" t="str">
        <f>IF(MOV_CC_NACIONAL!C463="","",MOV_CC_NACIONAL!C463)</f>
        <v/>
      </c>
      <c r="D463" s="22" t="str">
        <f t="shared" si="1"/>
        <v>Other</v>
      </c>
    </row>
    <row r="464" ht="15.75" customHeight="1">
      <c r="A464" s="22" t="str">
        <f>IF(MOV_CC_NACIONAL!A464="","",MOV_CC_NACIONAL!A464)</f>
        <v/>
      </c>
      <c r="B464" s="22" t="str">
        <f>IF(MOV_CC_NACIONAL!B464="","",MOV_CC_NACIONAL!B464)</f>
        <v/>
      </c>
      <c r="C464" s="21" t="str">
        <f>IF(MOV_CC_NACIONAL!C464="","",MOV_CC_NACIONAL!C464)</f>
        <v/>
      </c>
      <c r="D464" s="22" t="str">
        <f t="shared" si="1"/>
        <v>Other</v>
      </c>
    </row>
    <row r="465" ht="15.75" customHeight="1">
      <c r="A465" s="22" t="str">
        <f>IF(MOV_CC_NACIONAL!A465="","",MOV_CC_NACIONAL!A465)</f>
        <v/>
      </c>
      <c r="B465" s="22" t="str">
        <f>IF(MOV_CC_NACIONAL!B465="","",MOV_CC_NACIONAL!B465)</f>
        <v/>
      </c>
      <c r="C465" s="21" t="str">
        <f>IF(MOV_CC_NACIONAL!C465="","",MOV_CC_NACIONAL!C465)</f>
        <v/>
      </c>
      <c r="D465" s="22" t="str">
        <f t="shared" si="1"/>
        <v>Other</v>
      </c>
    </row>
    <row r="466" ht="15.75" customHeight="1">
      <c r="A466" s="22" t="str">
        <f>IF(MOV_CC_NACIONAL!A466="","",MOV_CC_NACIONAL!A466)</f>
        <v/>
      </c>
      <c r="B466" s="22" t="str">
        <f>IF(MOV_CC_NACIONAL!B466="","",MOV_CC_NACIONAL!B466)</f>
        <v/>
      </c>
      <c r="C466" s="21" t="str">
        <f>IF(MOV_CC_NACIONAL!C466="","",MOV_CC_NACIONAL!C466)</f>
        <v/>
      </c>
      <c r="D466" s="22" t="str">
        <f t="shared" si="1"/>
        <v>Other</v>
      </c>
    </row>
    <row r="467" ht="15.75" customHeight="1">
      <c r="A467" s="22" t="str">
        <f>IF(MOV_CC_NACIONAL!A467="","",MOV_CC_NACIONAL!A467)</f>
        <v/>
      </c>
      <c r="B467" s="22" t="str">
        <f>IF(MOV_CC_NACIONAL!B467="","",MOV_CC_NACIONAL!B467)</f>
        <v/>
      </c>
      <c r="C467" s="21" t="str">
        <f>IF(MOV_CC_NACIONAL!C467="","",MOV_CC_NACIONAL!C467)</f>
        <v/>
      </c>
      <c r="D467" s="22" t="str">
        <f t="shared" si="1"/>
        <v>Other</v>
      </c>
    </row>
    <row r="468" ht="15.75" customHeight="1">
      <c r="A468" s="22" t="str">
        <f>IF(MOV_CC_NACIONAL!A468="","",MOV_CC_NACIONAL!A468)</f>
        <v/>
      </c>
      <c r="B468" s="22" t="str">
        <f>IF(MOV_CC_NACIONAL!B468="","",MOV_CC_NACIONAL!B468)</f>
        <v/>
      </c>
      <c r="C468" s="21" t="str">
        <f>IF(MOV_CC_NACIONAL!C468="","",MOV_CC_NACIONAL!C468)</f>
        <v/>
      </c>
      <c r="D468" s="22" t="str">
        <f t="shared" si="1"/>
        <v>Other</v>
      </c>
    </row>
    <row r="469" ht="15.75" customHeight="1">
      <c r="A469" s="22" t="str">
        <f>IF(MOV_CC_NACIONAL!A469="","",MOV_CC_NACIONAL!A469)</f>
        <v/>
      </c>
      <c r="B469" s="22" t="str">
        <f>IF(MOV_CC_NACIONAL!B469="","",MOV_CC_NACIONAL!B469)</f>
        <v/>
      </c>
      <c r="C469" s="21" t="str">
        <f>IF(MOV_CC_NACIONAL!C469="","",MOV_CC_NACIONAL!C469)</f>
        <v/>
      </c>
      <c r="D469" s="22" t="str">
        <f t="shared" si="1"/>
        <v>Other</v>
      </c>
    </row>
    <row r="470" ht="15.75" customHeight="1">
      <c r="A470" s="22" t="str">
        <f>IF(MOV_CC_NACIONAL!A470="","",MOV_CC_NACIONAL!A470)</f>
        <v/>
      </c>
      <c r="B470" s="22" t="str">
        <f>IF(MOV_CC_NACIONAL!B470="","",MOV_CC_NACIONAL!B470)</f>
        <v/>
      </c>
      <c r="C470" s="21" t="str">
        <f>IF(MOV_CC_NACIONAL!C470="","",MOV_CC_NACIONAL!C470)</f>
        <v/>
      </c>
      <c r="D470" s="22" t="str">
        <f t="shared" si="1"/>
        <v>Other</v>
      </c>
    </row>
    <row r="471" ht="15.75" customHeight="1">
      <c r="A471" s="22" t="str">
        <f>IF(MOV_CC_NACIONAL!A471="","",MOV_CC_NACIONAL!A471)</f>
        <v/>
      </c>
      <c r="B471" s="22" t="str">
        <f>IF(MOV_CC_NACIONAL!B471="","",MOV_CC_NACIONAL!B471)</f>
        <v/>
      </c>
      <c r="C471" s="21" t="str">
        <f>IF(MOV_CC_NACIONAL!C471="","",MOV_CC_NACIONAL!C471)</f>
        <v/>
      </c>
      <c r="D471" s="22" t="str">
        <f t="shared" si="1"/>
        <v>Other</v>
      </c>
    </row>
    <row r="472" ht="15.75" customHeight="1">
      <c r="A472" s="22" t="str">
        <f>IF(MOV_CC_NACIONAL!A472="","",MOV_CC_NACIONAL!A472)</f>
        <v/>
      </c>
      <c r="B472" s="22" t="str">
        <f>IF(MOV_CC_NACIONAL!B472="","",MOV_CC_NACIONAL!B472)</f>
        <v/>
      </c>
      <c r="C472" s="21" t="str">
        <f>IF(MOV_CC_NACIONAL!C472="","",MOV_CC_NACIONAL!C472)</f>
        <v/>
      </c>
      <c r="D472" s="22" t="str">
        <f t="shared" si="1"/>
        <v>Other</v>
      </c>
    </row>
    <row r="473" ht="15.75" customHeight="1">
      <c r="A473" s="22" t="str">
        <f>IF(MOV_CC_NACIONAL!A473="","",MOV_CC_NACIONAL!A473)</f>
        <v/>
      </c>
      <c r="B473" s="22" t="str">
        <f>IF(MOV_CC_NACIONAL!B473="","",MOV_CC_NACIONAL!B473)</f>
        <v/>
      </c>
      <c r="C473" s="21" t="str">
        <f>IF(MOV_CC_NACIONAL!C473="","",MOV_CC_NACIONAL!C473)</f>
        <v/>
      </c>
      <c r="D473" s="22" t="str">
        <f t="shared" si="1"/>
        <v>Other</v>
      </c>
    </row>
    <row r="474" ht="15.75" customHeight="1">
      <c r="A474" s="22" t="str">
        <f>IF(MOV_CC_NACIONAL!A474="","",MOV_CC_NACIONAL!A474)</f>
        <v/>
      </c>
      <c r="B474" s="22" t="str">
        <f>IF(MOV_CC_NACIONAL!B474="","",MOV_CC_NACIONAL!B474)</f>
        <v/>
      </c>
      <c r="C474" s="21" t="str">
        <f>IF(MOV_CC_NACIONAL!C474="","",MOV_CC_NACIONAL!C474)</f>
        <v/>
      </c>
      <c r="D474" s="22" t="str">
        <f t="shared" si="1"/>
        <v>Other</v>
      </c>
    </row>
    <row r="475" ht="15.75" customHeight="1">
      <c r="A475" s="22" t="str">
        <f>IF(MOV_CC_NACIONAL!A475="","",MOV_CC_NACIONAL!A475)</f>
        <v/>
      </c>
      <c r="B475" s="22" t="str">
        <f>IF(MOV_CC_NACIONAL!B475="","",MOV_CC_NACIONAL!B475)</f>
        <v/>
      </c>
      <c r="C475" s="21" t="str">
        <f>IF(MOV_CC_NACIONAL!C475="","",MOV_CC_NACIONAL!C475)</f>
        <v/>
      </c>
      <c r="D475" s="22" t="str">
        <f t="shared" si="1"/>
        <v>Other</v>
      </c>
    </row>
    <row r="476" ht="15.75" customHeight="1">
      <c r="A476" s="22" t="str">
        <f>IF(MOV_CC_NACIONAL!A476="","",MOV_CC_NACIONAL!A476)</f>
        <v/>
      </c>
      <c r="B476" s="22" t="str">
        <f>IF(MOV_CC_NACIONAL!B476="","",MOV_CC_NACIONAL!B476)</f>
        <v/>
      </c>
      <c r="C476" s="21" t="str">
        <f>IF(MOV_CC_NACIONAL!C476="","",MOV_CC_NACIONAL!C476)</f>
        <v/>
      </c>
      <c r="D476" s="22" t="str">
        <f t="shared" si="1"/>
        <v>Other</v>
      </c>
    </row>
    <row r="477" ht="15.75" customHeight="1">
      <c r="A477" s="22" t="str">
        <f>IF(MOV_CC_NACIONAL!A477="","",MOV_CC_NACIONAL!A477)</f>
        <v/>
      </c>
      <c r="B477" s="22" t="str">
        <f>IF(MOV_CC_NACIONAL!B477="","",MOV_CC_NACIONAL!B477)</f>
        <v/>
      </c>
      <c r="C477" s="21" t="str">
        <f>IF(MOV_CC_NACIONAL!C477="","",MOV_CC_NACIONAL!C477)</f>
        <v/>
      </c>
      <c r="D477" s="22" t="str">
        <f t="shared" si="1"/>
        <v>Other</v>
      </c>
    </row>
    <row r="478" ht="15.75" customHeight="1">
      <c r="A478" s="22" t="str">
        <f>IF(MOV_CC_NACIONAL!A478="","",MOV_CC_NACIONAL!A478)</f>
        <v/>
      </c>
      <c r="B478" s="22" t="str">
        <f>IF(MOV_CC_NACIONAL!B478="","",MOV_CC_NACIONAL!B478)</f>
        <v/>
      </c>
      <c r="C478" s="21" t="str">
        <f>IF(MOV_CC_NACIONAL!C478="","",MOV_CC_NACIONAL!C478)</f>
        <v/>
      </c>
      <c r="D478" s="22" t="str">
        <f t="shared" si="1"/>
        <v>Other</v>
      </c>
    </row>
    <row r="479" ht="15.75" customHeight="1">
      <c r="A479" s="22" t="str">
        <f>IF(MOV_CC_NACIONAL!A479="","",MOV_CC_NACIONAL!A479)</f>
        <v/>
      </c>
      <c r="B479" s="22" t="str">
        <f>IF(MOV_CC_NACIONAL!B479="","",MOV_CC_NACIONAL!B479)</f>
        <v/>
      </c>
      <c r="C479" s="21" t="str">
        <f>IF(MOV_CC_NACIONAL!C479="","",MOV_CC_NACIONAL!C479)</f>
        <v/>
      </c>
      <c r="D479" s="22" t="str">
        <f t="shared" si="1"/>
        <v>Other</v>
      </c>
    </row>
    <row r="480" ht="15.75" customHeight="1">
      <c r="A480" s="22" t="str">
        <f>IF(MOV_CC_NACIONAL!A480="","",MOV_CC_NACIONAL!A480)</f>
        <v/>
      </c>
      <c r="B480" s="22" t="str">
        <f>IF(MOV_CC_NACIONAL!B480="","",MOV_CC_NACIONAL!B480)</f>
        <v/>
      </c>
      <c r="C480" s="21" t="str">
        <f>IF(MOV_CC_NACIONAL!C480="","",MOV_CC_NACIONAL!C480)</f>
        <v/>
      </c>
      <c r="D480" s="22" t="str">
        <f t="shared" si="1"/>
        <v>Other</v>
      </c>
    </row>
    <row r="481" ht="15.75" customHeight="1">
      <c r="A481" s="22" t="str">
        <f>IF(MOV_CC_NACIONAL!A481="","",MOV_CC_NACIONAL!A481)</f>
        <v/>
      </c>
      <c r="B481" s="22" t="str">
        <f>IF(MOV_CC_NACIONAL!B481="","",MOV_CC_NACIONAL!B481)</f>
        <v/>
      </c>
      <c r="C481" s="21" t="str">
        <f>IF(MOV_CC_NACIONAL!C481="","",MOV_CC_NACIONAL!C481)</f>
        <v/>
      </c>
      <c r="D481" s="22" t="str">
        <f t="shared" si="1"/>
        <v>Other</v>
      </c>
    </row>
    <row r="482" ht="15.75" customHeight="1">
      <c r="A482" s="22" t="str">
        <f>IF(MOV_CC_NACIONAL!A482="","",MOV_CC_NACIONAL!A482)</f>
        <v/>
      </c>
      <c r="B482" s="22" t="str">
        <f>IF(MOV_CC_NACIONAL!B482="","",MOV_CC_NACIONAL!B482)</f>
        <v/>
      </c>
      <c r="C482" s="21" t="str">
        <f>IF(MOV_CC_NACIONAL!C482="","",MOV_CC_NACIONAL!C482)</f>
        <v/>
      </c>
      <c r="D482" s="22" t="str">
        <f t="shared" si="1"/>
        <v>Other</v>
      </c>
    </row>
    <row r="483" ht="15.75" customHeight="1">
      <c r="A483" s="22" t="str">
        <f>IF(MOV_CC_NACIONAL!A483="","",MOV_CC_NACIONAL!A483)</f>
        <v/>
      </c>
      <c r="B483" s="22" t="str">
        <f>IF(MOV_CC_NACIONAL!B483="","",MOV_CC_NACIONAL!B483)</f>
        <v/>
      </c>
      <c r="C483" s="21" t="str">
        <f>IF(MOV_CC_NACIONAL!C483="","",MOV_CC_NACIONAL!C483)</f>
        <v/>
      </c>
      <c r="D483" s="22" t="str">
        <f t="shared" si="1"/>
        <v>Other</v>
      </c>
    </row>
    <row r="484" ht="15.75" customHeight="1">
      <c r="A484" s="22" t="str">
        <f>IF(MOV_CC_NACIONAL!A484="","",MOV_CC_NACIONAL!A484)</f>
        <v/>
      </c>
      <c r="B484" s="22" t="str">
        <f>IF(MOV_CC_NACIONAL!B484="","",MOV_CC_NACIONAL!B484)</f>
        <v/>
      </c>
      <c r="C484" s="21" t="str">
        <f>IF(MOV_CC_NACIONAL!C484="","",MOV_CC_NACIONAL!C484)</f>
        <v/>
      </c>
      <c r="D484" s="22" t="str">
        <f t="shared" si="1"/>
        <v>Other</v>
      </c>
    </row>
    <row r="485" ht="15.75" customHeight="1">
      <c r="A485" s="22" t="str">
        <f>IF(MOV_CC_NACIONAL!A485="","",MOV_CC_NACIONAL!A485)</f>
        <v/>
      </c>
      <c r="B485" s="22" t="str">
        <f>IF(MOV_CC_NACIONAL!B485="","",MOV_CC_NACIONAL!B485)</f>
        <v/>
      </c>
      <c r="C485" s="21" t="str">
        <f>IF(MOV_CC_NACIONAL!C485="","",MOV_CC_NACIONAL!C485)</f>
        <v/>
      </c>
      <c r="D485" s="22" t="str">
        <f t="shared" si="1"/>
        <v>Other</v>
      </c>
    </row>
    <row r="486" ht="15.75" customHeight="1">
      <c r="A486" s="22" t="str">
        <f>IF(MOV_CC_NACIONAL!A486="","",MOV_CC_NACIONAL!A486)</f>
        <v/>
      </c>
      <c r="B486" s="22" t="str">
        <f>IF(MOV_CC_NACIONAL!B486="","",MOV_CC_NACIONAL!B486)</f>
        <v/>
      </c>
      <c r="C486" s="21" t="str">
        <f>IF(MOV_CC_NACIONAL!C486="","",MOV_CC_NACIONAL!C486)</f>
        <v/>
      </c>
      <c r="D486" s="22" t="str">
        <f t="shared" si="1"/>
        <v>Other</v>
      </c>
    </row>
    <row r="487" ht="15.75" customHeight="1">
      <c r="A487" s="22" t="str">
        <f>IF(MOV_CC_NACIONAL!A487="","",MOV_CC_NACIONAL!A487)</f>
        <v/>
      </c>
      <c r="B487" s="22" t="str">
        <f>IF(MOV_CC_NACIONAL!B487="","",MOV_CC_NACIONAL!B487)</f>
        <v/>
      </c>
      <c r="C487" s="21" t="str">
        <f>IF(MOV_CC_NACIONAL!C487="","",MOV_CC_NACIONAL!C487)</f>
        <v/>
      </c>
      <c r="D487" s="22" t="str">
        <f t="shared" si="1"/>
        <v>Other</v>
      </c>
    </row>
    <row r="488" ht="15.75" customHeight="1">
      <c r="A488" s="22" t="str">
        <f>IF(MOV_CC_NACIONAL!A488="","",MOV_CC_NACIONAL!A488)</f>
        <v/>
      </c>
      <c r="B488" s="22" t="str">
        <f>IF(MOV_CC_NACIONAL!B488="","",MOV_CC_NACIONAL!B488)</f>
        <v/>
      </c>
      <c r="C488" s="21" t="str">
        <f>IF(MOV_CC_NACIONAL!C488="","",MOV_CC_NACIONAL!C488)</f>
        <v/>
      </c>
      <c r="D488" s="22" t="str">
        <f t="shared" si="1"/>
        <v>Other</v>
      </c>
    </row>
    <row r="489" ht="15.75" customHeight="1">
      <c r="A489" s="22" t="str">
        <f>IF(MOV_CC_NACIONAL!A489="","",MOV_CC_NACIONAL!A489)</f>
        <v/>
      </c>
      <c r="B489" s="22" t="str">
        <f>IF(MOV_CC_NACIONAL!B489="","",MOV_CC_NACIONAL!B489)</f>
        <v/>
      </c>
      <c r="C489" s="21" t="str">
        <f>IF(MOV_CC_NACIONAL!C489="","",MOV_CC_NACIONAL!C489)</f>
        <v/>
      </c>
      <c r="D489" s="22" t="str">
        <f t="shared" si="1"/>
        <v>Other</v>
      </c>
    </row>
    <row r="490" ht="15.75" customHeight="1">
      <c r="A490" s="22" t="str">
        <f>IF(MOV_CC_NACIONAL!A490="","",MOV_CC_NACIONAL!A490)</f>
        <v/>
      </c>
      <c r="B490" s="22" t="str">
        <f>IF(MOV_CC_NACIONAL!B490="","",MOV_CC_NACIONAL!B490)</f>
        <v/>
      </c>
      <c r="C490" s="21" t="str">
        <f>IF(MOV_CC_NACIONAL!C490="","",MOV_CC_NACIONAL!C490)</f>
        <v/>
      </c>
      <c r="D490" s="22" t="str">
        <f t="shared" si="1"/>
        <v>Other</v>
      </c>
    </row>
    <row r="491" ht="15.75" customHeight="1">
      <c r="A491" s="22" t="str">
        <f>IF(MOV_CC_NACIONAL!A491="","",MOV_CC_NACIONAL!A491)</f>
        <v/>
      </c>
      <c r="B491" s="22" t="str">
        <f>IF(MOV_CC_NACIONAL!B491="","",MOV_CC_NACIONAL!B491)</f>
        <v/>
      </c>
      <c r="C491" s="21" t="str">
        <f>IF(MOV_CC_NACIONAL!C491="","",MOV_CC_NACIONAL!C491)</f>
        <v/>
      </c>
      <c r="D491" s="22" t="str">
        <f t="shared" si="1"/>
        <v>Other</v>
      </c>
    </row>
    <row r="492" ht="15.75" customHeight="1">
      <c r="A492" s="22" t="str">
        <f>IF(MOV_CC_NACIONAL!A492="","",MOV_CC_NACIONAL!A492)</f>
        <v/>
      </c>
      <c r="B492" s="22" t="str">
        <f>IF(MOV_CC_NACIONAL!B492="","",MOV_CC_NACIONAL!B492)</f>
        <v/>
      </c>
      <c r="C492" s="21" t="str">
        <f>IF(MOV_CC_NACIONAL!C492="","",MOV_CC_NACIONAL!C492)</f>
        <v/>
      </c>
      <c r="D492" s="22" t="str">
        <f t="shared" si="1"/>
        <v>Other</v>
      </c>
    </row>
    <row r="493" ht="15.75" customHeight="1">
      <c r="A493" s="22" t="str">
        <f>IF(MOV_CC_NACIONAL!A493="","",MOV_CC_NACIONAL!A493)</f>
        <v/>
      </c>
      <c r="B493" s="22" t="str">
        <f>IF(MOV_CC_NACIONAL!B493="","",MOV_CC_NACIONAL!B493)</f>
        <v/>
      </c>
      <c r="C493" s="21" t="str">
        <f>IF(MOV_CC_NACIONAL!C493="","",MOV_CC_NACIONAL!C493)</f>
        <v/>
      </c>
      <c r="D493" s="22" t="str">
        <f t="shared" si="1"/>
        <v>Other</v>
      </c>
    </row>
    <row r="494" ht="15.75" customHeight="1">
      <c r="A494" s="22" t="str">
        <f>IF(MOV_CC_NACIONAL!A494="","",MOV_CC_NACIONAL!A494)</f>
        <v/>
      </c>
      <c r="B494" s="22" t="str">
        <f>IF(MOV_CC_NACIONAL!B494="","",MOV_CC_NACIONAL!B494)</f>
        <v/>
      </c>
      <c r="C494" s="21" t="str">
        <f>IF(MOV_CC_NACIONAL!C494="","",MOV_CC_NACIONAL!C494)</f>
        <v/>
      </c>
      <c r="D494" s="22" t="str">
        <f t="shared" si="1"/>
        <v>Other</v>
      </c>
    </row>
    <row r="495" ht="15.75" customHeight="1">
      <c r="A495" s="22" t="str">
        <f>IF(MOV_CC_NACIONAL!A495="","",MOV_CC_NACIONAL!A495)</f>
        <v/>
      </c>
      <c r="B495" s="22" t="str">
        <f>IF(MOV_CC_NACIONAL!B495="","",MOV_CC_NACIONAL!B495)</f>
        <v/>
      </c>
      <c r="C495" s="21" t="str">
        <f>IF(MOV_CC_NACIONAL!C495="","",MOV_CC_NACIONAL!C495)</f>
        <v/>
      </c>
      <c r="D495" s="22" t="str">
        <f t="shared" si="1"/>
        <v>Other</v>
      </c>
    </row>
    <row r="496" ht="15.75" customHeight="1">
      <c r="A496" s="22" t="str">
        <f>IF(MOV_CC_NACIONAL!A496="","",MOV_CC_NACIONAL!A496)</f>
        <v/>
      </c>
      <c r="B496" s="22" t="str">
        <f>IF(MOV_CC_NACIONAL!B496="","",MOV_CC_NACIONAL!B496)</f>
        <v/>
      </c>
      <c r="C496" s="21" t="str">
        <f>IF(MOV_CC_NACIONAL!C496="","",MOV_CC_NACIONAL!C496)</f>
        <v/>
      </c>
      <c r="D496" s="22" t="str">
        <f t="shared" si="1"/>
        <v>Other</v>
      </c>
    </row>
    <row r="497" ht="15.75" customHeight="1">
      <c r="A497" s="22" t="str">
        <f>IF(MOV_CC_NACIONAL!A497="","",MOV_CC_NACIONAL!A497)</f>
        <v/>
      </c>
      <c r="B497" s="22" t="str">
        <f>IF(MOV_CC_NACIONAL!B497="","",MOV_CC_NACIONAL!B497)</f>
        <v/>
      </c>
      <c r="C497" s="21" t="str">
        <f>IF(MOV_CC_NACIONAL!C497="","",MOV_CC_NACIONAL!C497)</f>
        <v/>
      </c>
      <c r="D497" s="22" t="str">
        <f t="shared" si="1"/>
        <v>Other</v>
      </c>
    </row>
    <row r="498" ht="15.75" customHeight="1">
      <c r="A498" s="22" t="str">
        <f>IF(MOV_CC_NACIONAL!A498="","",MOV_CC_NACIONAL!A498)</f>
        <v/>
      </c>
      <c r="B498" s="22" t="str">
        <f>IF(MOV_CC_NACIONAL!B498="","",MOV_CC_NACIONAL!B498)</f>
        <v/>
      </c>
      <c r="C498" s="21" t="str">
        <f>IF(MOV_CC_NACIONAL!C498="","",MOV_CC_NACIONAL!C498)</f>
        <v/>
      </c>
      <c r="D498" s="22" t="str">
        <f t="shared" si="1"/>
        <v>Other</v>
      </c>
    </row>
    <row r="499" ht="15.75" customHeight="1">
      <c r="A499" s="22" t="str">
        <f>IF(MOV_CC_NACIONAL!A499="","",MOV_CC_NACIONAL!A499)</f>
        <v/>
      </c>
      <c r="B499" s="22" t="str">
        <f>IF(MOV_CC_NACIONAL!B499="","",MOV_CC_NACIONAL!B499)</f>
        <v/>
      </c>
      <c r="C499" s="21" t="str">
        <f>IF(MOV_CC_NACIONAL!C499="","",MOV_CC_NACIONAL!C499)</f>
        <v/>
      </c>
      <c r="D499" s="22" t="str">
        <f t="shared" si="1"/>
        <v>Other</v>
      </c>
    </row>
    <row r="500" ht="15.75" customHeight="1">
      <c r="A500" s="22" t="str">
        <f>IF(MOV_CC_NACIONAL!A500="","",MOV_CC_NACIONAL!A500)</f>
        <v/>
      </c>
      <c r="B500" s="22" t="str">
        <f>IF(MOV_CC_NACIONAL!B500="","",MOV_CC_NACIONAL!B500)</f>
        <v/>
      </c>
      <c r="C500" s="21" t="str">
        <f>IF(MOV_CC_NACIONAL!C500="","",MOV_CC_NACIONAL!C500)</f>
        <v/>
      </c>
      <c r="D500" s="22" t="str">
        <f t="shared" si="1"/>
        <v>Other</v>
      </c>
    </row>
    <row r="501" ht="15.75" customHeight="1">
      <c r="A501" s="22" t="str">
        <f>IF(MOV_CC_NACIONAL!A501="","",MOV_CC_NACIONAL!A501)</f>
        <v/>
      </c>
      <c r="B501" s="22" t="str">
        <f>IF(MOV_CC_NACIONAL!B501="","",MOV_CC_NACIONAL!B501)</f>
        <v/>
      </c>
      <c r="C501" s="21" t="str">
        <f>IF(MOV_CC_NACIONAL!C501="","",MOV_CC_NACIONAL!C501)</f>
        <v/>
      </c>
      <c r="D501" s="22" t="str">
        <f t="shared" si="1"/>
        <v>Other</v>
      </c>
    </row>
    <row r="502" ht="15.75" customHeight="1">
      <c r="A502" s="22" t="str">
        <f>IF(MOV_CC_NACIONAL!A502="","",MOV_CC_NACIONAL!A502)</f>
        <v/>
      </c>
      <c r="B502" s="22" t="str">
        <f>IF(MOV_CC_NACIONAL!B502="","",MOV_CC_NACIONAL!B502)</f>
        <v/>
      </c>
      <c r="C502" s="21" t="str">
        <f>IF(MOV_CC_NACIONAL!C502="","",MOV_CC_NACIONAL!C502)</f>
        <v/>
      </c>
      <c r="D502" s="22" t="str">
        <f t="shared" si="1"/>
        <v>Other</v>
      </c>
    </row>
    <row r="503" ht="15.75" customHeight="1">
      <c r="A503" s="22" t="str">
        <f>IF(MOV_CC_NACIONAL!A503="","",MOV_CC_NACIONAL!A503)</f>
        <v/>
      </c>
      <c r="B503" s="22" t="str">
        <f>IF(MOV_CC_NACIONAL!B503="","",MOV_CC_NACIONAL!B503)</f>
        <v/>
      </c>
      <c r="C503" s="21" t="str">
        <f>IF(MOV_CC_NACIONAL!C503="","",MOV_CC_NACIONAL!C503)</f>
        <v/>
      </c>
      <c r="D503" s="22" t="str">
        <f t="shared" si="1"/>
        <v>Other</v>
      </c>
    </row>
    <row r="504" ht="15.75" customHeight="1">
      <c r="A504" s="22" t="str">
        <f>IF(MOV_CC_NACIONAL!A504="","",MOV_CC_NACIONAL!A504)</f>
        <v/>
      </c>
      <c r="B504" s="22" t="str">
        <f>IF(MOV_CC_NACIONAL!B504="","",MOV_CC_NACIONAL!B504)</f>
        <v/>
      </c>
      <c r="C504" s="21" t="str">
        <f>IF(MOV_CC_NACIONAL!C504="","",MOV_CC_NACIONAL!C504)</f>
        <v/>
      </c>
      <c r="D504" s="22" t="str">
        <f t="shared" si="1"/>
        <v>Other</v>
      </c>
    </row>
    <row r="505" ht="15.75" customHeight="1">
      <c r="A505" s="22" t="str">
        <f>IF(MOV_CC_NACIONAL!A505="","",MOV_CC_NACIONAL!A505)</f>
        <v/>
      </c>
      <c r="B505" s="22" t="str">
        <f>IF(MOV_CC_NACIONAL!B505="","",MOV_CC_NACIONAL!B505)</f>
        <v/>
      </c>
      <c r="C505" s="21" t="str">
        <f>IF(MOV_CC_NACIONAL!C505="","",MOV_CC_NACIONAL!C505)</f>
        <v/>
      </c>
      <c r="D505" s="22" t="str">
        <f t="shared" si="1"/>
        <v>Other</v>
      </c>
    </row>
    <row r="506" ht="15.75" customHeight="1">
      <c r="A506" s="22" t="str">
        <f>IF(MOV_CC_NACIONAL!A506="","",MOV_CC_NACIONAL!A506)</f>
        <v/>
      </c>
      <c r="B506" s="22" t="str">
        <f>IF(MOV_CC_NACIONAL!B506="","",MOV_CC_NACIONAL!B506)</f>
        <v/>
      </c>
      <c r="C506" s="21" t="str">
        <f>IF(MOV_CC_NACIONAL!C506="","",MOV_CC_NACIONAL!C506)</f>
        <v/>
      </c>
      <c r="D506" s="22" t="str">
        <f t="shared" si="1"/>
        <v>Other</v>
      </c>
    </row>
    <row r="507" ht="15.75" customHeight="1">
      <c r="A507" s="22" t="str">
        <f>IF(MOV_CC_NACIONAL!A507="","",MOV_CC_NACIONAL!A507)</f>
        <v/>
      </c>
      <c r="B507" s="22" t="str">
        <f>IF(MOV_CC_NACIONAL!B507="","",MOV_CC_NACIONAL!B507)</f>
        <v/>
      </c>
      <c r="C507" s="21" t="str">
        <f>IF(MOV_CC_NACIONAL!C507="","",MOV_CC_NACIONAL!C507)</f>
        <v/>
      </c>
      <c r="D507" s="22" t="str">
        <f t="shared" si="1"/>
        <v>Other</v>
      </c>
    </row>
    <row r="508" ht="15.75" customHeight="1">
      <c r="A508" s="22" t="str">
        <f>IF(MOV_CC_NACIONAL!A508="","",MOV_CC_NACIONAL!A508)</f>
        <v/>
      </c>
      <c r="B508" s="22" t="str">
        <f>IF(MOV_CC_NACIONAL!B508="","",MOV_CC_NACIONAL!B508)</f>
        <v/>
      </c>
      <c r="C508" s="21" t="str">
        <f>IF(MOV_CC_NACIONAL!C508="","",MOV_CC_NACIONAL!C508)</f>
        <v/>
      </c>
      <c r="D508" s="22" t="str">
        <f t="shared" si="1"/>
        <v>Other</v>
      </c>
    </row>
    <row r="509" ht="15.75" customHeight="1">
      <c r="A509" s="22" t="str">
        <f>IF(MOV_CC_NACIONAL!A509="","",MOV_CC_NACIONAL!A509)</f>
        <v/>
      </c>
      <c r="B509" s="22" t="str">
        <f>IF(MOV_CC_NACIONAL!B509="","",MOV_CC_NACIONAL!B509)</f>
        <v/>
      </c>
      <c r="C509" s="21" t="str">
        <f>IF(MOV_CC_NACIONAL!C509="","",MOV_CC_NACIONAL!C509)</f>
        <v/>
      </c>
      <c r="D509" s="22" t="str">
        <f t="shared" si="1"/>
        <v>Other</v>
      </c>
    </row>
    <row r="510" ht="15.75" customHeight="1">
      <c r="A510" s="22" t="str">
        <f>IF(MOV_CC_NACIONAL!A510="","",MOV_CC_NACIONAL!A510)</f>
        <v/>
      </c>
      <c r="B510" s="22" t="str">
        <f>IF(MOV_CC_NACIONAL!B510="","",MOV_CC_NACIONAL!B510)</f>
        <v/>
      </c>
      <c r="C510" s="21" t="str">
        <f>IF(MOV_CC_NACIONAL!C510="","",MOV_CC_NACIONAL!C510)</f>
        <v/>
      </c>
      <c r="D510" s="22" t="str">
        <f t="shared" si="1"/>
        <v>Other</v>
      </c>
    </row>
    <row r="511" ht="15.75" customHeight="1">
      <c r="A511" s="22" t="str">
        <f>IF(MOV_CC_NACIONAL!A511="","",MOV_CC_NACIONAL!A511)</f>
        <v/>
      </c>
      <c r="B511" s="22" t="str">
        <f>IF(MOV_CC_NACIONAL!B511="","",MOV_CC_NACIONAL!B511)</f>
        <v/>
      </c>
      <c r="C511" s="21" t="str">
        <f>IF(MOV_CC_NACIONAL!C511="","",MOV_CC_NACIONAL!C511)</f>
        <v/>
      </c>
      <c r="D511" s="22" t="str">
        <f t="shared" si="1"/>
        <v>Other</v>
      </c>
    </row>
    <row r="512" ht="15.75" customHeight="1">
      <c r="A512" s="22" t="str">
        <f>IF(MOV_CC_NACIONAL!A512="","",MOV_CC_NACIONAL!A512)</f>
        <v/>
      </c>
      <c r="B512" s="22" t="str">
        <f>IF(MOV_CC_NACIONAL!B512="","",MOV_CC_NACIONAL!B512)</f>
        <v/>
      </c>
      <c r="C512" s="21" t="str">
        <f>IF(MOV_CC_NACIONAL!C512="","",MOV_CC_NACIONAL!C512)</f>
        <v/>
      </c>
      <c r="D512" s="22" t="str">
        <f t="shared" si="1"/>
        <v>Other</v>
      </c>
    </row>
    <row r="513" ht="15.75" customHeight="1">
      <c r="A513" s="22" t="str">
        <f>IF(MOV_CC_NACIONAL!A513="","",MOV_CC_NACIONAL!A513)</f>
        <v/>
      </c>
      <c r="B513" s="22" t="str">
        <f>IF(MOV_CC_NACIONAL!B513="","",MOV_CC_NACIONAL!B513)</f>
        <v/>
      </c>
      <c r="C513" s="21" t="str">
        <f>IF(MOV_CC_NACIONAL!C513="","",MOV_CC_NACIONAL!C513)</f>
        <v/>
      </c>
      <c r="D513" s="22" t="str">
        <f t="shared" si="1"/>
        <v>Other</v>
      </c>
    </row>
    <row r="514" ht="15.75" customHeight="1">
      <c r="A514" s="22" t="str">
        <f>IF(MOV_CC_NACIONAL!A514="","",MOV_CC_NACIONAL!A514)</f>
        <v/>
      </c>
      <c r="B514" s="22" t="str">
        <f>IF(MOV_CC_NACIONAL!B514="","",MOV_CC_NACIONAL!B514)</f>
        <v/>
      </c>
      <c r="C514" s="21" t="str">
        <f>IF(MOV_CC_NACIONAL!C514="","",MOV_CC_NACIONAL!C514)</f>
        <v/>
      </c>
      <c r="D514" s="22" t="str">
        <f t="shared" si="1"/>
        <v>Other</v>
      </c>
    </row>
    <row r="515" ht="15.75" customHeight="1">
      <c r="A515" s="22" t="str">
        <f>IF(MOV_CC_NACIONAL!A515="","",MOV_CC_NACIONAL!A515)</f>
        <v/>
      </c>
      <c r="B515" s="22" t="str">
        <f>IF(MOV_CC_NACIONAL!B515="","",MOV_CC_NACIONAL!B515)</f>
        <v/>
      </c>
      <c r="C515" s="21" t="str">
        <f>IF(MOV_CC_NACIONAL!C515="","",MOV_CC_NACIONAL!C515)</f>
        <v/>
      </c>
      <c r="D515" s="22" t="str">
        <f t="shared" si="1"/>
        <v>Other</v>
      </c>
    </row>
    <row r="516" ht="15.75" customHeight="1">
      <c r="A516" s="22" t="str">
        <f>IF(MOV_CC_NACIONAL!A516="","",MOV_CC_NACIONAL!A516)</f>
        <v/>
      </c>
      <c r="B516" s="22" t="str">
        <f>IF(MOV_CC_NACIONAL!B516="","",MOV_CC_NACIONAL!B516)</f>
        <v/>
      </c>
      <c r="C516" s="21" t="str">
        <f>IF(MOV_CC_NACIONAL!C516="","",MOV_CC_NACIONAL!C516)</f>
        <v/>
      </c>
      <c r="D516" s="22" t="str">
        <f t="shared" si="1"/>
        <v>Other</v>
      </c>
    </row>
    <row r="517" ht="15.75" customHeight="1">
      <c r="A517" s="22" t="str">
        <f>IF(MOV_CC_NACIONAL!A517="","",MOV_CC_NACIONAL!A517)</f>
        <v/>
      </c>
      <c r="B517" s="22" t="str">
        <f>IF(MOV_CC_NACIONAL!B517="","",MOV_CC_NACIONAL!B517)</f>
        <v/>
      </c>
      <c r="C517" s="21" t="str">
        <f>IF(MOV_CC_NACIONAL!C517="","",MOV_CC_NACIONAL!C517)</f>
        <v/>
      </c>
      <c r="D517" s="22" t="str">
        <f t="shared" si="1"/>
        <v>Other</v>
      </c>
    </row>
    <row r="518" ht="15.75" customHeight="1">
      <c r="A518" s="22" t="str">
        <f>IF(MOV_CC_NACIONAL!A518="","",MOV_CC_NACIONAL!A518)</f>
        <v/>
      </c>
      <c r="B518" s="22" t="str">
        <f>IF(MOV_CC_NACIONAL!B518="","",MOV_CC_NACIONAL!B518)</f>
        <v/>
      </c>
      <c r="C518" s="21" t="str">
        <f>IF(MOV_CC_NACIONAL!C518="","",MOV_CC_NACIONAL!C518)</f>
        <v/>
      </c>
      <c r="D518" s="22" t="str">
        <f t="shared" si="1"/>
        <v>Other</v>
      </c>
    </row>
    <row r="519" ht="15.75" customHeight="1">
      <c r="A519" s="22" t="str">
        <f>IF(MOV_CC_NACIONAL!A519="","",MOV_CC_NACIONAL!A519)</f>
        <v/>
      </c>
      <c r="B519" s="22" t="str">
        <f>IF(MOV_CC_NACIONAL!B519="","",MOV_CC_NACIONAL!B519)</f>
        <v/>
      </c>
      <c r="C519" s="21" t="str">
        <f>IF(MOV_CC_NACIONAL!C519="","",MOV_CC_NACIONAL!C519)</f>
        <v/>
      </c>
      <c r="D519" s="22" t="str">
        <f t="shared" si="1"/>
        <v>Other</v>
      </c>
    </row>
    <row r="520" ht="15.75" customHeight="1">
      <c r="A520" s="22" t="str">
        <f>IF(MOV_CC_NACIONAL!A520="","",MOV_CC_NACIONAL!A520)</f>
        <v/>
      </c>
      <c r="B520" s="22" t="str">
        <f>IF(MOV_CC_NACIONAL!B520="","",MOV_CC_NACIONAL!B520)</f>
        <v/>
      </c>
      <c r="C520" s="21" t="str">
        <f>IF(MOV_CC_NACIONAL!C520="","",MOV_CC_NACIONAL!C520)</f>
        <v/>
      </c>
      <c r="D520" s="22" t="str">
        <f t="shared" si="1"/>
        <v>Other</v>
      </c>
    </row>
    <row r="521" ht="15.75" customHeight="1">
      <c r="A521" s="22" t="str">
        <f>IF(MOV_CC_NACIONAL!A521="","",MOV_CC_NACIONAL!A521)</f>
        <v/>
      </c>
      <c r="B521" s="22" t="str">
        <f>IF(MOV_CC_NACIONAL!B521="","",MOV_CC_NACIONAL!B521)</f>
        <v/>
      </c>
      <c r="C521" s="21" t="str">
        <f>IF(MOV_CC_NACIONAL!C521="","",MOV_CC_NACIONAL!C521)</f>
        <v/>
      </c>
      <c r="D521" s="22" t="str">
        <f t="shared" si="1"/>
        <v>Other</v>
      </c>
    </row>
    <row r="522" ht="15.75" customHeight="1">
      <c r="A522" s="22" t="str">
        <f>IF(MOV_CC_NACIONAL!A522="","",MOV_CC_NACIONAL!A522)</f>
        <v/>
      </c>
      <c r="B522" s="22" t="str">
        <f>IF(MOV_CC_NACIONAL!B522="","",MOV_CC_NACIONAL!B522)</f>
        <v/>
      </c>
      <c r="C522" s="21" t="str">
        <f>IF(MOV_CC_NACIONAL!C522="","",MOV_CC_NACIONAL!C522)</f>
        <v/>
      </c>
      <c r="D522" s="22" t="str">
        <f t="shared" si="1"/>
        <v>Other</v>
      </c>
    </row>
    <row r="523" ht="15.75" customHeight="1">
      <c r="A523" s="22" t="str">
        <f>IF(MOV_CC_NACIONAL!A523="","",MOV_CC_NACIONAL!A523)</f>
        <v/>
      </c>
      <c r="B523" s="22" t="str">
        <f>IF(MOV_CC_NACIONAL!B523="","",MOV_CC_NACIONAL!B523)</f>
        <v/>
      </c>
      <c r="C523" s="21" t="str">
        <f>IF(MOV_CC_NACIONAL!C523="","",MOV_CC_NACIONAL!C523)</f>
        <v/>
      </c>
      <c r="D523" s="22" t="str">
        <f t="shared" si="1"/>
        <v>Other</v>
      </c>
    </row>
    <row r="524" ht="15.75" customHeight="1">
      <c r="A524" s="22" t="str">
        <f>IF(MOV_CC_NACIONAL!A524="","",MOV_CC_NACIONAL!A524)</f>
        <v/>
      </c>
      <c r="B524" s="22" t="str">
        <f>IF(MOV_CC_NACIONAL!B524="","",MOV_CC_NACIONAL!B524)</f>
        <v/>
      </c>
      <c r="C524" s="21" t="str">
        <f>IF(MOV_CC_NACIONAL!C524="","",MOV_CC_NACIONAL!C524)</f>
        <v/>
      </c>
      <c r="D524" s="22" t="str">
        <f t="shared" si="1"/>
        <v>Other</v>
      </c>
    </row>
    <row r="525" ht="15.75" customHeight="1">
      <c r="A525" s="22" t="str">
        <f>IF(MOV_CC_NACIONAL!A525="","",MOV_CC_NACIONAL!A525)</f>
        <v/>
      </c>
      <c r="B525" s="22" t="str">
        <f>IF(MOV_CC_NACIONAL!B525="","",MOV_CC_NACIONAL!B525)</f>
        <v/>
      </c>
      <c r="C525" s="21" t="str">
        <f>IF(MOV_CC_NACIONAL!C525="","",MOV_CC_NACIONAL!C525)</f>
        <v/>
      </c>
      <c r="D525" s="22" t="str">
        <f t="shared" si="1"/>
        <v>Other</v>
      </c>
    </row>
    <row r="526" ht="15.75" customHeight="1">
      <c r="A526" s="22" t="str">
        <f>IF(MOV_CC_NACIONAL!A526="","",MOV_CC_NACIONAL!A526)</f>
        <v/>
      </c>
      <c r="B526" s="22" t="str">
        <f>IF(MOV_CC_NACIONAL!B526="","",MOV_CC_NACIONAL!B526)</f>
        <v/>
      </c>
      <c r="C526" s="21" t="str">
        <f>IF(MOV_CC_NACIONAL!C526="","",MOV_CC_NACIONAL!C526)</f>
        <v/>
      </c>
      <c r="D526" s="22" t="str">
        <f t="shared" si="1"/>
        <v>Other</v>
      </c>
    </row>
    <row r="527" ht="15.75" customHeight="1">
      <c r="A527" s="22" t="str">
        <f>IF(MOV_CC_NACIONAL!A527="","",MOV_CC_NACIONAL!A527)</f>
        <v/>
      </c>
      <c r="B527" s="22" t="str">
        <f>IF(MOV_CC_NACIONAL!B527="","",MOV_CC_NACIONAL!B527)</f>
        <v/>
      </c>
      <c r="C527" s="21" t="str">
        <f>IF(MOV_CC_NACIONAL!C527="","",MOV_CC_NACIONAL!C527)</f>
        <v/>
      </c>
      <c r="D527" s="22" t="str">
        <f t="shared" si="1"/>
        <v>Other</v>
      </c>
    </row>
    <row r="528" ht="15.75" customHeight="1">
      <c r="A528" s="22" t="str">
        <f>IF(MOV_CC_NACIONAL!A528="","",MOV_CC_NACIONAL!A528)</f>
        <v/>
      </c>
      <c r="B528" s="22" t="str">
        <f>IF(MOV_CC_NACIONAL!B528="","",MOV_CC_NACIONAL!B528)</f>
        <v/>
      </c>
      <c r="C528" s="21" t="str">
        <f>IF(MOV_CC_NACIONAL!C528="","",MOV_CC_NACIONAL!C528)</f>
        <v/>
      </c>
      <c r="D528" s="22" t="str">
        <f t="shared" si="1"/>
        <v>Other</v>
      </c>
    </row>
    <row r="529" ht="15.75" customHeight="1">
      <c r="A529" s="22" t="str">
        <f>IF(MOV_CC_NACIONAL!A529="","",MOV_CC_NACIONAL!A529)</f>
        <v/>
      </c>
      <c r="B529" s="22" t="str">
        <f>IF(MOV_CC_NACIONAL!B529="","",MOV_CC_NACIONAL!B529)</f>
        <v/>
      </c>
      <c r="C529" s="21" t="str">
        <f>IF(MOV_CC_NACIONAL!C529="","",MOV_CC_NACIONAL!C529)</f>
        <v/>
      </c>
      <c r="D529" s="22" t="str">
        <f t="shared" si="1"/>
        <v>Other</v>
      </c>
    </row>
    <row r="530" ht="15.75" customHeight="1">
      <c r="A530" s="22" t="str">
        <f>IF(MOV_CC_NACIONAL!A530="","",MOV_CC_NACIONAL!A530)</f>
        <v/>
      </c>
      <c r="B530" s="22" t="str">
        <f>IF(MOV_CC_NACIONAL!B530="","",MOV_CC_NACIONAL!B530)</f>
        <v/>
      </c>
      <c r="C530" s="21" t="str">
        <f>IF(MOV_CC_NACIONAL!C530="","",MOV_CC_NACIONAL!C530)</f>
        <v/>
      </c>
      <c r="D530" s="22" t="str">
        <f t="shared" si="1"/>
        <v>Other</v>
      </c>
    </row>
    <row r="531" ht="15.75" customHeight="1">
      <c r="A531" s="22" t="str">
        <f>IF(MOV_CC_NACIONAL!A531="","",MOV_CC_NACIONAL!A531)</f>
        <v/>
      </c>
      <c r="B531" s="22" t="str">
        <f>IF(MOV_CC_NACIONAL!B531="","",MOV_CC_NACIONAL!B531)</f>
        <v/>
      </c>
      <c r="C531" s="21" t="str">
        <f>IF(MOV_CC_NACIONAL!C531="","",MOV_CC_NACIONAL!C531)</f>
        <v/>
      </c>
      <c r="D531" s="22" t="str">
        <f t="shared" si="1"/>
        <v>Other</v>
      </c>
    </row>
    <row r="532" ht="15.75" customHeight="1">
      <c r="A532" s="22" t="str">
        <f>IF(MOV_CC_NACIONAL!A532="","",MOV_CC_NACIONAL!A532)</f>
        <v/>
      </c>
      <c r="B532" s="22" t="str">
        <f>IF(MOV_CC_NACIONAL!B532="","",MOV_CC_NACIONAL!B532)</f>
        <v/>
      </c>
      <c r="C532" s="21" t="str">
        <f>IF(MOV_CC_NACIONAL!C532="","",MOV_CC_NACIONAL!C532)</f>
        <v/>
      </c>
      <c r="D532" s="22" t="str">
        <f t="shared" si="1"/>
        <v>Other</v>
      </c>
    </row>
    <row r="533" ht="15.75" customHeight="1">
      <c r="A533" s="22" t="str">
        <f>IF(MOV_CC_NACIONAL!A533="","",MOV_CC_NACIONAL!A533)</f>
        <v/>
      </c>
      <c r="B533" s="22" t="str">
        <f>IF(MOV_CC_NACIONAL!B533="","",MOV_CC_NACIONAL!B533)</f>
        <v/>
      </c>
      <c r="C533" s="21" t="str">
        <f>IF(MOV_CC_NACIONAL!C533="","",MOV_CC_NACIONAL!C533)</f>
        <v/>
      </c>
      <c r="D533" s="22" t="str">
        <f t="shared" si="1"/>
        <v>Other</v>
      </c>
    </row>
    <row r="534" ht="15.75" customHeight="1">
      <c r="A534" s="22" t="str">
        <f>IF(MOV_CC_NACIONAL!A534="","",MOV_CC_NACIONAL!A534)</f>
        <v/>
      </c>
      <c r="B534" s="22" t="str">
        <f>IF(MOV_CC_NACIONAL!B534="","",MOV_CC_NACIONAL!B534)</f>
        <v/>
      </c>
      <c r="C534" s="21" t="str">
        <f>IF(MOV_CC_NACIONAL!C534="","",MOV_CC_NACIONAL!C534)</f>
        <v/>
      </c>
      <c r="D534" s="22" t="str">
        <f t="shared" si="1"/>
        <v>Other</v>
      </c>
    </row>
    <row r="535" ht="15.75" customHeight="1">
      <c r="A535" s="22" t="str">
        <f>IF(MOV_CC_NACIONAL!A535="","",MOV_CC_NACIONAL!A535)</f>
        <v/>
      </c>
      <c r="B535" s="22" t="str">
        <f>IF(MOV_CC_NACIONAL!B535="","",MOV_CC_NACIONAL!B535)</f>
        <v/>
      </c>
      <c r="C535" s="21" t="str">
        <f>IF(MOV_CC_NACIONAL!C535="","",MOV_CC_NACIONAL!C535)</f>
        <v/>
      </c>
      <c r="D535" s="22" t="str">
        <f t="shared" si="1"/>
        <v>Other</v>
      </c>
    </row>
    <row r="536" ht="15.75" customHeight="1">
      <c r="A536" s="22" t="str">
        <f>IF(MOV_CC_NACIONAL!A536="","",MOV_CC_NACIONAL!A536)</f>
        <v/>
      </c>
      <c r="B536" s="22" t="str">
        <f>IF(MOV_CC_NACIONAL!B536="","",MOV_CC_NACIONAL!B536)</f>
        <v/>
      </c>
      <c r="C536" s="21" t="str">
        <f>IF(MOV_CC_NACIONAL!C536="","",MOV_CC_NACIONAL!C536)</f>
        <v/>
      </c>
      <c r="D536" s="22" t="str">
        <f t="shared" si="1"/>
        <v>Other</v>
      </c>
    </row>
    <row r="537" ht="15.75" customHeight="1">
      <c r="A537" s="22" t="str">
        <f>IF(MOV_CC_NACIONAL!A537="","",MOV_CC_NACIONAL!A537)</f>
        <v/>
      </c>
      <c r="B537" s="22" t="str">
        <f>IF(MOV_CC_NACIONAL!B537="","",MOV_CC_NACIONAL!B537)</f>
        <v/>
      </c>
      <c r="C537" s="21" t="str">
        <f>IF(MOV_CC_NACIONAL!C537="","",MOV_CC_NACIONAL!C537)</f>
        <v/>
      </c>
      <c r="D537" s="22" t="str">
        <f t="shared" si="1"/>
        <v>Other</v>
      </c>
    </row>
    <row r="538" ht="15.75" customHeight="1">
      <c r="A538" s="22" t="str">
        <f>IF(MOV_CC_NACIONAL!A538="","",MOV_CC_NACIONAL!A538)</f>
        <v/>
      </c>
      <c r="B538" s="22" t="str">
        <f>IF(MOV_CC_NACIONAL!B538="","",MOV_CC_NACIONAL!B538)</f>
        <v/>
      </c>
      <c r="C538" s="21" t="str">
        <f>IF(MOV_CC_NACIONAL!C538="","",MOV_CC_NACIONAL!C538)</f>
        <v/>
      </c>
      <c r="D538" s="22" t="str">
        <f t="shared" si="1"/>
        <v>Other</v>
      </c>
    </row>
    <row r="539" ht="15.75" customHeight="1">
      <c r="A539" s="22" t="str">
        <f>IF(MOV_CC_NACIONAL!A539="","",MOV_CC_NACIONAL!A539)</f>
        <v/>
      </c>
      <c r="B539" s="22" t="str">
        <f>IF(MOV_CC_NACIONAL!B539="","",MOV_CC_NACIONAL!B539)</f>
        <v/>
      </c>
      <c r="C539" s="21" t="str">
        <f>IF(MOV_CC_NACIONAL!C539="","",MOV_CC_NACIONAL!C539)</f>
        <v/>
      </c>
      <c r="D539" s="22" t="str">
        <f t="shared" si="1"/>
        <v>Other</v>
      </c>
    </row>
    <row r="540" ht="15.75" customHeight="1">
      <c r="A540" s="22" t="str">
        <f>IF(MOV_CC_NACIONAL!A540="","",MOV_CC_NACIONAL!A540)</f>
        <v/>
      </c>
      <c r="B540" s="22" t="str">
        <f>IF(MOV_CC_NACIONAL!B540="","",MOV_CC_NACIONAL!B540)</f>
        <v/>
      </c>
      <c r="C540" s="21" t="str">
        <f>IF(MOV_CC_NACIONAL!C540="","",MOV_CC_NACIONAL!C540)</f>
        <v/>
      </c>
      <c r="D540" s="22" t="str">
        <f t="shared" si="1"/>
        <v>Other</v>
      </c>
    </row>
    <row r="541" ht="15.75" customHeight="1">
      <c r="A541" s="22" t="str">
        <f>IF(MOV_CC_NACIONAL!A541="","",MOV_CC_NACIONAL!A541)</f>
        <v/>
      </c>
      <c r="B541" s="22" t="str">
        <f>IF(MOV_CC_NACIONAL!B541="","",MOV_CC_NACIONAL!B541)</f>
        <v/>
      </c>
      <c r="C541" s="21" t="str">
        <f>IF(MOV_CC_NACIONAL!C541="","",MOV_CC_NACIONAL!C541)</f>
        <v/>
      </c>
      <c r="D541" s="22" t="str">
        <f t="shared" si="1"/>
        <v>Other</v>
      </c>
    </row>
    <row r="542" ht="15.75" customHeight="1">
      <c r="A542" s="22" t="str">
        <f>IF(MOV_CC_NACIONAL!A542="","",MOV_CC_NACIONAL!A542)</f>
        <v/>
      </c>
      <c r="B542" s="22" t="str">
        <f>IF(MOV_CC_NACIONAL!B542="","",MOV_CC_NACIONAL!B542)</f>
        <v/>
      </c>
      <c r="C542" s="21" t="str">
        <f>IF(MOV_CC_NACIONAL!C542="","",MOV_CC_NACIONAL!C542)</f>
        <v/>
      </c>
      <c r="D542" s="22" t="str">
        <f t="shared" si="1"/>
        <v>Other</v>
      </c>
    </row>
    <row r="543" ht="15.75" customHeight="1">
      <c r="A543" s="22" t="str">
        <f>IF(MOV_CC_NACIONAL!A543="","",MOV_CC_NACIONAL!A543)</f>
        <v/>
      </c>
      <c r="B543" s="22" t="str">
        <f>IF(MOV_CC_NACIONAL!B543="","",MOV_CC_NACIONAL!B543)</f>
        <v/>
      </c>
      <c r="C543" s="21" t="str">
        <f>IF(MOV_CC_NACIONAL!C543="","",MOV_CC_NACIONAL!C543)</f>
        <v/>
      </c>
      <c r="D543" s="22" t="str">
        <f t="shared" si="1"/>
        <v>Other</v>
      </c>
    </row>
    <row r="544" ht="15.75" customHeight="1">
      <c r="A544" s="22" t="str">
        <f>IF(MOV_CC_NACIONAL!A544="","",MOV_CC_NACIONAL!A544)</f>
        <v/>
      </c>
      <c r="B544" s="22" t="str">
        <f>IF(MOV_CC_NACIONAL!B544="","",MOV_CC_NACIONAL!B544)</f>
        <v/>
      </c>
      <c r="C544" s="21" t="str">
        <f>IF(MOV_CC_NACIONAL!C544="","",MOV_CC_NACIONAL!C544)</f>
        <v/>
      </c>
      <c r="D544" s="22" t="str">
        <f t="shared" si="1"/>
        <v>Other</v>
      </c>
    </row>
    <row r="545" ht="15.75" customHeight="1">
      <c r="A545" s="22" t="str">
        <f>IF(MOV_CC_NACIONAL!A545="","",MOV_CC_NACIONAL!A545)</f>
        <v/>
      </c>
      <c r="B545" s="22" t="str">
        <f>IF(MOV_CC_NACIONAL!B545="","",MOV_CC_NACIONAL!B545)</f>
        <v/>
      </c>
      <c r="C545" s="21" t="str">
        <f>IF(MOV_CC_NACIONAL!C545="","",MOV_CC_NACIONAL!C545)</f>
        <v/>
      </c>
      <c r="D545" s="22" t="str">
        <f t="shared" si="1"/>
        <v>Other</v>
      </c>
    </row>
    <row r="546" ht="15.75" customHeight="1">
      <c r="A546" s="22" t="str">
        <f>IF(MOV_CC_NACIONAL!A546="","",MOV_CC_NACIONAL!A546)</f>
        <v/>
      </c>
      <c r="B546" s="22" t="str">
        <f>IF(MOV_CC_NACIONAL!B546="","",MOV_CC_NACIONAL!B546)</f>
        <v/>
      </c>
      <c r="C546" s="21" t="str">
        <f>IF(MOV_CC_NACIONAL!C546="","",MOV_CC_NACIONAL!C546)</f>
        <v/>
      </c>
      <c r="D546" s="22" t="str">
        <f t="shared" si="1"/>
        <v>Other</v>
      </c>
    </row>
    <row r="547" ht="15.75" customHeight="1">
      <c r="A547" s="22" t="str">
        <f>IF(MOV_CC_NACIONAL!A547="","",MOV_CC_NACIONAL!A547)</f>
        <v/>
      </c>
      <c r="B547" s="22" t="str">
        <f>IF(MOV_CC_NACIONAL!B547="","",MOV_CC_NACIONAL!B547)</f>
        <v/>
      </c>
      <c r="C547" s="21" t="str">
        <f>IF(MOV_CC_NACIONAL!C547="","",MOV_CC_NACIONAL!C547)</f>
        <v/>
      </c>
      <c r="D547" s="22" t="str">
        <f t="shared" si="1"/>
        <v>Other</v>
      </c>
    </row>
    <row r="548" ht="15.75" customHeight="1">
      <c r="A548" s="22" t="str">
        <f>IF(MOV_CC_NACIONAL!A548="","",MOV_CC_NACIONAL!A548)</f>
        <v/>
      </c>
      <c r="B548" s="22" t="str">
        <f>IF(MOV_CC_NACIONAL!B548="","",MOV_CC_NACIONAL!B548)</f>
        <v/>
      </c>
      <c r="C548" s="21" t="str">
        <f>IF(MOV_CC_NACIONAL!C548="","",MOV_CC_NACIONAL!C548)</f>
        <v/>
      </c>
      <c r="D548" s="22" t="str">
        <f t="shared" si="1"/>
        <v>Other</v>
      </c>
    </row>
    <row r="549" ht="15.75" customHeight="1">
      <c r="A549" s="22" t="str">
        <f>IF(MOV_CC_NACIONAL!A549="","",MOV_CC_NACIONAL!A549)</f>
        <v/>
      </c>
      <c r="B549" s="22" t="str">
        <f>IF(MOV_CC_NACIONAL!B549="","",MOV_CC_NACIONAL!B549)</f>
        <v/>
      </c>
      <c r="C549" s="21" t="str">
        <f>IF(MOV_CC_NACIONAL!C549="","",MOV_CC_NACIONAL!C549)</f>
        <v/>
      </c>
      <c r="D549" s="22" t="str">
        <f t="shared" si="1"/>
        <v>Other</v>
      </c>
    </row>
    <row r="550" ht="15.75" customHeight="1">
      <c r="A550" s="22" t="str">
        <f>IF(MOV_CC_NACIONAL!A550="","",MOV_CC_NACIONAL!A550)</f>
        <v/>
      </c>
      <c r="B550" s="22" t="str">
        <f>IF(MOV_CC_NACIONAL!B550="","",MOV_CC_NACIONAL!B550)</f>
        <v/>
      </c>
      <c r="C550" s="21" t="str">
        <f>IF(MOV_CC_NACIONAL!C550="","",MOV_CC_NACIONAL!C550)</f>
        <v/>
      </c>
      <c r="D550" s="22" t="str">
        <f t="shared" si="1"/>
        <v>Other</v>
      </c>
    </row>
    <row r="551" ht="15.75" customHeight="1">
      <c r="A551" s="22" t="str">
        <f>IF(MOV_CC_NACIONAL!A551="","",MOV_CC_NACIONAL!A551)</f>
        <v/>
      </c>
      <c r="B551" s="22" t="str">
        <f>IF(MOV_CC_NACIONAL!B551="","",MOV_CC_NACIONAL!B551)</f>
        <v/>
      </c>
      <c r="C551" s="21" t="str">
        <f>IF(MOV_CC_NACIONAL!C551="","",MOV_CC_NACIONAL!C551)</f>
        <v/>
      </c>
      <c r="D551" s="22" t="str">
        <f t="shared" si="1"/>
        <v>Other</v>
      </c>
    </row>
    <row r="552" ht="15.75" customHeight="1">
      <c r="A552" s="22" t="str">
        <f>IF(MOV_CC_NACIONAL!A552="","",MOV_CC_NACIONAL!A552)</f>
        <v/>
      </c>
      <c r="B552" s="22" t="str">
        <f>IF(MOV_CC_NACIONAL!B552="","",MOV_CC_NACIONAL!B552)</f>
        <v/>
      </c>
      <c r="C552" s="21" t="str">
        <f>IF(MOV_CC_NACIONAL!C552="","",MOV_CC_NACIONAL!C552)</f>
        <v/>
      </c>
      <c r="D552" s="22" t="str">
        <f t="shared" si="1"/>
        <v>Other</v>
      </c>
    </row>
    <row r="553" ht="15.75" customHeight="1">
      <c r="A553" s="22" t="str">
        <f>IF(MOV_CC_NACIONAL!A553="","",MOV_CC_NACIONAL!A553)</f>
        <v/>
      </c>
      <c r="B553" s="22" t="str">
        <f>IF(MOV_CC_NACIONAL!B553="","",MOV_CC_NACIONAL!B553)</f>
        <v/>
      </c>
      <c r="C553" s="21" t="str">
        <f>IF(MOV_CC_NACIONAL!C553="","",MOV_CC_NACIONAL!C553)</f>
        <v/>
      </c>
      <c r="D553" s="22" t="str">
        <f t="shared" si="1"/>
        <v>Other</v>
      </c>
    </row>
    <row r="554" ht="15.75" customHeight="1">
      <c r="A554" s="22" t="str">
        <f>IF(MOV_CC_NACIONAL!A554="","",MOV_CC_NACIONAL!A554)</f>
        <v/>
      </c>
      <c r="B554" s="22" t="str">
        <f>IF(MOV_CC_NACIONAL!B554="","",MOV_CC_NACIONAL!B554)</f>
        <v/>
      </c>
      <c r="C554" s="21" t="str">
        <f>IF(MOV_CC_NACIONAL!C554="","",MOV_CC_NACIONAL!C554)</f>
        <v/>
      </c>
      <c r="D554" s="22" t="str">
        <f t="shared" si="1"/>
        <v>Other</v>
      </c>
    </row>
    <row r="555" ht="15.75" customHeight="1">
      <c r="A555" s="22" t="str">
        <f>IF(MOV_CC_NACIONAL!A555="","",MOV_CC_NACIONAL!A555)</f>
        <v/>
      </c>
      <c r="B555" s="22" t="str">
        <f>IF(MOV_CC_NACIONAL!B555="","",MOV_CC_NACIONAL!B555)</f>
        <v/>
      </c>
      <c r="C555" s="21" t="str">
        <f>IF(MOV_CC_NACIONAL!C555="","",MOV_CC_NACIONAL!C555)</f>
        <v/>
      </c>
      <c r="D555" s="22" t="str">
        <f t="shared" si="1"/>
        <v>Other</v>
      </c>
    </row>
    <row r="556" ht="15.75" customHeight="1">
      <c r="A556" s="22" t="str">
        <f>IF(MOV_CC_NACIONAL!A556="","",MOV_CC_NACIONAL!A556)</f>
        <v/>
      </c>
      <c r="B556" s="22" t="str">
        <f>IF(MOV_CC_NACIONAL!B556="","",MOV_CC_NACIONAL!B556)</f>
        <v/>
      </c>
      <c r="C556" s="21" t="str">
        <f>IF(MOV_CC_NACIONAL!C556="","",MOV_CC_NACIONAL!C556)</f>
        <v/>
      </c>
      <c r="D556" s="22" t="str">
        <f t="shared" si="1"/>
        <v>Other</v>
      </c>
    </row>
    <row r="557" ht="15.75" customHeight="1">
      <c r="A557" s="22" t="str">
        <f>IF(MOV_CC_NACIONAL!A557="","",MOV_CC_NACIONAL!A557)</f>
        <v/>
      </c>
      <c r="B557" s="22" t="str">
        <f>IF(MOV_CC_NACIONAL!B557="","",MOV_CC_NACIONAL!B557)</f>
        <v/>
      </c>
      <c r="C557" s="21" t="str">
        <f>IF(MOV_CC_NACIONAL!C557="","",MOV_CC_NACIONAL!C557)</f>
        <v/>
      </c>
      <c r="D557" s="22" t="str">
        <f t="shared" si="1"/>
        <v>Other</v>
      </c>
    </row>
    <row r="558" ht="15.75" customHeight="1">
      <c r="A558" s="22" t="str">
        <f>IF(MOV_CC_NACIONAL!A558="","",MOV_CC_NACIONAL!A558)</f>
        <v/>
      </c>
      <c r="B558" s="22" t="str">
        <f>IF(MOV_CC_NACIONAL!B558="","",MOV_CC_NACIONAL!B558)</f>
        <v/>
      </c>
      <c r="C558" s="21" t="str">
        <f>IF(MOV_CC_NACIONAL!C558="","",MOV_CC_NACIONAL!C558)</f>
        <v/>
      </c>
      <c r="D558" s="22" t="str">
        <f t="shared" si="1"/>
        <v>Other</v>
      </c>
    </row>
    <row r="559" ht="15.75" customHeight="1">
      <c r="A559" s="22" t="str">
        <f>IF(MOV_CC_NACIONAL!A559="","",MOV_CC_NACIONAL!A559)</f>
        <v/>
      </c>
      <c r="B559" s="22" t="str">
        <f>IF(MOV_CC_NACIONAL!B559="","",MOV_CC_NACIONAL!B559)</f>
        <v/>
      </c>
      <c r="C559" s="21" t="str">
        <f>IF(MOV_CC_NACIONAL!C559="","",MOV_CC_NACIONAL!C559)</f>
        <v/>
      </c>
      <c r="D559" s="22" t="str">
        <f t="shared" si="1"/>
        <v>Other</v>
      </c>
    </row>
    <row r="560" ht="15.75" customHeight="1">
      <c r="A560" s="22" t="str">
        <f>IF(MOV_CC_NACIONAL!A560="","",MOV_CC_NACIONAL!A560)</f>
        <v/>
      </c>
      <c r="B560" s="22" t="str">
        <f>IF(MOV_CC_NACIONAL!B560="","",MOV_CC_NACIONAL!B560)</f>
        <v/>
      </c>
      <c r="C560" s="21" t="str">
        <f>IF(MOV_CC_NACIONAL!C560="","",MOV_CC_NACIONAL!C560)</f>
        <v/>
      </c>
      <c r="D560" s="22" t="str">
        <f t="shared" si="1"/>
        <v>Other</v>
      </c>
    </row>
    <row r="561" ht="15.75" customHeight="1">
      <c r="A561" s="22" t="str">
        <f>IF(MOV_CC_NACIONAL!A561="","",MOV_CC_NACIONAL!A561)</f>
        <v/>
      </c>
      <c r="B561" s="22" t="str">
        <f>IF(MOV_CC_NACIONAL!B561="","",MOV_CC_NACIONAL!B561)</f>
        <v/>
      </c>
      <c r="C561" s="21" t="str">
        <f>IF(MOV_CC_NACIONAL!C561="","",MOV_CC_NACIONAL!C561)</f>
        <v/>
      </c>
      <c r="D561" s="22" t="str">
        <f t="shared" si="1"/>
        <v>Other</v>
      </c>
    </row>
    <row r="562" ht="15.75" customHeight="1">
      <c r="A562" s="22" t="str">
        <f>IF(MOV_CC_NACIONAL!A562="","",MOV_CC_NACIONAL!A562)</f>
        <v/>
      </c>
      <c r="B562" s="22" t="str">
        <f>IF(MOV_CC_NACIONAL!B562="","",MOV_CC_NACIONAL!B562)</f>
        <v/>
      </c>
      <c r="C562" s="21" t="str">
        <f>IF(MOV_CC_NACIONAL!C562="","",MOV_CC_NACIONAL!C562)</f>
        <v/>
      </c>
      <c r="D562" s="22" t="str">
        <f t="shared" si="1"/>
        <v>Other</v>
      </c>
    </row>
    <row r="563" ht="15.75" customHeight="1">
      <c r="A563" s="22" t="str">
        <f>IF(MOV_CC_NACIONAL!A563="","",MOV_CC_NACIONAL!A563)</f>
        <v/>
      </c>
      <c r="B563" s="22" t="str">
        <f>IF(MOV_CC_NACIONAL!B563="","",MOV_CC_NACIONAL!B563)</f>
        <v/>
      </c>
      <c r="C563" s="21" t="str">
        <f>IF(MOV_CC_NACIONAL!C563="","",MOV_CC_NACIONAL!C563)</f>
        <v/>
      </c>
      <c r="D563" s="22" t="str">
        <f t="shared" si="1"/>
        <v>Other</v>
      </c>
    </row>
    <row r="564" ht="15.75" customHeight="1">
      <c r="A564" s="22" t="str">
        <f>IF(MOV_CC_NACIONAL!A564="","",MOV_CC_NACIONAL!A564)</f>
        <v/>
      </c>
      <c r="B564" s="22" t="str">
        <f>IF(MOV_CC_NACIONAL!B564="","",MOV_CC_NACIONAL!B564)</f>
        <v/>
      </c>
      <c r="C564" s="21" t="str">
        <f>IF(MOV_CC_NACIONAL!C564="","",MOV_CC_NACIONAL!C564)</f>
        <v/>
      </c>
      <c r="D564" s="22" t="str">
        <f t="shared" si="1"/>
        <v>Other</v>
      </c>
    </row>
    <row r="565" ht="15.75" customHeight="1">
      <c r="A565" s="22" t="str">
        <f>IF(MOV_CC_NACIONAL!A565="","",MOV_CC_NACIONAL!A565)</f>
        <v/>
      </c>
      <c r="B565" s="22" t="str">
        <f>IF(MOV_CC_NACIONAL!B565="","",MOV_CC_NACIONAL!B565)</f>
        <v/>
      </c>
      <c r="C565" s="21" t="str">
        <f>IF(MOV_CC_NACIONAL!C565="","",MOV_CC_NACIONAL!C565)</f>
        <v/>
      </c>
      <c r="D565" s="22" t="str">
        <f t="shared" si="1"/>
        <v>Other</v>
      </c>
    </row>
    <row r="566" ht="15.75" customHeight="1">
      <c r="A566" s="22" t="str">
        <f>IF(MOV_CC_NACIONAL!A566="","",MOV_CC_NACIONAL!A566)</f>
        <v/>
      </c>
      <c r="B566" s="22" t="str">
        <f>IF(MOV_CC_NACIONAL!B566="","",MOV_CC_NACIONAL!B566)</f>
        <v/>
      </c>
      <c r="C566" s="21" t="str">
        <f>IF(MOV_CC_NACIONAL!C566="","",MOV_CC_NACIONAL!C566)</f>
        <v/>
      </c>
      <c r="D566" s="22" t="str">
        <f t="shared" si="1"/>
        <v>Other</v>
      </c>
    </row>
    <row r="567" ht="15.75" customHeight="1">
      <c r="A567" s="22" t="str">
        <f>IF(MOV_CC_NACIONAL!A567="","",MOV_CC_NACIONAL!A567)</f>
        <v/>
      </c>
      <c r="B567" s="22" t="str">
        <f>IF(MOV_CC_NACIONAL!B567="","",MOV_CC_NACIONAL!B567)</f>
        <v/>
      </c>
      <c r="C567" s="21" t="str">
        <f>IF(MOV_CC_NACIONAL!C567="","",MOV_CC_NACIONAL!C567)</f>
        <v/>
      </c>
      <c r="D567" s="22" t="str">
        <f t="shared" si="1"/>
        <v>Other</v>
      </c>
    </row>
    <row r="568" ht="15.75" customHeight="1">
      <c r="A568" s="22" t="str">
        <f>IF(MOV_CC_NACIONAL!A568="","",MOV_CC_NACIONAL!A568)</f>
        <v/>
      </c>
      <c r="B568" s="22" t="str">
        <f>IF(MOV_CC_NACIONAL!B568="","",MOV_CC_NACIONAL!B568)</f>
        <v/>
      </c>
      <c r="C568" s="21" t="str">
        <f>IF(MOV_CC_NACIONAL!C568="","",MOV_CC_NACIONAL!C568)</f>
        <v/>
      </c>
      <c r="D568" s="22" t="str">
        <f t="shared" si="1"/>
        <v>Other</v>
      </c>
    </row>
    <row r="569" ht="15.75" customHeight="1">
      <c r="A569" s="22" t="str">
        <f>IF(MOV_CC_NACIONAL!A569="","",MOV_CC_NACIONAL!A569)</f>
        <v/>
      </c>
      <c r="B569" s="22" t="str">
        <f>IF(MOV_CC_NACIONAL!B569="","",MOV_CC_NACIONAL!B569)</f>
        <v/>
      </c>
      <c r="C569" s="21" t="str">
        <f>IF(MOV_CC_NACIONAL!C569="","",MOV_CC_NACIONAL!C569)</f>
        <v/>
      </c>
      <c r="D569" s="22" t="str">
        <f t="shared" si="1"/>
        <v>Other</v>
      </c>
    </row>
    <row r="570" ht="15.75" customHeight="1">
      <c r="A570" s="22" t="str">
        <f>IF(MOV_CC_NACIONAL!A570="","",MOV_CC_NACIONAL!A570)</f>
        <v/>
      </c>
      <c r="B570" s="22" t="str">
        <f>IF(MOV_CC_NACIONAL!B570="","",MOV_CC_NACIONAL!B570)</f>
        <v/>
      </c>
      <c r="C570" s="21" t="str">
        <f>IF(MOV_CC_NACIONAL!C570="","",MOV_CC_NACIONAL!C570)</f>
        <v/>
      </c>
      <c r="D570" s="22" t="str">
        <f t="shared" si="1"/>
        <v>Other</v>
      </c>
    </row>
    <row r="571" ht="15.75" customHeight="1">
      <c r="A571" s="22" t="str">
        <f>IF(MOV_CC_NACIONAL!A571="","",MOV_CC_NACIONAL!A571)</f>
        <v/>
      </c>
      <c r="B571" s="22" t="str">
        <f>IF(MOV_CC_NACIONAL!B571="","",MOV_CC_NACIONAL!B571)</f>
        <v/>
      </c>
      <c r="C571" s="21" t="str">
        <f>IF(MOV_CC_NACIONAL!C571="","",MOV_CC_NACIONAL!C571)</f>
        <v/>
      </c>
      <c r="D571" s="22" t="str">
        <f t="shared" si="1"/>
        <v>Other</v>
      </c>
    </row>
    <row r="572" ht="15.75" customHeight="1">
      <c r="A572" s="22" t="str">
        <f>IF(MOV_CC_NACIONAL!A572="","",MOV_CC_NACIONAL!A572)</f>
        <v/>
      </c>
      <c r="B572" s="22" t="str">
        <f>IF(MOV_CC_NACIONAL!B572="","",MOV_CC_NACIONAL!B572)</f>
        <v/>
      </c>
      <c r="C572" s="21" t="str">
        <f>IF(MOV_CC_NACIONAL!C572="","",MOV_CC_NACIONAL!C572)</f>
        <v/>
      </c>
      <c r="D572" s="22" t="str">
        <f t="shared" si="1"/>
        <v>Other</v>
      </c>
    </row>
    <row r="573" ht="15.75" customHeight="1">
      <c r="A573" s="22" t="str">
        <f>IF(MOV_CC_NACIONAL!A573="","",MOV_CC_NACIONAL!A573)</f>
        <v/>
      </c>
      <c r="B573" s="22" t="str">
        <f>IF(MOV_CC_NACIONAL!B573="","",MOV_CC_NACIONAL!B573)</f>
        <v/>
      </c>
      <c r="C573" s="21" t="str">
        <f>IF(MOV_CC_NACIONAL!C573="","",MOV_CC_NACIONAL!C573)</f>
        <v/>
      </c>
      <c r="D573" s="22" t="str">
        <f t="shared" si="1"/>
        <v>Other</v>
      </c>
    </row>
    <row r="574" ht="15.75" customHeight="1">
      <c r="A574" s="22" t="str">
        <f>IF(MOV_CC_NACIONAL!A574="","",MOV_CC_NACIONAL!A574)</f>
        <v/>
      </c>
      <c r="B574" s="22" t="str">
        <f>IF(MOV_CC_NACIONAL!B574="","",MOV_CC_NACIONAL!B574)</f>
        <v/>
      </c>
      <c r="C574" s="21" t="str">
        <f>IF(MOV_CC_NACIONAL!C574="","",MOV_CC_NACIONAL!C574)</f>
        <v/>
      </c>
      <c r="D574" s="22" t="str">
        <f t="shared" si="1"/>
        <v>Other</v>
      </c>
    </row>
    <row r="575" ht="15.75" customHeight="1">
      <c r="A575" s="22" t="str">
        <f>IF(MOV_CC_NACIONAL!A575="","",MOV_CC_NACIONAL!A575)</f>
        <v/>
      </c>
      <c r="B575" s="22" t="str">
        <f>IF(MOV_CC_NACIONAL!B575="","",MOV_CC_NACIONAL!B575)</f>
        <v/>
      </c>
      <c r="C575" s="21" t="str">
        <f>IF(MOV_CC_NACIONAL!C575="","",MOV_CC_NACIONAL!C575)</f>
        <v/>
      </c>
      <c r="D575" s="22" t="str">
        <f t="shared" si="1"/>
        <v>Other</v>
      </c>
    </row>
    <row r="576" ht="15.75" customHeight="1">
      <c r="A576" s="22" t="str">
        <f>IF(MOV_CC_NACIONAL!A576="","",MOV_CC_NACIONAL!A576)</f>
        <v/>
      </c>
      <c r="B576" s="22" t="str">
        <f>IF(MOV_CC_NACIONAL!B576="","",MOV_CC_NACIONAL!B576)</f>
        <v/>
      </c>
      <c r="C576" s="21" t="str">
        <f>IF(MOV_CC_NACIONAL!C576="","",MOV_CC_NACIONAL!C576)</f>
        <v/>
      </c>
      <c r="D576" s="22" t="str">
        <f t="shared" si="1"/>
        <v>Other</v>
      </c>
    </row>
    <row r="577" ht="15.75" customHeight="1">
      <c r="A577" s="22" t="str">
        <f>IF(MOV_CC_NACIONAL!A577="","",MOV_CC_NACIONAL!A577)</f>
        <v/>
      </c>
      <c r="B577" s="22" t="str">
        <f>IF(MOV_CC_NACIONAL!B577="","",MOV_CC_NACIONAL!B577)</f>
        <v/>
      </c>
      <c r="C577" s="21" t="str">
        <f>IF(MOV_CC_NACIONAL!C577="","",MOV_CC_NACIONAL!C577)</f>
        <v/>
      </c>
      <c r="D577" s="22" t="str">
        <f t="shared" si="1"/>
        <v>Other</v>
      </c>
    </row>
    <row r="578" ht="15.75" customHeight="1">
      <c r="A578" s="22" t="str">
        <f>IF(MOV_CC_NACIONAL!A578="","",MOV_CC_NACIONAL!A578)</f>
        <v/>
      </c>
      <c r="B578" s="22" t="str">
        <f>IF(MOV_CC_NACIONAL!B578="","",MOV_CC_NACIONAL!B578)</f>
        <v/>
      </c>
      <c r="C578" s="21" t="str">
        <f>IF(MOV_CC_NACIONAL!C578="","",MOV_CC_NACIONAL!C578)</f>
        <v/>
      </c>
      <c r="D578" s="22" t="str">
        <f t="shared" si="1"/>
        <v>Other</v>
      </c>
    </row>
    <row r="579" ht="15.75" customHeight="1">
      <c r="A579" s="22" t="str">
        <f>IF(MOV_CC_NACIONAL!A579="","",MOV_CC_NACIONAL!A579)</f>
        <v/>
      </c>
      <c r="B579" s="22" t="str">
        <f>IF(MOV_CC_NACIONAL!B579="","",MOV_CC_NACIONAL!B579)</f>
        <v/>
      </c>
      <c r="C579" s="21" t="str">
        <f>IF(MOV_CC_NACIONAL!C579="","",MOV_CC_NACIONAL!C579)</f>
        <v/>
      </c>
      <c r="D579" s="22" t="str">
        <f t="shared" si="1"/>
        <v>Other</v>
      </c>
    </row>
    <row r="580" ht="15.75" customHeight="1">
      <c r="A580" s="22" t="str">
        <f>IF(MOV_CC_NACIONAL!A580="","",MOV_CC_NACIONAL!A580)</f>
        <v/>
      </c>
      <c r="B580" s="22" t="str">
        <f>IF(MOV_CC_NACIONAL!B580="","",MOV_CC_NACIONAL!B580)</f>
        <v/>
      </c>
      <c r="C580" s="21" t="str">
        <f>IF(MOV_CC_NACIONAL!C580="","",MOV_CC_NACIONAL!C580)</f>
        <v/>
      </c>
      <c r="D580" s="22" t="str">
        <f t="shared" si="1"/>
        <v>Other</v>
      </c>
    </row>
    <row r="581" ht="15.75" customHeight="1">
      <c r="A581" s="22" t="str">
        <f>IF(MOV_CC_NACIONAL!A581="","",MOV_CC_NACIONAL!A581)</f>
        <v/>
      </c>
      <c r="B581" s="22" t="str">
        <f>IF(MOV_CC_NACIONAL!B581="","",MOV_CC_NACIONAL!B581)</f>
        <v/>
      </c>
      <c r="C581" s="21" t="str">
        <f>IF(MOV_CC_NACIONAL!C581="","",MOV_CC_NACIONAL!C581)</f>
        <v/>
      </c>
      <c r="D581" s="22" t="str">
        <f t="shared" si="1"/>
        <v>Other</v>
      </c>
    </row>
    <row r="582" ht="15.75" customHeight="1">
      <c r="A582" s="22" t="str">
        <f>IF(MOV_CC_NACIONAL!A582="","",MOV_CC_NACIONAL!A582)</f>
        <v/>
      </c>
      <c r="B582" s="22" t="str">
        <f>IF(MOV_CC_NACIONAL!B582="","",MOV_CC_NACIONAL!B582)</f>
        <v/>
      </c>
      <c r="C582" s="21" t="str">
        <f>IF(MOV_CC_NACIONAL!C582="","",MOV_CC_NACIONAL!C582)</f>
        <v/>
      </c>
      <c r="D582" s="22" t="str">
        <f t="shared" si="1"/>
        <v>Other</v>
      </c>
    </row>
    <row r="583" ht="15.75" customHeight="1">
      <c r="A583" s="22" t="str">
        <f>IF(MOV_CC_NACIONAL!A583="","",MOV_CC_NACIONAL!A583)</f>
        <v/>
      </c>
      <c r="B583" s="22" t="str">
        <f>IF(MOV_CC_NACIONAL!B583="","",MOV_CC_NACIONAL!B583)</f>
        <v/>
      </c>
      <c r="C583" s="21" t="str">
        <f>IF(MOV_CC_NACIONAL!C583="","",MOV_CC_NACIONAL!C583)</f>
        <v/>
      </c>
      <c r="D583" s="22" t="str">
        <f t="shared" si="1"/>
        <v>Other</v>
      </c>
    </row>
    <row r="584" ht="15.75" customHeight="1">
      <c r="A584" s="22" t="str">
        <f>IF(MOV_CC_NACIONAL!A584="","",MOV_CC_NACIONAL!A584)</f>
        <v/>
      </c>
      <c r="B584" s="22" t="str">
        <f>IF(MOV_CC_NACIONAL!B584="","",MOV_CC_NACIONAL!B584)</f>
        <v/>
      </c>
      <c r="C584" s="21" t="str">
        <f>IF(MOV_CC_NACIONAL!C584="","",MOV_CC_NACIONAL!C584)</f>
        <v/>
      </c>
      <c r="D584" s="22" t="str">
        <f t="shared" si="1"/>
        <v>Other</v>
      </c>
    </row>
    <row r="585" ht="15.75" customHeight="1">
      <c r="A585" s="22" t="str">
        <f>IF(MOV_CC_NACIONAL!A585="","",MOV_CC_NACIONAL!A585)</f>
        <v/>
      </c>
      <c r="B585" s="22" t="str">
        <f>IF(MOV_CC_NACIONAL!B585="","",MOV_CC_NACIONAL!B585)</f>
        <v/>
      </c>
      <c r="C585" s="21" t="str">
        <f>IF(MOV_CC_NACIONAL!C585="","",MOV_CC_NACIONAL!C585)</f>
        <v/>
      </c>
      <c r="D585" s="22" t="str">
        <f t="shared" si="1"/>
        <v>Other</v>
      </c>
    </row>
    <row r="586" ht="15.75" customHeight="1">
      <c r="A586" s="22" t="str">
        <f>IF(MOV_CC_NACIONAL!A586="","",MOV_CC_NACIONAL!A586)</f>
        <v/>
      </c>
      <c r="B586" s="22" t="str">
        <f>IF(MOV_CC_NACIONAL!B586="","",MOV_CC_NACIONAL!B586)</f>
        <v/>
      </c>
      <c r="C586" s="21" t="str">
        <f>IF(MOV_CC_NACIONAL!C586="","",MOV_CC_NACIONAL!C586)</f>
        <v/>
      </c>
      <c r="D586" s="22" t="str">
        <f t="shared" si="1"/>
        <v>Other</v>
      </c>
    </row>
    <row r="587" ht="15.75" customHeight="1">
      <c r="A587" s="22" t="str">
        <f>IF(MOV_CC_NACIONAL!A587="","",MOV_CC_NACIONAL!A587)</f>
        <v/>
      </c>
      <c r="B587" s="22" t="str">
        <f>IF(MOV_CC_NACIONAL!B587="","",MOV_CC_NACIONAL!B587)</f>
        <v/>
      </c>
      <c r="C587" s="21" t="str">
        <f>IF(MOV_CC_NACIONAL!C587="","",MOV_CC_NACIONAL!C587)</f>
        <v/>
      </c>
      <c r="D587" s="22" t="str">
        <f t="shared" si="1"/>
        <v>Other</v>
      </c>
    </row>
    <row r="588" ht="15.75" customHeight="1">
      <c r="A588" s="22" t="str">
        <f>IF(MOV_CC_NACIONAL!A588="","",MOV_CC_NACIONAL!A588)</f>
        <v/>
      </c>
      <c r="B588" s="22" t="str">
        <f>IF(MOV_CC_NACIONAL!B588="","",MOV_CC_NACIONAL!B588)</f>
        <v/>
      </c>
      <c r="C588" s="21" t="str">
        <f>IF(MOV_CC_NACIONAL!C588="","",MOV_CC_NACIONAL!C588)</f>
        <v/>
      </c>
      <c r="D588" s="22" t="str">
        <f t="shared" si="1"/>
        <v>Other</v>
      </c>
    </row>
    <row r="589" ht="15.75" customHeight="1">
      <c r="A589" s="22" t="str">
        <f>IF(MOV_CC_NACIONAL!A589="","",MOV_CC_NACIONAL!A589)</f>
        <v/>
      </c>
      <c r="B589" s="22" t="str">
        <f>IF(MOV_CC_NACIONAL!B589="","",MOV_CC_NACIONAL!B589)</f>
        <v/>
      </c>
      <c r="C589" s="21" t="str">
        <f>IF(MOV_CC_NACIONAL!C589="","",MOV_CC_NACIONAL!C589)</f>
        <v/>
      </c>
      <c r="D589" s="22" t="str">
        <f t="shared" si="1"/>
        <v>Other</v>
      </c>
    </row>
    <row r="590" ht="15.75" customHeight="1">
      <c r="A590" s="22" t="str">
        <f>IF(MOV_CC_NACIONAL!A590="","",MOV_CC_NACIONAL!A590)</f>
        <v/>
      </c>
      <c r="B590" s="22" t="str">
        <f>IF(MOV_CC_NACIONAL!B590="","",MOV_CC_NACIONAL!B590)</f>
        <v/>
      </c>
      <c r="C590" s="21" t="str">
        <f>IF(MOV_CC_NACIONAL!C590="","",MOV_CC_NACIONAL!C590)</f>
        <v/>
      </c>
      <c r="D590" s="22" t="str">
        <f t="shared" si="1"/>
        <v>Other</v>
      </c>
    </row>
    <row r="591" ht="15.75" customHeight="1">
      <c r="A591" s="22" t="str">
        <f>IF(MOV_CC_NACIONAL!A591="","",MOV_CC_NACIONAL!A591)</f>
        <v/>
      </c>
      <c r="B591" s="22" t="str">
        <f>IF(MOV_CC_NACIONAL!B591="","",MOV_CC_NACIONAL!B591)</f>
        <v/>
      </c>
      <c r="C591" s="21" t="str">
        <f>IF(MOV_CC_NACIONAL!C591="","",MOV_CC_NACIONAL!C591)</f>
        <v/>
      </c>
      <c r="D591" s="22" t="str">
        <f t="shared" si="1"/>
        <v>Other</v>
      </c>
    </row>
    <row r="592" ht="15.75" customHeight="1">
      <c r="A592" s="22" t="str">
        <f>IF(MOV_CC_NACIONAL!A592="","",MOV_CC_NACIONAL!A592)</f>
        <v/>
      </c>
      <c r="B592" s="22" t="str">
        <f>IF(MOV_CC_NACIONAL!B592="","",MOV_CC_NACIONAL!B592)</f>
        <v/>
      </c>
      <c r="C592" s="21" t="str">
        <f>IF(MOV_CC_NACIONAL!C592="","",MOV_CC_NACIONAL!C592)</f>
        <v/>
      </c>
      <c r="D592" s="22" t="str">
        <f t="shared" si="1"/>
        <v>Other</v>
      </c>
    </row>
    <row r="593" ht="15.75" customHeight="1">
      <c r="A593" s="22" t="str">
        <f>IF(MOV_CC_NACIONAL!A593="","",MOV_CC_NACIONAL!A593)</f>
        <v/>
      </c>
      <c r="B593" s="22" t="str">
        <f>IF(MOV_CC_NACIONAL!B593="","",MOV_CC_NACIONAL!B593)</f>
        <v/>
      </c>
      <c r="C593" s="21" t="str">
        <f>IF(MOV_CC_NACIONAL!C593="","",MOV_CC_NACIONAL!C593)</f>
        <v/>
      </c>
      <c r="D593" s="22" t="str">
        <f t="shared" si="1"/>
        <v>Other</v>
      </c>
    </row>
    <row r="594" ht="15.75" customHeight="1">
      <c r="A594" s="22" t="str">
        <f>IF(MOV_CC_NACIONAL!A594="","",MOV_CC_NACIONAL!A594)</f>
        <v/>
      </c>
      <c r="B594" s="22" t="str">
        <f>IF(MOV_CC_NACIONAL!B594="","",MOV_CC_NACIONAL!B594)</f>
        <v/>
      </c>
      <c r="C594" s="21" t="str">
        <f>IF(MOV_CC_NACIONAL!C594="","",MOV_CC_NACIONAL!C594)</f>
        <v/>
      </c>
      <c r="D594" s="22" t="str">
        <f t="shared" si="1"/>
        <v>Other</v>
      </c>
    </row>
    <row r="595" ht="15.75" customHeight="1">
      <c r="A595" s="22" t="str">
        <f>IF(MOV_CC_NACIONAL!A595="","",MOV_CC_NACIONAL!A595)</f>
        <v/>
      </c>
      <c r="B595" s="22" t="str">
        <f>IF(MOV_CC_NACIONAL!B595="","",MOV_CC_NACIONAL!B595)</f>
        <v/>
      </c>
      <c r="C595" s="21" t="str">
        <f>IF(MOV_CC_NACIONAL!C595="","",MOV_CC_NACIONAL!C595)</f>
        <v/>
      </c>
      <c r="D595" s="22" t="str">
        <f t="shared" si="1"/>
        <v>Other</v>
      </c>
    </row>
    <row r="596" ht="15.75" customHeight="1">
      <c r="A596" s="22" t="str">
        <f>IF(MOV_CC_NACIONAL!A596="","",MOV_CC_NACIONAL!A596)</f>
        <v/>
      </c>
      <c r="B596" s="22" t="str">
        <f>IF(MOV_CC_NACIONAL!B596="","",MOV_CC_NACIONAL!B596)</f>
        <v/>
      </c>
      <c r="C596" s="21" t="str">
        <f>IF(MOV_CC_NACIONAL!C596="","",MOV_CC_NACIONAL!C596)</f>
        <v/>
      </c>
      <c r="D596" s="22" t="str">
        <f t="shared" si="1"/>
        <v>Other</v>
      </c>
    </row>
    <row r="597" ht="15.75" customHeight="1">
      <c r="A597" s="22" t="str">
        <f>IF(MOV_CC_NACIONAL!A597="","",MOV_CC_NACIONAL!A597)</f>
        <v/>
      </c>
      <c r="B597" s="22" t="str">
        <f>IF(MOV_CC_NACIONAL!B597="","",MOV_CC_NACIONAL!B597)</f>
        <v/>
      </c>
      <c r="C597" s="21" t="str">
        <f>IF(MOV_CC_NACIONAL!C597="","",MOV_CC_NACIONAL!C597)</f>
        <v/>
      </c>
      <c r="D597" s="22" t="str">
        <f t="shared" si="1"/>
        <v>Other</v>
      </c>
    </row>
    <row r="598" ht="15.75" customHeight="1">
      <c r="A598" s="22" t="str">
        <f>IF(MOV_CC_NACIONAL!A598="","",MOV_CC_NACIONAL!A598)</f>
        <v/>
      </c>
      <c r="B598" s="22" t="str">
        <f>IF(MOV_CC_NACIONAL!B598="","",MOV_CC_NACIONAL!B598)</f>
        <v/>
      </c>
      <c r="C598" s="21" t="str">
        <f>IF(MOV_CC_NACIONAL!C598="","",MOV_CC_NACIONAL!C598)</f>
        <v/>
      </c>
      <c r="D598" s="22" t="str">
        <f t="shared" si="1"/>
        <v>Other</v>
      </c>
    </row>
    <row r="599" ht="15.75" customHeight="1">
      <c r="A599" s="22" t="str">
        <f>IF(MOV_CC_NACIONAL!A599="","",MOV_CC_NACIONAL!A599)</f>
        <v/>
      </c>
      <c r="B599" s="22" t="str">
        <f>IF(MOV_CC_NACIONAL!B599="","",MOV_CC_NACIONAL!B599)</f>
        <v/>
      </c>
      <c r="C599" s="21" t="str">
        <f>IF(MOV_CC_NACIONAL!C599="","",MOV_CC_NACIONAL!C599)</f>
        <v/>
      </c>
      <c r="D599" s="22" t="str">
        <f t="shared" si="1"/>
        <v>Other</v>
      </c>
    </row>
    <row r="600" ht="15.75" customHeight="1">
      <c r="A600" s="22" t="str">
        <f>IF(MOV_CC_NACIONAL!A600="","",MOV_CC_NACIONAL!A600)</f>
        <v/>
      </c>
      <c r="B600" s="22" t="str">
        <f>IF(MOV_CC_NACIONAL!B600="","",MOV_CC_NACIONAL!B600)</f>
        <v/>
      </c>
      <c r="C600" s="21" t="str">
        <f>IF(MOV_CC_NACIONAL!C600="","",MOV_CC_NACIONAL!C600)</f>
        <v/>
      </c>
      <c r="D600" s="22" t="str">
        <f t="shared" si="1"/>
        <v>Other</v>
      </c>
    </row>
    <row r="601" ht="15.75" customHeight="1">
      <c r="A601" s="22" t="str">
        <f>IF(MOV_CC_NACIONAL!A601="","",MOV_CC_NACIONAL!A601)</f>
        <v/>
      </c>
      <c r="B601" s="22" t="str">
        <f>IF(MOV_CC_NACIONAL!B601="","",MOV_CC_NACIONAL!B601)</f>
        <v/>
      </c>
      <c r="C601" s="21" t="str">
        <f>IF(MOV_CC_NACIONAL!C601="","",MOV_CC_NACIONAL!C601)</f>
        <v/>
      </c>
      <c r="D601" s="22" t="str">
        <f t="shared" si="1"/>
        <v>Other</v>
      </c>
    </row>
    <row r="602" ht="15.75" customHeight="1">
      <c r="A602" s="22" t="str">
        <f>IF(MOV_CC_NACIONAL!A602="","",MOV_CC_NACIONAL!A602)</f>
        <v/>
      </c>
      <c r="B602" s="22" t="str">
        <f>IF(MOV_CC_NACIONAL!B602="","",MOV_CC_NACIONAL!B602)</f>
        <v/>
      </c>
      <c r="C602" s="21" t="str">
        <f>IF(MOV_CC_NACIONAL!C602="","",MOV_CC_NACIONAL!C602)</f>
        <v/>
      </c>
      <c r="D602" s="22" t="str">
        <f t="shared" si="1"/>
        <v>Other</v>
      </c>
    </row>
    <row r="603" ht="15.75" customHeight="1">
      <c r="A603" s="22" t="str">
        <f>IF(MOV_CC_NACIONAL!A603="","",MOV_CC_NACIONAL!A603)</f>
        <v/>
      </c>
      <c r="B603" s="22" t="str">
        <f>IF(MOV_CC_NACIONAL!B603="","",MOV_CC_NACIONAL!B603)</f>
        <v/>
      </c>
      <c r="C603" s="21" t="str">
        <f>IF(MOV_CC_NACIONAL!C603="","",MOV_CC_NACIONAL!C603)</f>
        <v/>
      </c>
      <c r="D603" s="22" t="str">
        <f t="shared" si="1"/>
        <v>Other</v>
      </c>
    </row>
    <row r="604" ht="15.75" customHeight="1">
      <c r="A604" s="22" t="str">
        <f>IF(MOV_CC_NACIONAL!A604="","",MOV_CC_NACIONAL!A604)</f>
        <v/>
      </c>
      <c r="B604" s="22" t="str">
        <f>IF(MOV_CC_NACIONAL!B604="","",MOV_CC_NACIONAL!B604)</f>
        <v/>
      </c>
      <c r="C604" s="21" t="str">
        <f>IF(MOV_CC_NACIONAL!C604="","",MOV_CC_NACIONAL!C604)</f>
        <v/>
      </c>
      <c r="D604" s="22" t="str">
        <f t="shared" si="1"/>
        <v>Other</v>
      </c>
    </row>
    <row r="605" ht="15.75" customHeight="1">
      <c r="A605" s="22" t="str">
        <f>IF(MOV_CC_NACIONAL!A605="","",MOV_CC_NACIONAL!A605)</f>
        <v/>
      </c>
      <c r="B605" s="22" t="str">
        <f>IF(MOV_CC_NACIONAL!B605="","",MOV_CC_NACIONAL!B605)</f>
        <v/>
      </c>
      <c r="C605" s="21" t="str">
        <f>IF(MOV_CC_NACIONAL!C605="","",MOV_CC_NACIONAL!C605)</f>
        <v/>
      </c>
      <c r="D605" s="22" t="str">
        <f t="shared" si="1"/>
        <v>Other</v>
      </c>
    </row>
    <row r="606" ht="15.75" customHeight="1">
      <c r="A606" s="22" t="str">
        <f>IF(MOV_CC_NACIONAL!A606="","",MOV_CC_NACIONAL!A606)</f>
        <v/>
      </c>
      <c r="B606" s="22" t="str">
        <f>IF(MOV_CC_NACIONAL!B606="","",MOV_CC_NACIONAL!B606)</f>
        <v/>
      </c>
      <c r="C606" s="21" t="str">
        <f>IF(MOV_CC_NACIONAL!C606="","",MOV_CC_NACIONAL!C606)</f>
        <v/>
      </c>
      <c r="D606" s="22" t="str">
        <f t="shared" si="1"/>
        <v>Other</v>
      </c>
    </row>
    <row r="607" ht="15.75" customHeight="1">
      <c r="A607" s="22" t="str">
        <f>IF(MOV_CC_NACIONAL!A607="","",MOV_CC_NACIONAL!A607)</f>
        <v/>
      </c>
      <c r="B607" s="22" t="str">
        <f>IF(MOV_CC_NACIONAL!B607="","",MOV_CC_NACIONAL!B607)</f>
        <v/>
      </c>
      <c r="C607" s="21" t="str">
        <f>IF(MOV_CC_NACIONAL!C607="","",MOV_CC_NACIONAL!C607)</f>
        <v/>
      </c>
      <c r="D607" s="22" t="str">
        <f t="shared" si="1"/>
        <v>Other</v>
      </c>
    </row>
    <row r="608" ht="15.75" customHeight="1">
      <c r="A608" s="22" t="str">
        <f>IF(MOV_CC_NACIONAL!A608="","",MOV_CC_NACIONAL!A608)</f>
        <v/>
      </c>
      <c r="B608" s="22" t="str">
        <f>IF(MOV_CC_NACIONAL!B608="","",MOV_CC_NACIONAL!B608)</f>
        <v/>
      </c>
      <c r="C608" s="21" t="str">
        <f>IF(MOV_CC_NACIONAL!C608="","",MOV_CC_NACIONAL!C608)</f>
        <v/>
      </c>
      <c r="D608" s="22" t="str">
        <f t="shared" si="1"/>
        <v>Other</v>
      </c>
    </row>
    <row r="609" ht="15.75" customHeight="1">
      <c r="A609" s="22" t="str">
        <f>IF(MOV_CC_NACIONAL!A609="","",MOV_CC_NACIONAL!A609)</f>
        <v/>
      </c>
      <c r="B609" s="22" t="str">
        <f>IF(MOV_CC_NACIONAL!B609="","",MOV_CC_NACIONAL!B609)</f>
        <v/>
      </c>
      <c r="C609" s="21" t="str">
        <f>IF(MOV_CC_NACIONAL!C609="","",MOV_CC_NACIONAL!C609)</f>
        <v/>
      </c>
      <c r="D609" s="22" t="str">
        <f t="shared" si="1"/>
        <v>Other</v>
      </c>
    </row>
    <row r="610" ht="15.75" customHeight="1">
      <c r="A610" s="22" t="str">
        <f>IF(MOV_CC_NACIONAL!A610="","",MOV_CC_NACIONAL!A610)</f>
        <v/>
      </c>
      <c r="B610" s="22" t="str">
        <f>IF(MOV_CC_NACIONAL!B610="","",MOV_CC_NACIONAL!B610)</f>
        <v/>
      </c>
      <c r="C610" s="21" t="str">
        <f>IF(MOV_CC_NACIONAL!C610="","",MOV_CC_NACIONAL!C610)</f>
        <v/>
      </c>
      <c r="D610" s="22" t="str">
        <f t="shared" si="1"/>
        <v>Other</v>
      </c>
    </row>
    <row r="611" ht="15.75" customHeight="1">
      <c r="A611" s="22" t="str">
        <f>IF(MOV_CC_NACIONAL!A611="","",MOV_CC_NACIONAL!A611)</f>
        <v/>
      </c>
      <c r="B611" s="22" t="str">
        <f>IF(MOV_CC_NACIONAL!B611="","",MOV_CC_NACIONAL!B611)</f>
        <v/>
      </c>
      <c r="C611" s="21" t="str">
        <f>IF(MOV_CC_NACIONAL!C611="","",MOV_CC_NACIONAL!C611)</f>
        <v/>
      </c>
      <c r="D611" s="22" t="str">
        <f t="shared" si="1"/>
        <v>Other</v>
      </c>
    </row>
    <row r="612" ht="15.75" customHeight="1">
      <c r="A612" s="22" t="str">
        <f>IF(MOV_CC_NACIONAL!A612="","",MOV_CC_NACIONAL!A612)</f>
        <v/>
      </c>
      <c r="B612" s="22" t="str">
        <f>IF(MOV_CC_NACIONAL!B612="","",MOV_CC_NACIONAL!B612)</f>
        <v/>
      </c>
      <c r="C612" s="21" t="str">
        <f>IF(MOV_CC_NACIONAL!C612="","",MOV_CC_NACIONAL!C612)</f>
        <v/>
      </c>
      <c r="D612" s="22" t="str">
        <f t="shared" si="1"/>
        <v>Other</v>
      </c>
    </row>
    <row r="613" ht="15.75" customHeight="1">
      <c r="A613" s="22" t="str">
        <f>IF(MOV_CC_NACIONAL!A613="","",MOV_CC_NACIONAL!A613)</f>
        <v/>
      </c>
      <c r="B613" s="22" t="str">
        <f>IF(MOV_CC_NACIONAL!B613="","",MOV_CC_NACIONAL!B613)</f>
        <v/>
      </c>
      <c r="C613" s="21" t="str">
        <f>IF(MOV_CC_NACIONAL!C613="","",MOV_CC_NACIONAL!C613)</f>
        <v/>
      </c>
      <c r="D613" s="22" t="str">
        <f t="shared" si="1"/>
        <v>Other</v>
      </c>
    </row>
    <row r="614" ht="15.75" customHeight="1">
      <c r="A614" s="22" t="str">
        <f>IF(MOV_CC_NACIONAL!A614="","",MOV_CC_NACIONAL!A614)</f>
        <v/>
      </c>
      <c r="B614" s="22" t="str">
        <f>IF(MOV_CC_NACIONAL!B614="","",MOV_CC_NACIONAL!B614)</f>
        <v/>
      </c>
      <c r="C614" s="21" t="str">
        <f>IF(MOV_CC_NACIONAL!C614="","",MOV_CC_NACIONAL!C614)</f>
        <v/>
      </c>
      <c r="D614" s="22" t="str">
        <f t="shared" si="1"/>
        <v>Other</v>
      </c>
    </row>
    <row r="615" ht="15.75" customHeight="1">
      <c r="A615" s="22" t="str">
        <f>IF(MOV_CC_NACIONAL!A615="","",MOV_CC_NACIONAL!A615)</f>
        <v/>
      </c>
      <c r="B615" s="22" t="str">
        <f>IF(MOV_CC_NACIONAL!B615="","",MOV_CC_NACIONAL!B615)</f>
        <v/>
      </c>
      <c r="C615" s="21" t="str">
        <f>IF(MOV_CC_NACIONAL!C615="","",MOV_CC_NACIONAL!C615)</f>
        <v/>
      </c>
      <c r="D615" s="22" t="str">
        <f t="shared" si="1"/>
        <v>Other</v>
      </c>
    </row>
    <row r="616" ht="15.75" customHeight="1">
      <c r="A616" s="22" t="str">
        <f>IF(MOV_CC_NACIONAL!A616="","",MOV_CC_NACIONAL!A616)</f>
        <v/>
      </c>
      <c r="B616" s="22" t="str">
        <f>IF(MOV_CC_NACIONAL!B616="","",MOV_CC_NACIONAL!B616)</f>
        <v/>
      </c>
      <c r="C616" s="21" t="str">
        <f>IF(MOV_CC_NACIONAL!C616="","",MOV_CC_NACIONAL!C616)</f>
        <v/>
      </c>
      <c r="D616" s="22" t="str">
        <f t="shared" si="1"/>
        <v>Other</v>
      </c>
    </row>
    <row r="617" ht="15.75" customHeight="1">
      <c r="A617" s="22" t="str">
        <f>IF(MOV_CC_NACIONAL!A617="","",MOV_CC_NACIONAL!A617)</f>
        <v/>
      </c>
      <c r="B617" s="22" t="str">
        <f>IF(MOV_CC_NACIONAL!B617="","",MOV_CC_NACIONAL!B617)</f>
        <v/>
      </c>
      <c r="C617" s="21" t="str">
        <f>IF(MOV_CC_NACIONAL!C617="","",MOV_CC_NACIONAL!C617)</f>
        <v/>
      </c>
      <c r="D617" s="22" t="str">
        <f t="shared" si="1"/>
        <v>Other</v>
      </c>
    </row>
    <row r="618" ht="15.75" customHeight="1">
      <c r="A618" s="22" t="str">
        <f>IF(MOV_CC_NACIONAL!A618="","",MOV_CC_NACIONAL!A618)</f>
        <v/>
      </c>
      <c r="B618" s="22" t="str">
        <f>IF(MOV_CC_NACIONAL!B618="","",MOV_CC_NACIONAL!B618)</f>
        <v/>
      </c>
      <c r="C618" s="21" t="str">
        <f>IF(MOV_CC_NACIONAL!C618="","",MOV_CC_NACIONAL!C618)</f>
        <v/>
      </c>
      <c r="D618" s="22" t="str">
        <f t="shared" si="1"/>
        <v>Other</v>
      </c>
    </row>
    <row r="619" ht="15.75" customHeight="1">
      <c r="A619" s="22" t="str">
        <f>IF(MOV_CC_NACIONAL!A619="","",MOV_CC_NACIONAL!A619)</f>
        <v/>
      </c>
      <c r="B619" s="22" t="str">
        <f>IF(MOV_CC_NACIONAL!B619="","",MOV_CC_NACIONAL!B619)</f>
        <v/>
      </c>
      <c r="C619" s="21" t="str">
        <f>IF(MOV_CC_NACIONAL!C619="","",MOV_CC_NACIONAL!C619)</f>
        <v/>
      </c>
      <c r="D619" s="22" t="str">
        <f t="shared" si="1"/>
        <v>Other</v>
      </c>
    </row>
    <row r="620" ht="15.75" customHeight="1">
      <c r="A620" s="22" t="str">
        <f>IF(MOV_CC_NACIONAL!A620="","",MOV_CC_NACIONAL!A620)</f>
        <v/>
      </c>
      <c r="B620" s="22" t="str">
        <f>IF(MOV_CC_NACIONAL!B620="","",MOV_CC_NACIONAL!B620)</f>
        <v/>
      </c>
      <c r="C620" s="21" t="str">
        <f>IF(MOV_CC_NACIONAL!C620="","",MOV_CC_NACIONAL!C620)</f>
        <v/>
      </c>
      <c r="D620" s="22" t="str">
        <f t="shared" si="1"/>
        <v>Other</v>
      </c>
    </row>
    <row r="621" ht="15.75" customHeight="1">
      <c r="A621" s="22" t="str">
        <f>IF(MOV_CC_NACIONAL!A621="","",MOV_CC_NACIONAL!A621)</f>
        <v/>
      </c>
      <c r="B621" s="22" t="str">
        <f>IF(MOV_CC_NACIONAL!B621="","",MOV_CC_NACIONAL!B621)</f>
        <v/>
      </c>
      <c r="C621" s="21" t="str">
        <f>IF(MOV_CC_NACIONAL!C621="","",MOV_CC_NACIONAL!C621)</f>
        <v/>
      </c>
      <c r="D621" s="22" t="str">
        <f t="shared" si="1"/>
        <v>Other</v>
      </c>
    </row>
    <row r="622" ht="15.75" customHeight="1">
      <c r="A622" s="22" t="str">
        <f>IF(MOV_CC_NACIONAL!A622="","",MOV_CC_NACIONAL!A622)</f>
        <v/>
      </c>
      <c r="B622" s="22" t="str">
        <f>IF(MOV_CC_NACIONAL!B622="","",MOV_CC_NACIONAL!B622)</f>
        <v/>
      </c>
      <c r="C622" s="21" t="str">
        <f>IF(MOV_CC_NACIONAL!C622="","",MOV_CC_NACIONAL!C622)</f>
        <v/>
      </c>
      <c r="D622" s="22" t="str">
        <f t="shared" si="1"/>
        <v>Other</v>
      </c>
    </row>
    <row r="623" ht="15.75" customHeight="1">
      <c r="A623" s="22" t="str">
        <f>IF(MOV_CC_NACIONAL!A623="","",MOV_CC_NACIONAL!A623)</f>
        <v/>
      </c>
      <c r="B623" s="22" t="str">
        <f>IF(MOV_CC_NACIONAL!B623="","",MOV_CC_NACIONAL!B623)</f>
        <v/>
      </c>
      <c r="C623" s="21" t="str">
        <f>IF(MOV_CC_NACIONAL!C623="","",MOV_CC_NACIONAL!C623)</f>
        <v/>
      </c>
      <c r="D623" s="22" t="str">
        <f t="shared" si="1"/>
        <v>Other</v>
      </c>
    </row>
    <row r="624" ht="15.75" customHeight="1">
      <c r="A624" s="22" t="str">
        <f>IF(MOV_CC_NACIONAL!A624="","",MOV_CC_NACIONAL!A624)</f>
        <v/>
      </c>
      <c r="B624" s="22" t="str">
        <f>IF(MOV_CC_NACIONAL!B624="","",MOV_CC_NACIONAL!B624)</f>
        <v/>
      </c>
      <c r="C624" s="21" t="str">
        <f>IF(MOV_CC_NACIONAL!C624="","",MOV_CC_NACIONAL!C624)</f>
        <v/>
      </c>
      <c r="D624" s="22" t="str">
        <f t="shared" si="1"/>
        <v>Other</v>
      </c>
    </row>
    <row r="625" ht="15.75" customHeight="1">
      <c r="A625" s="22" t="str">
        <f>IF(MOV_CC_NACIONAL!A625="","",MOV_CC_NACIONAL!A625)</f>
        <v/>
      </c>
      <c r="B625" s="22" t="str">
        <f>IF(MOV_CC_NACIONAL!B625="","",MOV_CC_NACIONAL!B625)</f>
        <v/>
      </c>
      <c r="C625" s="21" t="str">
        <f>IF(MOV_CC_NACIONAL!C625="","",MOV_CC_NACIONAL!C625)</f>
        <v/>
      </c>
      <c r="D625" s="22" t="str">
        <f t="shared" si="1"/>
        <v>Other</v>
      </c>
    </row>
    <row r="626" ht="15.75" customHeight="1">
      <c r="A626" s="22" t="str">
        <f>IF(MOV_CC_NACIONAL!A626="","",MOV_CC_NACIONAL!A626)</f>
        <v/>
      </c>
      <c r="B626" s="22" t="str">
        <f>IF(MOV_CC_NACIONAL!B626="","",MOV_CC_NACIONAL!B626)</f>
        <v/>
      </c>
      <c r="C626" s="21" t="str">
        <f>IF(MOV_CC_NACIONAL!C626="","",MOV_CC_NACIONAL!C626)</f>
        <v/>
      </c>
      <c r="D626" s="22" t="str">
        <f t="shared" si="1"/>
        <v>Other</v>
      </c>
    </row>
    <row r="627" ht="15.75" customHeight="1">
      <c r="A627" s="22" t="str">
        <f>IF(MOV_CC_NACIONAL!A627="","",MOV_CC_NACIONAL!A627)</f>
        <v/>
      </c>
      <c r="B627" s="22" t="str">
        <f>IF(MOV_CC_NACIONAL!B627="","",MOV_CC_NACIONAL!B627)</f>
        <v/>
      </c>
      <c r="C627" s="21" t="str">
        <f>IF(MOV_CC_NACIONAL!C627="","",MOV_CC_NACIONAL!C627)</f>
        <v/>
      </c>
      <c r="D627" s="22" t="str">
        <f t="shared" si="1"/>
        <v>Other</v>
      </c>
    </row>
    <row r="628" ht="15.75" customHeight="1">
      <c r="A628" s="22" t="str">
        <f>IF(MOV_CC_NACIONAL!A628="","",MOV_CC_NACIONAL!A628)</f>
        <v/>
      </c>
      <c r="B628" s="22" t="str">
        <f>IF(MOV_CC_NACIONAL!B628="","",MOV_CC_NACIONAL!B628)</f>
        <v/>
      </c>
      <c r="C628" s="21" t="str">
        <f>IF(MOV_CC_NACIONAL!C628="","",MOV_CC_NACIONAL!C628)</f>
        <v/>
      </c>
      <c r="D628" s="22" t="str">
        <f t="shared" si="1"/>
        <v>Other</v>
      </c>
    </row>
    <row r="629" ht="15.75" customHeight="1">
      <c r="A629" s="22" t="str">
        <f>IF(MOV_CC_NACIONAL!A629="","",MOV_CC_NACIONAL!A629)</f>
        <v/>
      </c>
      <c r="B629" s="22" t="str">
        <f>IF(MOV_CC_NACIONAL!B629="","",MOV_CC_NACIONAL!B629)</f>
        <v/>
      </c>
      <c r="C629" s="21" t="str">
        <f>IF(MOV_CC_NACIONAL!C629="","",MOV_CC_NACIONAL!C629)</f>
        <v/>
      </c>
      <c r="D629" s="22" t="str">
        <f t="shared" si="1"/>
        <v>Other</v>
      </c>
    </row>
    <row r="630" ht="15.75" customHeight="1">
      <c r="A630" s="22" t="str">
        <f>IF(MOV_CC_NACIONAL!A630="","",MOV_CC_NACIONAL!A630)</f>
        <v/>
      </c>
      <c r="B630" s="22" t="str">
        <f>IF(MOV_CC_NACIONAL!B630="","",MOV_CC_NACIONAL!B630)</f>
        <v/>
      </c>
      <c r="C630" s="21" t="str">
        <f>IF(MOV_CC_NACIONAL!C630="","",MOV_CC_NACIONAL!C630)</f>
        <v/>
      </c>
      <c r="D630" s="22" t="str">
        <f t="shared" si="1"/>
        <v>Other</v>
      </c>
    </row>
    <row r="631" ht="15.75" customHeight="1">
      <c r="A631" s="22" t="str">
        <f>IF(MOV_CC_NACIONAL!A631="","",MOV_CC_NACIONAL!A631)</f>
        <v/>
      </c>
      <c r="B631" s="22" t="str">
        <f>IF(MOV_CC_NACIONAL!B631="","",MOV_CC_NACIONAL!B631)</f>
        <v/>
      </c>
      <c r="C631" s="21" t="str">
        <f>IF(MOV_CC_NACIONAL!C631="","",MOV_CC_NACIONAL!C631)</f>
        <v/>
      </c>
      <c r="D631" s="22" t="str">
        <f t="shared" si="1"/>
        <v>Other</v>
      </c>
    </row>
    <row r="632" ht="15.75" customHeight="1">
      <c r="A632" s="22" t="str">
        <f>IF(MOV_CC_NACIONAL!A632="","",MOV_CC_NACIONAL!A632)</f>
        <v/>
      </c>
      <c r="B632" s="22" t="str">
        <f>IF(MOV_CC_NACIONAL!B632="","",MOV_CC_NACIONAL!B632)</f>
        <v/>
      </c>
      <c r="C632" s="21" t="str">
        <f>IF(MOV_CC_NACIONAL!C632="","",MOV_CC_NACIONAL!C632)</f>
        <v/>
      </c>
      <c r="D632" s="22" t="str">
        <f t="shared" si="1"/>
        <v>Other</v>
      </c>
    </row>
    <row r="633" ht="15.75" customHeight="1">
      <c r="A633" s="22" t="str">
        <f>IF(MOV_CC_NACIONAL!A633="","",MOV_CC_NACIONAL!A633)</f>
        <v/>
      </c>
      <c r="B633" s="22" t="str">
        <f>IF(MOV_CC_NACIONAL!B633="","",MOV_CC_NACIONAL!B633)</f>
        <v/>
      </c>
      <c r="C633" s="21" t="str">
        <f>IF(MOV_CC_NACIONAL!C633="","",MOV_CC_NACIONAL!C633)</f>
        <v/>
      </c>
      <c r="D633" s="22" t="str">
        <f t="shared" si="1"/>
        <v>Other</v>
      </c>
    </row>
    <row r="634" ht="15.75" customHeight="1">
      <c r="A634" s="22" t="str">
        <f>IF(MOV_CC_NACIONAL!A634="","",MOV_CC_NACIONAL!A634)</f>
        <v/>
      </c>
      <c r="B634" s="22" t="str">
        <f>IF(MOV_CC_NACIONAL!B634="","",MOV_CC_NACIONAL!B634)</f>
        <v/>
      </c>
      <c r="C634" s="21" t="str">
        <f>IF(MOV_CC_NACIONAL!C634="","",MOV_CC_NACIONAL!C634)</f>
        <v/>
      </c>
      <c r="D634" s="22" t="str">
        <f t="shared" si="1"/>
        <v>Other</v>
      </c>
    </row>
    <row r="635" ht="15.75" customHeight="1">
      <c r="A635" s="22" t="str">
        <f>IF(MOV_CC_NACIONAL!A635="","",MOV_CC_NACIONAL!A635)</f>
        <v/>
      </c>
      <c r="B635" s="22" t="str">
        <f>IF(MOV_CC_NACIONAL!B635="","",MOV_CC_NACIONAL!B635)</f>
        <v/>
      </c>
      <c r="C635" s="21" t="str">
        <f>IF(MOV_CC_NACIONAL!C635="","",MOV_CC_NACIONAL!C635)</f>
        <v/>
      </c>
      <c r="D635" s="22" t="str">
        <f t="shared" si="1"/>
        <v>Other</v>
      </c>
    </row>
    <row r="636" ht="15.75" customHeight="1">
      <c r="A636" s="22" t="str">
        <f>IF(MOV_CC_NACIONAL!A636="","",MOV_CC_NACIONAL!A636)</f>
        <v/>
      </c>
      <c r="B636" s="22" t="str">
        <f>IF(MOV_CC_NACIONAL!B636="","",MOV_CC_NACIONAL!B636)</f>
        <v/>
      </c>
      <c r="C636" s="21" t="str">
        <f>IF(MOV_CC_NACIONAL!C636="","",MOV_CC_NACIONAL!C636)</f>
        <v/>
      </c>
      <c r="D636" s="22" t="str">
        <f t="shared" si="1"/>
        <v>Other</v>
      </c>
    </row>
    <row r="637" ht="15.75" customHeight="1">
      <c r="A637" s="22" t="str">
        <f>IF(MOV_CC_NACIONAL!A637="","",MOV_CC_NACIONAL!A637)</f>
        <v/>
      </c>
      <c r="B637" s="22" t="str">
        <f>IF(MOV_CC_NACIONAL!B637="","",MOV_CC_NACIONAL!B637)</f>
        <v/>
      </c>
      <c r="C637" s="21" t="str">
        <f>IF(MOV_CC_NACIONAL!C637="","",MOV_CC_NACIONAL!C637)</f>
        <v/>
      </c>
      <c r="D637" s="22" t="str">
        <f t="shared" si="1"/>
        <v>Other</v>
      </c>
    </row>
    <row r="638" ht="15.75" customHeight="1">
      <c r="A638" s="22" t="str">
        <f>IF(MOV_CC_NACIONAL!A638="","",MOV_CC_NACIONAL!A638)</f>
        <v/>
      </c>
      <c r="B638" s="22" t="str">
        <f>IF(MOV_CC_NACIONAL!B638="","",MOV_CC_NACIONAL!B638)</f>
        <v/>
      </c>
      <c r="C638" s="21" t="str">
        <f>IF(MOV_CC_NACIONAL!C638="","",MOV_CC_NACIONAL!C638)</f>
        <v/>
      </c>
      <c r="D638" s="22" t="str">
        <f t="shared" si="1"/>
        <v>Other</v>
      </c>
    </row>
    <row r="639" ht="15.75" customHeight="1">
      <c r="A639" s="22" t="str">
        <f>IF(MOV_CC_NACIONAL!A639="","",MOV_CC_NACIONAL!A639)</f>
        <v/>
      </c>
      <c r="B639" s="22" t="str">
        <f>IF(MOV_CC_NACIONAL!B639="","",MOV_CC_NACIONAL!B639)</f>
        <v/>
      </c>
      <c r="C639" s="21" t="str">
        <f>IF(MOV_CC_NACIONAL!C639="","",MOV_CC_NACIONAL!C639)</f>
        <v/>
      </c>
      <c r="D639" s="22" t="str">
        <f t="shared" si="1"/>
        <v>Other</v>
      </c>
    </row>
    <row r="640" ht="15.75" customHeight="1">
      <c r="A640" s="22" t="str">
        <f>IF(MOV_CC_NACIONAL!A640="","",MOV_CC_NACIONAL!A640)</f>
        <v/>
      </c>
      <c r="B640" s="22" t="str">
        <f>IF(MOV_CC_NACIONAL!B640="","",MOV_CC_NACIONAL!B640)</f>
        <v/>
      </c>
      <c r="C640" s="21" t="str">
        <f>IF(MOV_CC_NACIONAL!C640="","",MOV_CC_NACIONAL!C640)</f>
        <v/>
      </c>
      <c r="D640" s="22" t="str">
        <f t="shared" si="1"/>
        <v>Other</v>
      </c>
    </row>
    <row r="641" ht="15.75" customHeight="1">
      <c r="A641" s="22" t="str">
        <f>IF(MOV_CC_NACIONAL!A641="","",MOV_CC_NACIONAL!A641)</f>
        <v/>
      </c>
      <c r="B641" s="22" t="str">
        <f>IF(MOV_CC_NACIONAL!B641="","",MOV_CC_NACIONAL!B641)</f>
        <v/>
      </c>
      <c r="C641" s="21" t="str">
        <f>IF(MOV_CC_NACIONAL!C641="","",MOV_CC_NACIONAL!C641)</f>
        <v/>
      </c>
      <c r="D641" s="22" t="str">
        <f t="shared" si="1"/>
        <v>Other</v>
      </c>
    </row>
    <row r="642" ht="15.75" customHeight="1">
      <c r="A642" s="22" t="str">
        <f>IF(MOV_CC_NACIONAL!A642="","",MOV_CC_NACIONAL!A642)</f>
        <v/>
      </c>
      <c r="B642" s="22" t="str">
        <f>IF(MOV_CC_NACIONAL!B642="","",MOV_CC_NACIONAL!B642)</f>
        <v/>
      </c>
      <c r="C642" s="21" t="str">
        <f>IF(MOV_CC_NACIONAL!C642="","",MOV_CC_NACIONAL!C642)</f>
        <v/>
      </c>
      <c r="D642" s="22" t="str">
        <f t="shared" si="1"/>
        <v>Other</v>
      </c>
    </row>
    <row r="643" ht="15.75" customHeight="1">
      <c r="A643" s="22" t="str">
        <f>IF(MOV_CC_NACIONAL!A643="","",MOV_CC_NACIONAL!A643)</f>
        <v/>
      </c>
      <c r="B643" s="22" t="str">
        <f>IF(MOV_CC_NACIONAL!B643="","",MOV_CC_NACIONAL!B643)</f>
        <v/>
      </c>
      <c r="C643" s="21" t="str">
        <f>IF(MOV_CC_NACIONAL!C643="","",MOV_CC_NACIONAL!C643)</f>
        <v/>
      </c>
      <c r="D643" s="22" t="str">
        <f t="shared" si="1"/>
        <v>Other</v>
      </c>
    </row>
    <row r="644" ht="15.75" customHeight="1">
      <c r="A644" s="22" t="str">
        <f>IF(MOV_CC_NACIONAL!A644="","",MOV_CC_NACIONAL!A644)</f>
        <v/>
      </c>
      <c r="B644" s="22" t="str">
        <f>IF(MOV_CC_NACIONAL!B644="","",MOV_CC_NACIONAL!B644)</f>
        <v/>
      </c>
      <c r="C644" s="21" t="str">
        <f>IF(MOV_CC_NACIONAL!C644="","",MOV_CC_NACIONAL!C644)</f>
        <v/>
      </c>
      <c r="D644" s="22" t="str">
        <f t="shared" si="1"/>
        <v>Other</v>
      </c>
    </row>
    <row r="645" ht="15.75" customHeight="1">
      <c r="A645" s="22" t="str">
        <f>IF(MOV_CC_NACIONAL!A645="","",MOV_CC_NACIONAL!A645)</f>
        <v/>
      </c>
      <c r="B645" s="22" t="str">
        <f>IF(MOV_CC_NACIONAL!B645="","",MOV_CC_NACIONAL!B645)</f>
        <v/>
      </c>
      <c r="C645" s="21" t="str">
        <f>IF(MOV_CC_NACIONAL!C645="","",MOV_CC_NACIONAL!C645)</f>
        <v/>
      </c>
      <c r="D645" s="22" t="str">
        <f t="shared" si="1"/>
        <v>Other</v>
      </c>
    </row>
    <row r="646" ht="15.75" customHeight="1">
      <c r="A646" s="22" t="str">
        <f>IF(MOV_CC_NACIONAL!A646="","",MOV_CC_NACIONAL!A646)</f>
        <v/>
      </c>
      <c r="B646" s="22" t="str">
        <f>IF(MOV_CC_NACIONAL!B646="","",MOV_CC_NACIONAL!B646)</f>
        <v/>
      </c>
      <c r="C646" s="21" t="str">
        <f>IF(MOV_CC_NACIONAL!C646="","",MOV_CC_NACIONAL!C646)</f>
        <v/>
      </c>
      <c r="D646" s="22" t="str">
        <f t="shared" si="1"/>
        <v>Other</v>
      </c>
    </row>
    <row r="647" ht="15.75" customHeight="1">
      <c r="A647" s="22" t="str">
        <f>IF(MOV_CC_NACIONAL!A647="","",MOV_CC_NACIONAL!A647)</f>
        <v/>
      </c>
      <c r="B647" s="22" t="str">
        <f>IF(MOV_CC_NACIONAL!B647="","",MOV_CC_NACIONAL!B647)</f>
        <v/>
      </c>
      <c r="C647" s="21" t="str">
        <f>IF(MOV_CC_NACIONAL!C647="","",MOV_CC_NACIONAL!C647)</f>
        <v/>
      </c>
      <c r="D647" s="22" t="str">
        <f t="shared" si="1"/>
        <v>Other</v>
      </c>
    </row>
    <row r="648" ht="15.75" customHeight="1">
      <c r="A648" s="22" t="str">
        <f>IF(MOV_CC_NACIONAL!A648="","",MOV_CC_NACIONAL!A648)</f>
        <v/>
      </c>
      <c r="B648" s="22" t="str">
        <f>IF(MOV_CC_NACIONAL!B648="","",MOV_CC_NACIONAL!B648)</f>
        <v/>
      </c>
      <c r="C648" s="21" t="str">
        <f>IF(MOV_CC_NACIONAL!C648="","",MOV_CC_NACIONAL!C648)</f>
        <v/>
      </c>
      <c r="D648" s="22" t="str">
        <f t="shared" si="1"/>
        <v>Other</v>
      </c>
    </row>
    <row r="649" ht="15.75" customHeight="1">
      <c r="A649" s="22" t="str">
        <f>IF(MOV_CC_NACIONAL!A649="","",MOV_CC_NACIONAL!A649)</f>
        <v/>
      </c>
      <c r="B649" s="22" t="str">
        <f>IF(MOV_CC_NACIONAL!B649="","",MOV_CC_NACIONAL!B649)</f>
        <v/>
      </c>
      <c r="C649" s="21" t="str">
        <f>IF(MOV_CC_NACIONAL!C649="","",MOV_CC_NACIONAL!C649)</f>
        <v/>
      </c>
      <c r="D649" s="22" t="str">
        <f t="shared" si="1"/>
        <v>Other</v>
      </c>
    </row>
    <row r="650" ht="15.75" customHeight="1">
      <c r="A650" s="22" t="str">
        <f>IF(MOV_CC_NACIONAL!A650="","",MOV_CC_NACIONAL!A650)</f>
        <v/>
      </c>
      <c r="B650" s="22" t="str">
        <f>IF(MOV_CC_NACIONAL!B650="","",MOV_CC_NACIONAL!B650)</f>
        <v/>
      </c>
      <c r="C650" s="21" t="str">
        <f>IF(MOV_CC_NACIONAL!C650="","",MOV_CC_NACIONAL!C650)</f>
        <v/>
      </c>
      <c r="D650" s="22" t="str">
        <f t="shared" si="1"/>
        <v>Other</v>
      </c>
    </row>
    <row r="651" ht="15.75" customHeight="1">
      <c r="A651" s="22" t="str">
        <f>IF(MOV_CC_NACIONAL!A651="","",MOV_CC_NACIONAL!A651)</f>
        <v/>
      </c>
      <c r="B651" s="22" t="str">
        <f>IF(MOV_CC_NACIONAL!B651="","",MOV_CC_NACIONAL!B651)</f>
        <v/>
      </c>
      <c r="C651" s="21" t="str">
        <f>IF(MOV_CC_NACIONAL!C651="","",MOV_CC_NACIONAL!C651)</f>
        <v/>
      </c>
      <c r="D651" s="22" t="str">
        <f t="shared" si="1"/>
        <v>Other</v>
      </c>
    </row>
    <row r="652" ht="15.75" customHeight="1">
      <c r="A652" s="22" t="str">
        <f>IF(MOV_CC_NACIONAL!A652="","",MOV_CC_NACIONAL!A652)</f>
        <v/>
      </c>
      <c r="B652" s="22" t="str">
        <f>IF(MOV_CC_NACIONAL!B652="","",MOV_CC_NACIONAL!B652)</f>
        <v/>
      </c>
      <c r="C652" s="21" t="str">
        <f>IF(MOV_CC_NACIONAL!C652="","",MOV_CC_NACIONAL!C652)</f>
        <v/>
      </c>
      <c r="D652" s="22" t="str">
        <f t="shared" si="1"/>
        <v>Other</v>
      </c>
    </row>
    <row r="653" ht="15.75" customHeight="1">
      <c r="A653" s="22" t="str">
        <f>IF(MOV_CC_NACIONAL!A653="","",MOV_CC_NACIONAL!A653)</f>
        <v/>
      </c>
      <c r="B653" s="22" t="str">
        <f>IF(MOV_CC_NACIONAL!B653="","",MOV_CC_NACIONAL!B653)</f>
        <v/>
      </c>
      <c r="C653" s="21" t="str">
        <f>IF(MOV_CC_NACIONAL!C653="","",MOV_CC_NACIONAL!C653)</f>
        <v/>
      </c>
      <c r="D653" s="22" t="str">
        <f t="shared" si="1"/>
        <v>Other</v>
      </c>
    </row>
    <row r="654" ht="15.75" customHeight="1">
      <c r="A654" s="22" t="str">
        <f>IF(MOV_CC_NACIONAL!A654="","",MOV_CC_NACIONAL!A654)</f>
        <v/>
      </c>
      <c r="B654" s="22" t="str">
        <f>IF(MOV_CC_NACIONAL!B654="","",MOV_CC_NACIONAL!B654)</f>
        <v/>
      </c>
      <c r="C654" s="21" t="str">
        <f>IF(MOV_CC_NACIONAL!C654="","",MOV_CC_NACIONAL!C654)</f>
        <v/>
      </c>
      <c r="D654" s="22" t="str">
        <f t="shared" si="1"/>
        <v>Other</v>
      </c>
    </row>
    <row r="655" ht="15.75" customHeight="1">
      <c r="A655" s="22" t="str">
        <f>IF(MOV_CC_NACIONAL!A655="","",MOV_CC_NACIONAL!A655)</f>
        <v/>
      </c>
      <c r="B655" s="22" t="str">
        <f>IF(MOV_CC_NACIONAL!B655="","",MOV_CC_NACIONAL!B655)</f>
        <v/>
      </c>
      <c r="C655" s="21" t="str">
        <f>IF(MOV_CC_NACIONAL!C655="","",MOV_CC_NACIONAL!C655)</f>
        <v/>
      </c>
      <c r="D655" s="22" t="str">
        <f t="shared" si="1"/>
        <v>Other</v>
      </c>
    </row>
    <row r="656" ht="15.75" customHeight="1">
      <c r="A656" s="22" t="str">
        <f>IF(MOV_CC_NACIONAL!A656="","",MOV_CC_NACIONAL!A656)</f>
        <v/>
      </c>
      <c r="B656" s="22" t="str">
        <f>IF(MOV_CC_NACIONAL!B656="","",MOV_CC_NACIONAL!B656)</f>
        <v/>
      </c>
      <c r="C656" s="21" t="str">
        <f>IF(MOV_CC_NACIONAL!C656="","",MOV_CC_NACIONAL!C656)</f>
        <v/>
      </c>
      <c r="D656" s="22" t="str">
        <f t="shared" si="1"/>
        <v>Other</v>
      </c>
    </row>
    <row r="657" ht="15.75" customHeight="1">
      <c r="A657" s="22" t="str">
        <f>IF(MOV_CC_NACIONAL!A657="","",MOV_CC_NACIONAL!A657)</f>
        <v/>
      </c>
      <c r="B657" s="22" t="str">
        <f>IF(MOV_CC_NACIONAL!B657="","",MOV_CC_NACIONAL!B657)</f>
        <v/>
      </c>
      <c r="C657" s="21" t="str">
        <f>IF(MOV_CC_NACIONAL!C657="","",MOV_CC_NACIONAL!C657)</f>
        <v/>
      </c>
      <c r="D657" s="22" t="str">
        <f t="shared" si="1"/>
        <v>Other</v>
      </c>
    </row>
    <row r="658" ht="15.75" customHeight="1">
      <c r="A658" s="22" t="str">
        <f>IF(MOV_CC_NACIONAL!A658="","",MOV_CC_NACIONAL!A658)</f>
        <v/>
      </c>
      <c r="B658" s="22" t="str">
        <f>IF(MOV_CC_NACIONAL!B658="","",MOV_CC_NACIONAL!B658)</f>
        <v/>
      </c>
      <c r="C658" s="21" t="str">
        <f>IF(MOV_CC_NACIONAL!C658="","",MOV_CC_NACIONAL!C658)</f>
        <v/>
      </c>
      <c r="D658" s="22" t="str">
        <f t="shared" si="1"/>
        <v>Other</v>
      </c>
    </row>
    <row r="659" ht="15.75" customHeight="1">
      <c r="A659" s="22" t="str">
        <f>IF(MOV_CC_NACIONAL!A659="","",MOV_CC_NACIONAL!A659)</f>
        <v/>
      </c>
      <c r="B659" s="22" t="str">
        <f>IF(MOV_CC_NACIONAL!B659="","",MOV_CC_NACIONAL!B659)</f>
        <v/>
      </c>
      <c r="C659" s="21" t="str">
        <f>IF(MOV_CC_NACIONAL!C659="","",MOV_CC_NACIONAL!C659)</f>
        <v/>
      </c>
      <c r="D659" s="22" t="str">
        <f t="shared" si="1"/>
        <v>Other</v>
      </c>
    </row>
    <row r="660" ht="15.75" customHeight="1">
      <c r="A660" s="22" t="str">
        <f>IF(MOV_CC_NACIONAL!A660="","",MOV_CC_NACIONAL!A660)</f>
        <v/>
      </c>
      <c r="B660" s="22" t="str">
        <f>IF(MOV_CC_NACIONAL!B660="","",MOV_CC_NACIONAL!B660)</f>
        <v/>
      </c>
      <c r="C660" s="21" t="str">
        <f>IF(MOV_CC_NACIONAL!C660="","",MOV_CC_NACIONAL!C660)</f>
        <v/>
      </c>
      <c r="D660" s="22" t="str">
        <f t="shared" si="1"/>
        <v>Other</v>
      </c>
    </row>
    <row r="661" ht="15.75" customHeight="1">
      <c r="A661" s="22" t="str">
        <f>IF(MOV_CC_NACIONAL!A661="","",MOV_CC_NACIONAL!A661)</f>
        <v/>
      </c>
      <c r="B661" s="22" t="str">
        <f>IF(MOV_CC_NACIONAL!B661="","",MOV_CC_NACIONAL!B661)</f>
        <v/>
      </c>
      <c r="C661" s="21" t="str">
        <f>IF(MOV_CC_NACIONAL!C661="","",MOV_CC_NACIONAL!C661)</f>
        <v/>
      </c>
      <c r="D661" s="22" t="str">
        <f t="shared" si="1"/>
        <v>Other</v>
      </c>
    </row>
    <row r="662" ht="15.75" customHeight="1">
      <c r="A662" s="22" t="str">
        <f>IF(MOV_CC_NACIONAL!A662="","",MOV_CC_NACIONAL!A662)</f>
        <v/>
      </c>
      <c r="B662" s="22" t="str">
        <f>IF(MOV_CC_NACIONAL!B662="","",MOV_CC_NACIONAL!B662)</f>
        <v/>
      </c>
      <c r="C662" s="21" t="str">
        <f>IF(MOV_CC_NACIONAL!C662="","",MOV_CC_NACIONAL!C662)</f>
        <v/>
      </c>
      <c r="D662" s="22" t="str">
        <f t="shared" si="1"/>
        <v>Other</v>
      </c>
    </row>
    <row r="663" ht="15.75" customHeight="1">
      <c r="A663" s="22" t="str">
        <f>IF(MOV_CC_NACIONAL!A663="","",MOV_CC_NACIONAL!A663)</f>
        <v/>
      </c>
      <c r="B663" s="22" t="str">
        <f>IF(MOV_CC_NACIONAL!B663="","",MOV_CC_NACIONAL!B663)</f>
        <v/>
      </c>
      <c r="C663" s="21" t="str">
        <f>IF(MOV_CC_NACIONAL!C663="","",MOV_CC_NACIONAL!C663)</f>
        <v/>
      </c>
      <c r="D663" s="22" t="str">
        <f t="shared" si="1"/>
        <v>Other</v>
      </c>
    </row>
    <row r="664" ht="15.75" customHeight="1">
      <c r="A664" s="22" t="str">
        <f>IF(MOV_CC_NACIONAL!A664="","",MOV_CC_NACIONAL!A664)</f>
        <v/>
      </c>
      <c r="B664" s="22" t="str">
        <f>IF(MOV_CC_NACIONAL!B664="","",MOV_CC_NACIONAL!B664)</f>
        <v/>
      </c>
      <c r="C664" s="21" t="str">
        <f>IF(MOV_CC_NACIONAL!C664="","",MOV_CC_NACIONAL!C664)</f>
        <v/>
      </c>
      <c r="D664" s="22" t="str">
        <f t="shared" si="1"/>
        <v>Other</v>
      </c>
    </row>
    <row r="665" ht="15.75" customHeight="1">
      <c r="A665" s="22" t="str">
        <f>IF(MOV_CC_NACIONAL!A665="","",MOV_CC_NACIONAL!A665)</f>
        <v/>
      </c>
      <c r="B665" s="22" t="str">
        <f>IF(MOV_CC_NACIONAL!B665="","",MOV_CC_NACIONAL!B665)</f>
        <v/>
      </c>
      <c r="C665" s="21" t="str">
        <f>IF(MOV_CC_NACIONAL!C665="","",MOV_CC_NACIONAL!C665)</f>
        <v/>
      </c>
      <c r="D665" s="22" t="str">
        <f t="shared" si="1"/>
        <v>Other</v>
      </c>
    </row>
    <row r="666" ht="15.75" customHeight="1">
      <c r="A666" s="22" t="str">
        <f>IF(MOV_CC_NACIONAL!A666="","",MOV_CC_NACIONAL!A666)</f>
        <v/>
      </c>
      <c r="B666" s="22" t="str">
        <f>IF(MOV_CC_NACIONAL!B666="","",MOV_CC_NACIONAL!B666)</f>
        <v/>
      </c>
      <c r="C666" s="21" t="str">
        <f>IF(MOV_CC_NACIONAL!C666="","",MOV_CC_NACIONAL!C666)</f>
        <v/>
      </c>
      <c r="D666" s="22" t="str">
        <f t="shared" si="1"/>
        <v>Other</v>
      </c>
    </row>
    <row r="667" ht="15.75" customHeight="1">
      <c r="A667" s="22" t="str">
        <f>IF(MOV_CC_NACIONAL!A667="","",MOV_CC_NACIONAL!A667)</f>
        <v/>
      </c>
      <c r="B667" s="22" t="str">
        <f>IF(MOV_CC_NACIONAL!B667="","",MOV_CC_NACIONAL!B667)</f>
        <v/>
      </c>
      <c r="C667" s="21" t="str">
        <f>IF(MOV_CC_NACIONAL!C667="","",MOV_CC_NACIONAL!C667)</f>
        <v/>
      </c>
      <c r="D667" s="22" t="str">
        <f t="shared" si="1"/>
        <v>Other</v>
      </c>
    </row>
    <row r="668" ht="15.75" customHeight="1">
      <c r="A668" s="22" t="str">
        <f>IF(MOV_CC_NACIONAL!A668="","",MOV_CC_NACIONAL!A668)</f>
        <v/>
      </c>
      <c r="B668" s="22" t="str">
        <f>IF(MOV_CC_NACIONAL!B668="","",MOV_CC_NACIONAL!B668)</f>
        <v/>
      </c>
      <c r="C668" s="21" t="str">
        <f>IF(MOV_CC_NACIONAL!C668="","",MOV_CC_NACIONAL!C668)</f>
        <v/>
      </c>
      <c r="D668" s="22" t="str">
        <f t="shared" si="1"/>
        <v>Other</v>
      </c>
    </row>
    <row r="669" ht="15.75" customHeight="1">
      <c r="A669" s="22" t="str">
        <f>IF(MOV_CC_NACIONAL!A669="","",MOV_CC_NACIONAL!A669)</f>
        <v/>
      </c>
      <c r="B669" s="22" t="str">
        <f>IF(MOV_CC_NACIONAL!B669="","",MOV_CC_NACIONAL!B669)</f>
        <v/>
      </c>
      <c r="C669" s="21" t="str">
        <f>IF(MOV_CC_NACIONAL!C669="","",MOV_CC_NACIONAL!C669)</f>
        <v/>
      </c>
      <c r="D669" s="22" t="str">
        <f t="shared" si="1"/>
        <v>Other</v>
      </c>
    </row>
    <row r="670" ht="15.75" customHeight="1">
      <c r="A670" s="22" t="str">
        <f>IF(MOV_CC_NACIONAL!A670="","",MOV_CC_NACIONAL!A670)</f>
        <v/>
      </c>
      <c r="B670" s="22" t="str">
        <f>IF(MOV_CC_NACIONAL!B670="","",MOV_CC_NACIONAL!B670)</f>
        <v/>
      </c>
      <c r="C670" s="21" t="str">
        <f>IF(MOV_CC_NACIONAL!C670="","",MOV_CC_NACIONAL!C670)</f>
        <v/>
      </c>
      <c r="D670" s="22" t="str">
        <f t="shared" si="1"/>
        <v>Other</v>
      </c>
    </row>
    <row r="671" ht="15.75" customHeight="1">
      <c r="A671" s="22" t="str">
        <f>IF(MOV_CC_NACIONAL!A671="","",MOV_CC_NACIONAL!A671)</f>
        <v/>
      </c>
      <c r="B671" s="22" t="str">
        <f>IF(MOV_CC_NACIONAL!B671="","",MOV_CC_NACIONAL!B671)</f>
        <v/>
      </c>
      <c r="C671" s="21" t="str">
        <f>IF(MOV_CC_NACIONAL!C671="","",MOV_CC_NACIONAL!C671)</f>
        <v/>
      </c>
      <c r="D671" s="22" t="str">
        <f t="shared" si="1"/>
        <v>Other</v>
      </c>
    </row>
    <row r="672" ht="15.75" customHeight="1">
      <c r="A672" s="22" t="str">
        <f>IF(MOV_CC_NACIONAL!A672="","",MOV_CC_NACIONAL!A672)</f>
        <v/>
      </c>
      <c r="B672" s="22" t="str">
        <f>IF(MOV_CC_NACIONAL!B672="","",MOV_CC_NACIONAL!B672)</f>
        <v/>
      </c>
      <c r="C672" s="21" t="str">
        <f>IF(MOV_CC_NACIONAL!C672="","",MOV_CC_NACIONAL!C672)</f>
        <v/>
      </c>
      <c r="D672" s="22" t="str">
        <f t="shared" si="1"/>
        <v>Other</v>
      </c>
    </row>
    <row r="673" ht="15.75" customHeight="1">
      <c r="A673" s="22" t="str">
        <f>IF(MOV_CC_NACIONAL!A673="","",MOV_CC_NACIONAL!A673)</f>
        <v/>
      </c>
      <c r="B673" s="22" t="str">
        <f>IF(MOV_CC_NACIONAL!B673="","",MOV_CC_NACIONAL!B673)</f>
        <v/>
      </c>
      <c r="C673" s="21" t="str">
        <f>IF(MOV_CC_NACIONAL!C673="","",MOV_CC_NACIONAL!C673)</f>
        <v/>
      </c>
      <c r="D673" s="22" t="str">
        <f t="shared" si="1"/>
        <v>Other</v>
      </c>
    </row>
    <row r="674" ht="15.75" customHeight="1">
      <c r="A674" s="22" t="str">
        <f>IF(MOV_CC_NACIONAL!A674="","",MOV_CC_NACIONAL!A674)</f>
        <v/>
      </c>
      <c r="B674" s="22" t="str">
        <f>IF(MOV_CC_NACIONAL!B674="","",MOV_CC_NACIONAL!B674)</f>
        <v/>
      </c>
      <c r="C674" s="21" t="str">
        <f>IF(MOV_CC_NACIONAL!C674="","",MOV_CC_NACIONAL!C674)</f>
        <v/>
      </c>
      <c r="D674" s="22" t="str">
        <f t="shared" si="1"/>
        <v>Other</v>
      </c>
    </row>
    <row r="675" ht="15.75" customHeight="1">
      <c r="A675" s="22" t="str">
        <f>IF(MOV_CC_NACIONAL!A675="","",MOV_CC_NACIONAL!A675)</f>
        <v/>
      </c>
      <c r="B675" s="22" t="str">
        <f>IF(MOV_CC_NACIONAL!B675="","",MOV_CC_NACIONAL!B675)</f>
        <v/>
      </c>
      <c r="C675" s="21" t="str">
        <f>IF(MOV_CC_NACIONAL!C675="","",MOV_CC_NACIONAL!C675)</f>
        <v/>
      </c>
      <c r="D675" s="22" t="str">
        <f t="shared" si="1"/>
        <v>Other</v>
      </c>
    </row>
    <row r="676" ht="15.75" customHeight="1">
      <c r="A676" s="22" t="str">
        <f>IF(MOV_CC_NACIONAL!A676="","",MOV_CC_NACIONAL!A676)</f>
        <v/>
      </c>
      <c r="B676" s="22" t="str">
        <f>IF(MOV_CC_NACIONAL!B676="","",MOV_CC_NACIONAL!B676)</f>
        <v/>
      </c>
      <c r="C676" s="21" t="str">
        <f>IF(MOV_CC_NACIONAL!C676="","",MOV_CC_NACIONAL!C676)</f>
        <v/>
      </c>
      <c r="D676" s="22" t="str">
        <f t="shared" si="1"/>
        <v>Other</v>
      </c>
    </row>
    <row r="677" ht="15.75" customHeight="1">
      <c r="A677" s="22" t="str">
        <f>IF(MOV_CC_NACIONAL!A677="","",MOV_CC_NACIONAL!A677)</f>
        <v/>
      </c>
      <c r="B677" s="22" t="str">
        <f>IF(MOV_CC_NACIONAL!B677="","",MOV_CC_NACIONAL!B677)</f>
        <v/>
      </c>
      <c r="C677" s="21" t="str">
        <f>IF(MOV_CC_NACIONAL!C677="","",MOV_CC_NACIONAL!C677)</f>
        <v/>
      </c>
      <c r="D677" s="22" t="str">
        <f t="shared" si="1"/>
        <v>Other</v>
      </c>
    </row>
    <row r="678" ht="15.75" customHeight="1">
      <c r="A678" s="22" t="str">
        <f>IF(MOV_CC_NACIONAL!A678="","",MOV_CC_NACIONAL!A678)</f>
        <v/>
      </c>
      <c r="B678" s="22" t="str">
        <f>IF(MOV_CC_NACIONAL!B678="","",MOV_CC_NACIONAL!B678)</f>
        <v/>
      </c>
      <c r="C678" s="21" t="str">
        <f>IF(MOV_CC_NACIONAL!C678="","",MOV_CC_NACIONAL!C678)</f>
        <v/>
      </c>
      <c r="D678" s="22" t="str">
        <f t="shared" si="1"/>
        <v>Other</v>
      </c>
    </row>
    <row r="679" ht="15.75" customHeight="1">
      <c r="A679" s="22" t="str">
        <f>IF(MOV_CC_NACIONAL!A679="","",MOV_CC_NACIONAL!A679)</f>
        <v/>
      </c>
      <c r="B679" s="22" t="str">
        <f>IF(MOV_CC_NACIONAL!B679="","",MOV_CC_NACIONAL!B679)</f>
        <v/>
      </c>
      <c r="C679" s="21" t="str">
        <f>IF(MOV_CC_NACIONAL!C679="","",MOV_CC_NACIONAL!C679)</f>
        <v/>
      </c>
      <c r="D679" s="22" t="str">
        <f t="shared" si="1"/>
        <v>Other</v>
      </c>
    </row>
    <row r="680" ht="15.75" customHeight="1">
      <c r="A680" s="22" t="str">
        <f>IF(MOV_CC_NACIONAL!A680="","",MOV_CC_NACIONAL!A680)</f>
        <v/>
      </c>
      <c r="B680" s="22" t="str">
        <f>IF(MOV_CC_NACIONAL!B680="","",MOV_CC_NACIONAL!B680)</f>
        <v/>
      </c>
      <c r="C680" s="21" t="str">
        <f>IF(MOV_CC_NACIONAL!C680="","",MOV_CC_NACIONAL!C680)</f>
        <v/>
      </c>
      <c r="D680" s="22" t="str">
        <f t="shared" si="1"/>
        <v>Other</v>
      </c>
    </row>
    <row r="681" ht="15.75" customHeight="1">
      <c r="A681" s="22" t="str">
        <f>IF(MOV_CC_NACIONAL!A681="","",MOV_CC_NACIONAL!A681)</f>
        <v/>
      </c>
      <c r="B681" s="22" t="str">
        <f>IF(MOV_CC_NACIONAL!B681="","",MOV_CC_NACIONAL!B681)</f>
        <v/>
      </c>
      <c r="C681" s="21" t="str">
        <f>IF(MOV_CC_NACIONAL!C681="","",MOV_CC_NACIONAL!C681)</f>
        <v/>
      </c>
      <c r="D681" s="22" t="str">
        <f t="shared" si="1"/>
        <v>Other</v>
      </c>
    </row>
    <row r="682" ht="15.75" customHeight="1">
      <c r="A682" s="22" t="str">
        <f>IF(MOV_CC_NACIONAL!A682="","",MOV_CC_NACIONAL!A682)</f>
        <v/>
      </c>
      <c r="B682" s="22" t="str">
        <f>IF(MOV_CC_NACIONAL!B682="","",MOV_CC_NACIONAL!B682)</f>
        <v/>
      </c>
      <c r="C682" s="21" t="str">
        <f>IF(MOV_CC_NACIONAL!C682="","",MOV_CC_NACIONAL!C682)</f>
        <v/>
      </c>
      <c r="D682" s="22" t="str">
        <f t="shared" si="1"/>
        <v>Other</v>
      </c>
    </row>
    <row r="683" ht="15.75" customHeight="1">
      <c r="A683" s="22" t="str">
        <f>IF(MOV_CC_NACIONAL!A683="","",MOV_CC_NACIONAL!A683)</f>
        <v/>
      </c>
      <c r="B683" s="22" t="str">
        <f>IF(MOV_CC_NACIONAL!B683="","",MOV_CC_NACIONAL!B683)</f>
        <v/>
      </c>
      <c r="C683" s="21" t="str">
        <f>IF(MOV_CC_NACIONAL!C683="","",MOV_CC_NACIONAL!C683)</f>
        <v/>
      </c>
      <c r="D683" s="22" t="str">
        <f t="shared" si="1"/>
        <v>Other</v>
      </c>
    </row>
    <row r="684" ht="15.75" customHeight="1">
      <c r="A684" s="22" t="str">
        <f>IF(MOV_CC_NACIONAL!A684="","",MOV_CC_NACIONAL!A684)</f>
        <v/>
      </c>
      <c r="B684" s="22" t="str">
        <f>IF(MOV_CC_NACIONAL!B684="","",MOV_CC_NACIONAL!B684)</f>
        <v/>
      </c>
      <c r="C684" s="21" t="str">
        <f>IF(MOV_CC_NACIONAL!C684="","",MOV_CC_NACIONAL!C684)</f>
        <v/>
      </c>
      <c r="D684" s="22" t="str">
        <f t="shared" si="1"/>
        <v>Other</v>
      </c>
    </row>
    <row r="685" ht="15.75" customHeight="1">
      <c r="A685" s="22" t="str">
        <f>IF(MOV_CC_NACIONAL!A685="","",MOV_CC_NACIONAL!A685)</f>
        <v/>
      </c>
      <c r="B685" s="22" t="str">
        <f>IF(MOV_CC_NACIONAL!B685="","",MOV_CC_NACIONAL!B685)</f>
        <v/>
      </c>
      <c r="C685" s="21" t="str">
        <f>IF(MOV_CC_NACIONAL!C685="","",MOV_CC_NACIONAL!C685)</f>
        <v/>
      </c>
      <c r="D685" s="22" t="str">
        <f t="shared" si="1"/>
        <v>Other</v>
      </c>
    </row>
    <row r="686" ht="15.75" customHeight="1">
      <c r="A686" s="22" t="str">
        <f>IF(MOV_CC_NACIONAL!A686="","",MOV_CC_NACIONAL!A686)</f>
        <v/>
      </c>
      <c r="B686" s="22" t="str">
        <f>IF(MOV_CC_NACIONAL!B686="","",MOV_CC_NACIONAL!B686)</f>
        <v/>
      </c>
      <c r="C686" s="21" t="str">
        <f>IF(MOV_CC_NACIONAL!C686="","",MOV_CC_NACIONAL!C686)</f>
        <v/>
      </c>
      <c r="D686" s="22" t="str">
        <f t="shared" si="1"/>
        <v>Other</v>
      </c>
    </row>
    <row r="687" ht="15.75" customHeight="1">
      <c r="A687" s="22" t="str">
        <f>IF(MOV_CC_NACIONAL!A687="","",MOV_CC_NACIONAL!A687)</f>
        <v/>
      </c>
      <c r="B687" s="22" t="str">
        <f>IF(MOV_CC_NACIONAL!B687="","",MOV_CC_NACIONAL!B687)</f>
        <v/>
      </c>
      <c r="C687" s="21" t="str">
        <f>IF(MOV_CC_NACIONAL!C687="","",MOV_CC_NACIONAL!C687)</f>
        <v/>
      </c>
      <c r="D687" s="22" t="str">
        <f t="shared" si="1"/>
        <v>Other</v>
      </c>
    </row>
    <row r="688" ht="15.75" customHeight="1">
      <c r="A688" s="22" t="str">
        <f>IF(MOV_CC_NACIONAL!A688="","",MOV_CC_NACIONAL!A688)</f>
        <v/>
      </c>
      <c r="B688" s="22" t="str">
        <f>IF(MOV_CC_NACIONAL!B688="","",MOV_CC_NACIONAL!B688)</f>
        <v/>
      </c>
      <c r="C688" s="21" t="str">
        <f>IF(MOV_CC_NACIONAL!C688="","",MOV_CC_NACIONAL!C688)</f>
        <v/>
      </c>
      <c r="D688" s="22" t="str">
        <f t="shared" si="1"/>
        <v>Other</v>
      </c>
    </row>
    <row r="689" ht="15.75" customHeight="1">
      <c r="A689" s="22" t="str">
        <f>IF(MOV_CC_NACIONAL!A689="","",MOV_CC_NACIONAL!A689)</f>
        <v/>
      </c>
      <c r="B689" s="22" t="str">
        <f>IF(MOV_CC_NACIONAL!B689="","",MOV_CC_NACIONAL!B689)</f>
        <v/>
      </c>
      <c r="C689" s="21" t="str">
        <f>IF(MOV_CC_NACIONAL!C689="","",MOV_CC_NACIONAL!C689)</f>
        <v/>
      </c>
      <c r="D689" s="22" t="str">
        <f t="shared" si="1"/>
        <v>Other</v>
      </c>
    </row>
    <row r="690" ht="15.75" customHeight="1">
      <c r="A690" s="22" t="str">
        <f>IF(MOV_CC_NACIONAL!A690="","",MOV_CC_NACIONAL!A690)</f>
        <v/>
      </c>
      <c r="B690" s="22" t="str">
        <f>IF(MOV_CC_NACIONAL!B690="","",MOV_CC_NACIONAL!B690)</f>
        <v/>
      </c>
      <c r="C690" s="21" t="str">
        <f>IF(MOV_CC_NACIONAL!C690="","",MOV_CC_NACIONAL!C690)</f>
        <v/>
      </c>
      <c r="D690" s="22" t="str">
        <f t="shared" si="1"/>
        <v>Other</v>
      </c>
    </row>
    <row r="691" ht="15.75" customHeight="1">
      <c r="A691" s="22" t="str">
        <f>IF(MOV_CC_NACIONAL!A691="","",MOV_CC_NACIONAL!A691)</f>
        <v/>
      </c>
      <c r="B691" s="22" t="str">
        <f>IF(MOV_CC_NACIONAL!B691="","",MOV_CC_NACIONAL!B691)</f>
        <v/>
      </c>
      <c r="C691" s="21" t="str">
        <f>IF(MOV_CC_NACIONAL!C691="","",MOV_CC_NACIONAL!C691)</f>
        <v/>
      </c>
      <c r="D691" s="22" t="str">
        <f t="shared" si="1"/>
        <v>Other</v>
      </c>
    </row>
    <row r="692" ht="15.75" customHeight="1">
      <c r="A692" s="22" t="str">
        <f>IF(MOV_CC_NACIONAL!A692="","",MOV_CC_NACIONAL!A692)</f>
        <v/>
      </c>
      <c r="B692" s="22" t="str">
        <f>IF(MOV_CC_NACIONAL!B692="","",MOV_CC_NACIONAL!B692)</f>
        <v/>
      </c>
      <c r="C692" s="21" t="str">
        <f>IF(MOV_CC_NACIONAL!C692="","",MOV_CC_NACIONAL!C692)</f>
        <v/>
      </c>
      <c r="D692" s="22" t="str">
        <f t="shared" si="1"/>
        <v>Other</v>
      </c>
    </row>
    <row r="693" ht="15.75" customHeight="1">
      <c r="A693" s="22" t="str">
        <f>IF(MOV_CC_NACIONAL!A693="","",MOV_CC_NACIONAL!A693)</f>
        <v/>
      </c>
      <c r="B693" s="22" t="str">
        <f>IF(MOV_CC_NACIONAL!B693="","",MOV_CC_NACIONAL!B693)</f>
        <v/>
      </c>
      <c r="C693" s="21" t="str">
        <f>IF(MOV_CC_NACIONAL!C693="","",MOV_CC_NACIONAL!C693)</f>
        <v/>
      </c>
      <c r="D693" s="22" t="str">
        <f t="shared" si="1"/>
        <v>Other</v>
      </c>
    </row>
    <row r="694" ht="15.75" customHeight="1">
      <c r="A694" s="22" t="str">
        <f>IF(MOV_CC_NACIONAL!A694="","",MOV_CC_NACIONAL!A694)</f>
        <v/>
      </c>
      <c r="B694" s="22" t="str">
        <f>IF(MOV_CC_NACIONAL!B694="","",MOV_CC_NACIONAL!B694)</f>
        <v/>
      </c>
      <c r="C694" s="21" t="str">
        <f>IF(MOV_CC_NACIONAL!C694="","",MOV_CC_NACIONAL!C694)</f>
        <v/>
      </c>
      <c r="D694" s="22" t="str">
        <f t="shared" si="1"/>
        <v>Other</v>
      </c>
    </row>
    <row r="695" ht="15.75" customHeight="1">
      <c r="A695" s="22" t="str">
        <f>IF(MOV_CC_NACIONAL!A695="","",MOV_CC_NACIONAL!A695)</f>
        <v/>
      </c>
      <c r="B695" s="22" t="str">
        <f>IF(MOV_CC_NACIONAL!B695="","",MOV_CC_NACIONAL!B695)</f>
        <v/>
      </c>
      <c r="C695" s="21" t="str">
        <f>IF(MOV_CC_NACIONAL!C695="","",MOV_CC_NACIONAL!C695)</f>
        <v/>
      </c>
      <c r="D695" s="22" t="str">
        <f t="shared" si="1"/>
        <v>Other</v>
      </c>
    </row>
    <row r="696" ht="15.75" customHeight="1">
      <c r="A696" s="22" t="str">
        <f>IF(MOV_CC_NACIONAL!A696="","",MOV_CC_NACIONAL!A696)</f>
        <v/>
      </c>
      <c r="B696" s="22" t="str">
        <f>IF(MOV_CC_NACIONAL!B696="","",MOV_CC_NACIONAL!B696)</f>
        <v/>
      </c>
      <c r="C696" s="21" t="str">
        <f>IF(MOV_CC_NACIONAL!C696="","",MOV_CC_NACIONAL!C696)</f>
        <v/>
      </c>
      <c r="D696" s="22" t="str">
        <f t="shared" si="1"/>
        <v>Other</v>
      </c>
    </row>
    <row r="697" ht="15.75" customHeight="1">
      <c r="A697" s="22" t="str">
        <f>IF(MOV_CC_NACIONAL!A697="","",MOV_CC_NACIONAL!A697)</f>
        <v/>
      </c>
      <c r="B697" s="22" t="str">
        <f>IF(MOV_CC_NACIONAL!B697="","",MOV_CC_NACIONAL!B697)</f>
        <v/>
      </c>
      <c r="C697" s="21" t="str">
        <f>IF(MOV_CC_NACIONAL!C697="","",MOV_CC_NACIONAL!C697)</f>
        <v/>
      </c>
      <c r="D697" s="22" t="str">
        <f t="shared" si="1"/>
        <v>Other</v>
      </c>
    </row>
    <row r="698" ht="15.75" customHeight="1">
      <c r="A698" s="22" t="str">
        <f>IF(MOV_CC_NACIONAL!A698="","",MOV_CC_NACIONAL!A698)</f>
        <v/>
      </c>
      <c r="B698" s="22" t="str">
        <f>IF(MOV_CC_NACIONAL!B698="","",MOV_CC_NACIONAL!B698)</f>
        <v/>
      </c>
      <c r="C698" s="21" t="str">
        <f>IF(MOV_CC_NACIONAL!C698="","",MOV_CC_NACIONAL!C698)</f>
        <v/>
      </c>
      <c r="D698" s="22" t="str">
        <f t="shared" si="1"/>
        <v>Other</v>
      </c>
    </row>
    <row r="699" ht="15.75" customHeight="1">
      <c r="A699" s="22" t="str">
        <f>IF(MOV_CC_NACIONAL!A699="","",MOV_CC_NACIONAL!A699)</f>
        <v/>
      </c>
      <c r="B699" s="22" t="str">
        <f>IF(MOV_CC_NACIONAL!B699="","",MOV_CC_NACIONAL!B699)</f>
        <v/>
      </c>
      <c r="C699" s="21" t="str">
        <f>IF(MOV_CC_NACIONAL!C699="","",MOV_CC_NACIONAL!C699)</f>
        <v/>
      </c>
      <c r="D699" s="22" t="str">
        <f t="shared" si="1"/>
        <v>Other</v>
      </c>
    </row>
    <row r="700" ht="15.75" customHeight="1">
      <c r="A700" s="22" t="str">
        <f>IF(MOV_CC_NACIONAL!A700="","",MOV_CC_NACIONAL!A700)</f>
        <v/>
      </c>
      <c r="B700" s="22" t="str">
        <f>IF(MOV_CC_NACIONAL!B700="","",MOV_CC_NACIONAL!B700)</f>
        <v/>
      </c>
      <c r="C700" s="21" t="str">
        <f>IF(MOV_CC_NACIONAL!C700="","",MOV_CC_NACIONAL!C700)</f>
        <v/>
      </c>
      <c r="D700" s="22" t="str">
        <f t="shared" si="1"/>
        <v>Other</v>
      </c>
    </row>
    <row r="701" ht="15.75" customHeight="1">
      <c r="A701" s="22" t="str">
        <f>IF(MOV_CC_NACIONAL!A701="","",MOV_CC_NACIONAL!A701)</f>
        <v/>
      </c>
      <c r="B701" s="22" t="str">
        <f>IF(MOV_CC_NACIONAL!B701="","",MOV_CC_NACIONAL!B701)</f>
        <v/>
      </c>
      <c r="C701" s="21" t="str">
        <f>IF(MOV_CC_NACIONAL!C701="","",MOV_CC_NACIONAL!C701)</f>
        <v/>
      </c>
      <c r="D701" s="22" t="str">
        <f t="shared" si="1"/>
        <v>Other</v>
      </c>
    </row>
    <row r="702" ht="15.75" customHeight="1">
      <c r="A702" s="22" t="str">
        <f>IF(MOV_CC_NACIONAL!A702="","",MOV_CC_NACIONAL!A702)</f>
        <v/>
      </c>
      <c r="B702" s="22" t="str">
        <f>IF(MOV_CC_NACIONAL!B702="","",MOV_CC_NACIONAL!B702)</f>
        <v/>
      </c>
      <c r="C702" s="21" t="str">
        <f>IF(MOV_CC_NACIONAL!C702="","",MOV_CC_NACIONAL!C702)</f>
        <v/>
      </c>
      <c r="D702" s="22" t="str">
        <f t="shared" si="1"/>
        <v>Other</v>
      </c>
    </row>
    <row r="703" ht="15.75" customHeight="1">
      <c r="A703" s="22" t="str">
        <f>IF(MOV_CC_NACIONAL!A703="","",MOV_CC_NACIONAL!A703)</f>
        <v/>
      </c>
      <c r="B703" s="22" t="str">
        <f>IF(MOV_CC_NACIONAL!B703="","",MOV_CC_NACIONAL!B703)</f>
        <v/>
      </c>
      <c r="C703" s="21" t="str">
        <f>IF(MOV_CC_NACIONAL!C703="","",MOV_CC_NACIONAL!C703)</f>
        <v/>
      </c>
      <c r="D703" s="22" t="str">
        <f t="shared" si="1"/>
        <v>Other</v>
      </c>
    </row>
    <row r="704" ht="15.75" customHeight="1">
      <c r="A704" s="22" t="str">
        <f>IF(MOV_CC_NACIONAL!A704="","",MOV_CC_NACIONAL!A704)</f>
        <v/>
      </c>
      <c r="B704" s="22" t="str">
        <f>IF(MOV_CC_NACIONAL!B704="","",MOV_CC_NACIONAL!B704)</f>
        <v/>
      </c>
      <c r="C704" s="21" t="str">
        <f>IF(MOV_CC_NACIONAL!C704="","",MOV_CC_NACIONAL!C704)</f>
        <v/>
      </c>
      <c r="D704" s="22" t="str">
        <f t="shared" si="1"/>
        <v>Other</v>
      </c>
    </row>
    <row r="705" ht="15.75" customHeight="1">
      <c r="A705" s="22" t="str">
        <f>IF(MOV_CC_NACIONAL!A705="","",MOV_CC_NACIONAL!A705)</f>
        <v/>
      </c>
      <c r="B705" s="22" t="str">
        <f>IF(MOV_CC_NACIONAL!B705="","",MOV_CC_NACIONAL!B705)</f>
        <v/>
      </c>
      <c r="C705" s="21" t="str">
        <f>IF(MOV_CC_NACIONAL!C705="","",MOV_CC_NACIONAL!C705)</f>
        <v/>
      </c>
      <c r="D705" s="22" t="str">
        <f t="shared" si="1"/>
        <v>Other</v>
      </c>
    </row>
    <row r="706" ht="15.75" customHeight="1">
      <c r="A706" s="22" t="str">
        <f>IF(MOV_CC_NACIONAL!A706="","",MOV_CC_NACIONAL!A706)</f>
        <v/>
      </c>
      <c r="B706" s="22" t="str">
        <f>IF(MOV_CC_NACIONAL!B706="","",MOV_CC_NACIONAL!B706)</f>
        <v/>
      </c>
      <c r="C706" s="21" t="str">
        <f>IF(MOV_CC_NACIONAL!C706="","",MOV_CC_NACIONAL!C706)</f>
        <v/>
      </c>
      <c r="D706" s="22" t="str">
        <f t="shared" si="1"/>
        <v>Other</v>
      </c>
    </row>
    <row r="707" ht="15.75" customHeight="1">
      <c r="A707" s="22" t="str">
        <f>IF(MOV_CC_NACIONAL!A707="","",MOV_CC_NACIONAL!A707)</f>
        <v/>
      </c>
      <c r="B707" s="22" t="str">
        <f>IF(MOV_CC_NACIONAL!B707="","",MOV_CC_NACIONAL!B707)</f>
        <v/>
      </c>
      <c r="C707" s="21" t="str">
        <f>IF(MOV_CC_NACIONAL!C707="","",MOV_CC_NACIONAL!C707)</f>
        <v/>
      </c>
      <c r="D707" s="22" t="str">
        <f t="shared" si="1"/>
        <v>Other</v>
      </c>
    </row>
    <row r="708" ht="15.75" customHeight="1">
      <c r="A708" s="22" t="str">
        <f>IF(MOV_CC_NACIONAL!A708="","",MOV_CC_NACIONAL!A708)</f>
        <v/>
      </c>
      <c r="B708" s="22" t="str">
        <f>IF(MOV_CC_NACIONAL!B708="","",MOV_CC_NACIONAL!B708)</f>
        <v/>
      </c>
      <c r="C708" s="21" t="str">
        <f>IF(MOV_CC_NACIONAL!C708="","",MOV_CC_NACIONAL!C708)</f>
        <v/>
      </c>
      <c r="D708" s="22" t="str">
        <f t="shared" si="1"/>
        <v>Other</v>
      </c>
    </row>
    <row r="709" ht="15.75" customHeight="1">
      <c r="A709" s="22" t="str">
        <f>IF(MOV_CC_NACIONAL!A709="","",MOV_CC_NACIONAL!A709)</f>
        <v/>
      </c>
      <c r="B709" s="22" t="str">
        <f>IF(MOV_CC_NACIONAL!B709="","",MOV_CC_NACIONAL!B709)</f>
        <v/>
      </c>
      <c r="C709" s="21" t="str">
        <f>IF(MOV_CC_NACIONAL!C709="","",MOV_CC_NACIONAL!C709)</f>
        <v/>
      </c>
      <c r="D709" s="22" t="str">
        <f t="shared" si="1"/>
        <v>Other</v>
      </c>
    </row>
    <row r="710" ht="15.75" customHeight="1">
      <c r="A710" s="22" t="str">
        <f>IF(MOV_CC_NACIONAL!A710="","",MOV_CC_NACIONAL!A710)</f>
        <v/>
      </c>
      <c r="B710" s="22" t="str">
        <f>IF(MOV_CC_NACIONAL!B710="","",MOV_CC_NACIONAL!B710)</f>
        <v/>
      </c>
      <c r="C710" s="21" t="str">
        <f>IF(MOV_CC_NACIONAL!C710="","",MOV_CC_NACIONAL!C710)</f>
        <v/>
      </c>
      <c r="D710" s="22" t="str">
        <f t="shared" si="1"/>
        <v>Other</v>
      </c>
    </row>
    <row r="711" ht="15.75" customHeight="1">
      <c r="A711" s="22" t="str">
        <f>IF(MOV_CC_NACIONAL!A711="","",MOV_CC_NACIONAL!A711)</f>
        <v/>
      </c>
      <c r="B711" s="22" t="str">
        <f>IF(MOV_CC_NACIONAL!B711="","",MOV_CC_NACIONAL!B711)</f>
        <v/>
      </c>
      <c r="C711" s="21" t="str">
        <f>IF(MOV_CC_NACIONAL!C711="","",MOV_CC_NACIONAL!C711)</f>
        <v/>
      </c>
      <c r="D711" s="22" t="str">
        <f t="shared" si="1"/>
        <v>Other</v>
      </c>
    </row>
    <row r="712" ht="15.75" customHeight="1">
      <c r="A712" s="22" t="str">
        <f>IF(MOV_CC_NACIONAL!A712="","",MOV_CC_NACIONAL!A712)</f>
        <v/>
      </c>
      <c r="B712" s="22" t="str">
        <f>IF(MOV_CC_NACIONAL!B712="","",MOV_CC_NACIONAL!B712)</f>
        <v/>
      </c>
      <c r="C712" s="21" t="str">
        <f>IF(MOV_CC_NACIONAL!C712="","",MOV_CC_NACIONAL!C712)</f>
        <v/>
      </c>
      <c r="D712" s="22" t="str">
        <f t="shared" si="1"/>
        <v>Other</v>
      </c>
    </row>
    <row r="713" ht="15.75" customHeight="1">
      <c r="A713" s="22" t="str">
        <f>IF(MOV_CC_NACIONAL!A713="","",MOV_CC_NACIONAL!A713)</f>
        <v/>
      </c>
      <c r="B713" s="22" t="str">
        <f>IF(MOV_CC_NACIONAL!B713="","",MOV_CC_NACIONAL!B713)</f>
        <v/>
      </c>
      <c r="C713" s="21" t="str">
        <f>IF(MOV_CC_NACIONAL!C713="","",MOV_CC_NACIONAL!C713)</f>
        <v/>
      </c>
      <c r="D713" s="22" t="str">
        <f t="shared" si="1"/>
        <v>Other</v>
      </c>
    </row>
    <row r="714" ht="15.75" customHeight="1">
      <c r="A714" s="22" t="str">
        <f>IF(MOV_CC_NACIONAL!A714="","",MOV_CC_NACIONAL!A714)</f>
        <v/>
      </c>
      <c r="B714" s="22" t="str">
        <f>IF(MOV_CC_NACIONAL!B714="","",MOV_CC_NACIONAL!B714)</f>
        <v/>
      </c>
      <c r="C714" s="21" t="str">
        <f>IF(MOV_CC_NACIONAL!C714="","",MOV_CC_NACIONAL!C714)</f>
        <v/>
      </c>
      <c r="D714" s="22" t="str">
        <f t="shared" si="1"/>
        <v>Other</v>
      </c>
    </row>
    <row r="715" ht="15.75" customHeight="1">
      <c r="A715" s="22" t="str">
        <f>IF(MOV_CC_NACIONAL!A715="","",MOV_CC_NACIONAL!A715)</f>
        <v/>
      </c>
      <c r="B715" s="22" t="str">
        <f>IF(MOV_CC_NACIONAL!B715="","",MOV_CC_NACIONAL!B715)</f>
        <v/>
      </c>
      <c r="C715" s="21" t="str">
        <f>IF(MOV_CC_NACIONAL!C715="","",MOV_CC_NACIONAL!C715)</f>
        <v/>
      </c>
      <c r="D715" s="22" t="str">
        <f t="shared" si="1"/>
        <v>Other</v>
      </c>
    </row>
    <row r="716" ht="15.75" customHeight="1">
      <c r="A716" s="22" t="str">
        <f>IF(MOV_CC_NACIONAL!A716="","",MOV_CC_NACIONAL!A716)</f>
        <v/>
      </c>
      <c r="B716" s="22" t="str">
        <f>IF(MOV_CC_NACIONAL!B716="","",MOV_CC_NACIONAL!B716)</f>
        <v/>
      </c>
      <c r="C716" s="21" t="str">
        <f>IF(MOV_CC_NACIONAL!C716="","",MOV_CC_NACIONAL!C716)</f>
        <v/>
      </c>
      <c r="D716" s="22" t="str">
        <f t="shared" si="1"/>
        <v>Other</v>
      </c>
    </row>
    <row r="717" ht="15.75" customHeight="1">
      <c r="A717" s="22" t="str">
        <f>IF(MOV_CC_NACIONAL!A717="","",MOV_CC_NACIONAL!A717)</f>
        <v/>
      </c>
      <c r="B717" s="22" t="str">
        <f>IF(MOV_CC_NACIONAL!B717="","",MOV_CC_NACIONAL!B717)</f>
        <v/>
      </c>
      <c r="C717" s="21" t="str">
        <f>IF(MOV_CC_NACIONAL!C717="","",MOV_CC_NACIONAL!C717)</f>
        <v/>
      </c>
      <c r="D717" s="22" t="str">
        <f t="shared" si="1"/>
        <v>Other</v>
      </c>
    </row>
    <row r="718" ht="15.75" customHeight="1">
      <c r="A718" s="22" t="str">
        <f>IF(MOV_CC_NACIONAL!A718="","",MOV_CC_NACIONAL!A718)</f>
        <v/>
      </c>
      <c r="B718" s="22" t="str">
        <f>IF(MOV_CC_NACIONAL!B718="","",MOV_CC_NACIONAL!B718)</f>
        <v/>
      </c>
      <c r="C718" s="21" t="str">
        <f>IF(MOV_CC_NACIONAL!C718="","",MOV_CC_NACIONAL!C718)</f>
        <v/>
      </c>
      <c r="D718" s="22" t="str">
        <f t="shared" si="1"/>
        <v>Other</v>
      </c>
    </row>
    <row r="719" ht="15.75" customHeight="1">
      <c r="A719" s="22" t="str">
        <f>IF(MOV_CC_NACIONAL!A719="","",MOV_CC_NACIONAL!A719)</f>
        <v/>
      </c>
      <c r="B719" s="22" t="str">
        <f>IF(MOV_CC_NACIONAL!B719="","",MOV_CC_NACIONAL!B719)</f>
        <v/>
      </c>
      <c r="C719" s="21" t="str">
        <f>IF(MOV_CC_NACIONAL!C719="","",MOV_CC_NACIONAL!C719)</f>
        <v/>
      </c>
      <c r="D719" s="22" t="str">
        <f t="shared" si="1"/>
        <v>Other</v>
      </c>
    </row>
    <row r="720" ht="15.75" customHeight="1">
      <c r="A720" s="22" t="str">
        <f>IF(MOV_CC_NACIONAL!A720="","",MOV_CC_NACIONAL!A720)</f>
        <v/>
      </c>
      <c r="B720" s="22" t="str">
        <f>IF(MOV_CC_NACIONAL!B720="","",MOV_CC_NACIONAL!B720)</f>
        <v/>
      </c>
      <c r="C720" s="21" t="str">
        <f>IF(MOV_CC_NACIONAL!C720="","",MOV_CC_NACIONAL!C720)</f>
        <v/>
      </c>
      <c r="D720" s="22" t="str">
        <f t="shared" si="1"/>
        <v>Other</v>
      </c>
    </row>
    <row r="721" ht="15.75" customHeight="1">
      <c r="A721" s="22" t="str">
        <f>IF(MOV_CC_NACIONAL!A721="","",MOV_CC_NACIONAL!A721)</f>
        <v/>
      </c>
      <c r="B721" s="22" t="str">
        <f>IF(MOV_CC_NACIONAL!B721="","",MOV_CC_NACIONAL!B721)</f>
        <v/>
      </c>
      <c r="C721" s="21" t="str">
        <f>IF(MOV_CC_NACIONAL!C721="","",MOV_CC_NACIONAL!C721)</f>
        <v/>
      </c>
      <c r="D721" s="22" t="str">
        <f t="shared" si="1"/>
        <v>Other</v>
      </c>
    </row>
    <row r="722" ht="15.75" customHeight="1">
      <c r="A722" s="22" t="str">
        <f>IF(MOV_CC_NACIONAL!A722="","",MOV_CC_NACIONAL!A722)</f>
        <v/>
      </c>
      <c r="B722" s="22" t="str">
        <f>IF(MOV_CC_NACIONAL!B722="","",MOV_CC_NACIONAL!B722)</f>
        <v/>
      </c>
      <c r="C722" s="21" t="str">
        <f>IF(MOV_CC_NACIONAL!C722="","",MOV_CC_NACIONAL!C722)</f>
        <v/>
      </c>
      <c r="D722" s="22" t="str">
        <f t="shared" si="1"/>
        <v>Other</v>
      </c>
    </row>
    <row r="723" ht="15.75" customHeight="1">
      <c r="A723" s="22" t="str">
        <f>IF(MOV_CC_NACIONAL!A723="","",MOV_CC_NACIONAL!A723)</f>
        <v/>
      </c>
      <c r="B723" s="22" t="str">
        <f>IF(MOV_CC_NACIONAL!B723="","",MOV_CC_NACIONAL!B723)</f>
        <v/>
      </c>
      <c r="C723" s="21" t="str">
        <f>IF(MOV_CC_NACIONAL!C723="","",MOV_CC_NACIONAL!C723)</f>
        <v/>
      </c>
      <c r="D723" s="22" t="str">
        <f t="shared" si="1"/>
        <v>Other</v>
      </c>
    </row>
    <row r="724" ht="15.75" customHeight="1">
      <c r="A724" s="22" t="str">
        <f>IF(MOV_CC_NACIONAL!A724="","",MOV_CC_NACIONAL!A724)</f>
        <v/>
      </c>
      <c r="B724" s="22" t="str">
        <f>IF(MOV_CC_NACIONAL!B724="","",MOV_CC_NACIONAL!B724)</f>
        <v/>
      </c>
      <c r="C724" s="21" t="str">
        <f>IF(MOV_CC_NACIONAL!C724="","",MOV_CC_NACIONAL!C724)</f>
        <v/>
      </c>
      <c r="D724" s="22" t="str">
        <f t="shared" si="1"/>
        <v>Other</v>
      </c>
    </row>
    <row r="725" ht="15.75" customHeight="1">
      <c r="A725" s="22" t="str">
        <f>IF(MOV_CC_NACIONAL!A725="","",MOV_CC_NACIONAL!A725)</f>
        <v/>
      </c>
      <c r="B725" s="22" t="str">
        <f>IF(MOV_CC_NACIONAL!B725="","",MOV_CC_NACIONAL!B725)</f>
        <v/>
      </c>
      <c r="C725" s="21" t="str">
        <f>IF(MOV_CC_NACIONAL!C725="","",MOV_CC_NACIONAL!C725)</f>
        <v/>
      </c>
      <c r="D725" s="22" t="str">
        <f t="shared" si="1"/>
        <v>Other</v>
      </c>
    </row>
    <row r="726" ht="15.75" customHeight="1">
      <c r="A726" s="22" t="str">
        <f>IF(MOV_CC_NACIONAL!A726="","",MOV_CC_NACIONAL!A726)</f>
        <v/>
      </c>
      <c r="B726" s="22" t="str">
        <f>IF(MOV_CC_NACIONAL!B726="","",MOV_CC_NACIONAL!B726)</f>
        <v/>
      </c>
      <c r="C726" s="21" t="str">
        <f>IF(MOV_CC_NACIONAL!C726="","",MOV_CC_NACIONAL!C726)</f>
        <v/>
      </c>
      <c r="D726" s="22" t="str">
        <f t="shared" si="1"/>
        <v>Other</v>
      </c>
    </row>
    <row r="727" ht="15.75" customHeight="1">
      <c r="A727" s="22" t="str">
        <f>IF(MOV_CC_NACIONAL!A727="","",MOV_CC_NACIONAL!A727)</f>
        <v/>
      </c>
      <c r="B727" s="22" t="str">
        <f>IF(MOV_CC_NACIONAL!B727="","",MOV_CC_NACIONAL!B727)</f>
        <v/>
      </c>
      <c r="C727" s="21" t="str">
        <f>IF(MOV_CC_NACIONAL!C727="","",MOV_CC_NACIONAL!C727)</f>
        <v/>
      </c>
      <c r="D727" s="22" t="str">
        <f t="shared" si="1"/>
        <v>Other</v>
      </c>
    </row>
    <row r="728" ht="15.75" customHeight="1">
      <c r="A728" s="22" t="str">
        <f>IF(MOV_CC_NACIONAL!A728="","",MOV_CC_NACIONAL!A728)</f>
        <v/>
      </c>
      <c r="B728" s="22" t="str">
        <f>IF(MOV_CC_NACIONAL!B728="","",MOV_CC_NACIONAL!B728)</f>
        <v/>
      </c>
      <c r="C728" s="21" t="str">
        <f>IF(MOV_CC_NACIONAL!C728="","",MOV_CC_NACIONAL!C728)</f>
        <v/>
      </c>
      <c r="D728" s="22" t="str">
        <f t="shared" si="1"/>
        <v>Other</v>
      </c>
    </row>
    <row r="729" ht="15.75" customHeight="1">
      <c r="A729" s="22" t="str">
        <f>IF(MOV_CC_NACIONAL!A729="","",MOV_CC_NACIONAL!A729)</f>
        <v/>
      </c>
      <c r="B729" s="22" t="str">
        <f>IF(MOV_CC_NACIONAL!B729="","",MOV_CC_NACIONAL!B729)</f>
        <v/>
      </c>
      <c r="C729" s="21" t="str">
        <f>IF(MOV_CC_NACIONAL!C729="","",MOV_CC_NACIONAL!C729)</f>
        <v/>
      </c>
      <c r="D729" s="22" t="str">
        <f t="shared" si="1"/>
        <v>Other</v>
      </c>
    </row>
    <row r="730" ht="15.75" customHeight="1">
      <c r="A730" s="22" t="str">
        <f>IF(MOV_CC_NACIONAL!A730="","",MOV_CC_NACIONAL!A730)</f>
        <v/>
      </c>
      <c r="B730" s="22" t="str">
        <f>IF(MOV_CC_NACIONAL!B730="","",MOV_CC_NACIONAL!B730)</f>
        <v/>
      </c>
      <c r="C730" s="21" t="str">
        <f>IF(MOV_CC_NACIONAL!C730="","",MOV_CC_NACIONAL!C730)</f>
        <v/>
      </c>
      <c r="D730" s="22" t="str">
        <f t="shared" si="1"/>
        <v>Other</v>
      </c>
    </row>
    <row r="731" ht="15.75" customHeight="1">
      <c r="A731" s="22" t="str">
        <f>IF(MOV_CC_NACIONAL!A731="","",MOV_CC_NACIONAL!A731)</f>
        <v/>
      </c>
      <c r="B731" s="22" t="str">
        <f>IF(MOV_CC_NACIONAL!B731="","",MOV_CC_NACIONAL!B731)</f>
        <v/>
      </c>
      <c r="C731" s="21" t="str">
        <f>IF(MOV_CC_NACIONAL!C731="","",MOV_CC_NACIONAL!C731)</f>
        <v/>
      </c>
      <c r="D731" s="22" t="str">
        <f t="shared" si="1"/>
        <v>Other</v>
      </c>
    </row>
    <row r="732" ht="15.75" customHeight="1">
      <c r="A732" s="22" t="str">
        <f>IF(MOV_CC_NACIONAL!A732="","",MOV_CC_NACIONAL!A732)</f>
        <v/>
      </c>
      <c r="B732" s="22" t="str">
        <f>IF(MOV_CC_NACIONAL!B732="","",MOV_CC_NACIONAL!B732)</f>
        <v/>
      </c>
      <c r="C732" s="21" t="str">
        <f>IF(MOV_CC_NACIONAL!C732="","",MOV_CC_NACIONAL!C732)</f>
        <v/>
      </c>
      <c r="D732" s="22" t="str">
        <f t="shared" si="1"/>
        <v>Other</v>
      </c>
    </row>
    <row r="733" ht="15.75" customHeight="1">
      <c r="A733" s="22" t="str">
        <f>IF(MOV_CC_NACIONAL!A733="","",MOV_CC_NACIONAL!A733)</f>
        <v/>
      </c>
      <c r="B733" s="22" t="str">
        <f>IF(MOV_CC_NACIONAL!B733="","",MOV_CC_NACIONAL!B733)</f>
        <v/>
      </c>
      <c r="C733" s="21" t="str">
        <f>IF(MOV_CC_NACIONAL!C733="","",MOV_CC_NACIONAL!C733)</f>
        <v/>
      </c>
      <c r="D733" s="22" t="str">
        <f t="shared" si="1"/>
        <v>Other</v>
      </c>
    </row>
    <row r="734" ht="15.75" customHeight="1">
      <c r="A734" s="22" t="str">
        <f>IF(MOV_CC_NACIONAL!A734="","",MOV_CC_NACIONAL!A734)</f>
        <v/>
      </c>
      <c r="B734" s="22" t="str">
        <f>IF(MOV_CC_NACIONAL!B734="","",MOV_CC_NACIONAL!B734)</f>
        <v/>
      </c>
      <c r="C734" s="21" t="str">
        <f>IF(MOV_CC_NACIONAL!C734="","",MOV_CC_NACIONAL!C734)</f>
        <v/>
      </c>
      <c r="D734" s="22" t="str">
        <f t="shared" si="1"/>
        <v>Other</v>
      </c>
    </row>
    <row r="735" ht="15.75" customHeight="1">
      <c r="A735" s="22" t="str">
        <f>IF(MOV_CC_NACIONAL!A735="","",MOV_CC_NACIONAL!A735)</f>
        <v/>
      </c>
      <c r="B735" s="22" t="str">
        <f>IF(MOV_CC_NACIONAL!B735="","",MOV_CC_NACIONAL!B735)</f>
        <v/>
      </c>
      <c r="C735" s="21" t="str">
        <f>IF(MOV_CC_NACIONAL!C735="","",MOV_CC_NACIONAL!C735)</f>
        <v/>
      </c>
      <c r="D735" s="22" t="str">
        <f t="shared" si="1"/>
        <v>Other</v>
      </c>
    </row>
    <row r="736" ht="15.75" customHeight="1">
      <c r="A736" s="22" t="str">
        <f>IF(MOV_CC_NACIONAL!A736="","",MOV_CC_NACIONAL!A736)</f>
        <v/>
      </c>
      <c r="B736" s="22" t="str">
        <f>IF(MOV_CC_NACIONAL!B736="","",MOV_CC_NACIONAL!B736)</f>
        <v/>
      </c>
      <c r="C736" s="21" t="str">
        <f>IF(MOV_CC_NACIONAL!C736="","",MOV_CC_NACIONAL!C736)</f>
        <v/>
      </c>
      <c r="D736" s="22" t="str">
        <f t="shared" si="1"/>
        <v>Other</v>
      </c>
    </row>
    <row r="737" ht="15.75" customHeight="1">
      <c r="A737" s="22" t="str">
        <f>IF(MOV_CC_NACIONAL!A737="","",MOV_CC_NACIONAL!A737)</f>
        <v/>
      </c>
      <c r="B737" s="22" t="str">
        <f>IF(MOV_CC_NACIONAL!B737="","",MOV_CC_NACIONAL!B737)</f>
        <v/>
      </c>
      <c r="C737" s="21" t="str">
        <f>IF(MOV_CC_NACIONAL!C737="","",MOV_CC_NACIONAL!C737)</f>
        <v/>
      </c>
      <c r="D737" s="22" t="str">
        <f t="shared" si="1"/>
        <v>Other</v>
      </c>
    </row>
    <row r="738" ht="15.75" customHeight="1">
      <c r="A738" s="22" t="str">
        <f>IF(MOV_CC_NACIONAL!A738="","",MOV_CC_NACIONAL!A738)</f>
        <v/>
      </c>
      <c r="B738" s="22" t="str">
        <f>IF(MOV_CC_NACIONAL!B738="","",MOV_CC_NACIONAL!B738)</f>
        <v/>
      </c>
      <c r="C738" s="21" t="str">
        <f>IF(MOV_CC_NACIONAL!C738="","",MOV_CC_NACIONAL!C738)</f>
        <v/>
      </c>
      <c r="D738" s="22" t="str">
        <f t="shared" si="1"/>
        <v>Other</v>
      </c>
    </row>
    <row r="739" ht="15.75" customHeight="1">
      <c r="A739" s="22" t="str">
        <f>IF(MOV_CC_NACIONAL!A739="","",MOV_CC_NACIONAL!A739)</f>
        <v/>
      </c>
      <c r="B739" s="22" t="str">
        <f>IF(MOV_CC_NACIONAL!B739="","",MOV_CC_NACIONAL!B739)</f>
        <v/>
      </c>
      <c r="C739" s="21" t="str">
        <f>IF(MOV_CC_NACIONAL!C739="","",MOV_CC_NACIONAL!C739)</f>
        <v/>
      </c>
      <c r="D739" s="22" t="str">
        <f t="shared" si="1"/>
        <v>Other</v>
      </c>
    </row>
    <row r="740" ht="15.75" customHeight="1">
      <c r="A740" s="22" t="str">
        <f>IF(MOV_CC_NACIONAL!A740="","",MOV_CC_NACIONAL!A740)</f>
        <v/>
      </c>
      <c r="B740" s="22" t="str">
        <f>IF(MOV_CC_NACIONAL!B740="","",MOV_CC_NACIONAL!B740)</f>
        <v/>
      </c>
      <c r="C740" s="21" t="str">
        <f>IF(MOV_CC_NACIONAL!C740="","",MOV_CC_NACIONAL!C740)</f>
        <v/>
      </c>
      <c r="D740" s="22" t="str">
        <f t="shared" si="1"/>
        <v>Other</v>
      </c>
    </row>
    <row r="741" ht="15.75" customHeight="1">
      <c r="A741" s="22" t="str">
        <f>IF(MOV_CC_NACIONAL!A741="","",MOV_CC_NACIONAL!A741)</f>
        <v/>
      </c>
      <c r="B741" s="22" t="str">
        <f>IF(MOV_CC_NACIONAL!B741="","",MOV_CC_NACIONAL!B741)</f>
        <v/>
      </c>
      <c r="C741" s="21" t="str">
        <f>IF(MOV_CC_NACIONAL!C741="","",MOV_CC_NACIONAL!C741)</f>
        <v/>
      </c>
      <c r="D741" s="22" t="str">
        <f t="shared" si="1"/>
        <v>Other</v>
      </c>
    </row>
    <row r="742" ht="15.75" customHeight="1">
      <c r="A742" s="22" t="str">
        <f>IF(MOV_CC_NACIONAL!A742="","",MOV_CC_NACIONAL!A742)</f>
        <v/>
      </c>
      <c r="B742" s="22" t="str">
        <f>IF(MOV_CC_NACIONAL!B742="","",MOV_CC_NACIONAL!B742)</f>
        <v/>
      </c>
      <c r="C742" s="21" t="str">
        <f>IF(MOV_CC_NACIONAL!C742="","",MOV_CC_NACIONAL!C742)</f>
        <v/>
      </c>
      <c r="D742" s="22" t="str">
        <f t="shared" si="1"/>
        <v>Other</v>
      </c>
    </row>
    <row r="743" ht="15.75" customHeight="1">
      <c r="A743" s="22" t="str">
        <f>IF(MOV_CC_NACIONAL!A743="","",MOV_CC_NACIONAL!A743)</f>
        <v/>
      </c>
      <c r="B743" s="22" t="str">
        <f>IF(MOV_CC_NACIONAL!B743="","",MOV_CC_NACIONAL!B743)</f>
        <v/>
      </c>
      <c r="C743" s="21" t="str">
        <f>IF(MOV_CC_NACIONAL!C743="","",MOV_CC_NACIONAL!C743)</f>
        <v/>
      </c>
      <c r="D743" s="22" t="str">
        <f t="shared" si="1"/>
        <v>Other</v>
      </c>
    </row>
    <row r="744" ht="15.75" customHeight="1">
      <c r="A744" s="22" t="str">
        <f>IF(MOV_CC_NACIONAL!A744="","",MOV_CC_NACIONAL!A744)</f>
        <v/>
      </c>
      <c r="B744" s="22" t="str">
        <f>IF(MOV_CC_NACIONAL!B744="","",MOV_CC_NACIONAL!B744)</f>
        <v/>
      </c>
      <c r="C744" s="21" t="str">
        <f>IF(MOV_CC_NACIONAL!C744="","",MOV_CC_NACIONAL!C744)</f>
        <v/>
      </c>
      <c r="D744" s="22" t="str">
        <f t="shared" si="1"/>
        <v>Other</v>
      </c>
    </row>
    <row r="745" ht="15.75" customHeight="1">
      <c r="A745" s="22" t="str">
        <f>IF(MOV_CC_NACIONAL!A745="","",MOV_CC_NACIONAL!A745)</f>
        <v/>
      </c>
      <c r="B745" s="22" t="str">
        <f>IF(MOV_CC_NACIONAL!B745="","",MOV_CC_NACIONAL!B745)</f>
        <v/>
      </c>
      <c r="C745" s="21" t="str">
        <f>IF(MOV_CC_NACIONAL!C745="","",MOV_CC_NACIONAL!C745)</f>
        <v/>
      </c>
      <c r="D745" s="22" t="str">
        <f t="shared" si="1"/>
        <v>Other</v>
      </c>
    </row>
    <row r="746" ht="15.75" customHeight="1">
      <c r="A746" s="22" t="str">
        <f>IF(MOV_CC_NACIONAL!A746="","",MOV_CC_NACIONAL!A746)</f>
        <v/>
      </c>
      <c r="B746" s="22" t="str">
        <f>IF(MOV_CC_NACIONAL!B746="","",MOV_CC_NACIONAL!B746)</f>
        <v/>
      </c>
      <c r="C746" s="21" t="str">
        <f>IF(MOV_CC_NACIONAL!C746="","",MOV_CC_NACIONAL!C746)</f>
        <v/>
      </c>
      <c r="D746" s="22" t="str">
        <f t="shared" si="1"/>
        <v>Other</v>
      </c>
    </row>
    <row r="747" ht="15.75" customHeight="1">
      <c r="A747" s="22" t="str">
        <f>IF(MOV_CC_NACIONAL!A747="","",MOV_CC_NACIONAL!A747)</f>
        <v/>
      </c>
      <c r="B747" s="22" t="str">
        <f>IF(MOV_CC_NACIONAL!B747="","",MOV_CC_NACIONAL!B747)</f>
        <v/>
      </c>
      <c r="C747" s="21" t="str">
        <f>IF(MOV_CC_NACIONAL!C747="","",MOV_CC_NACIONAL!C747)</f>
        <v/>
      </c>
      <c r="D747" s="22" t="str">
        <f t="shared" si="1"/>
        <v>Other</v>
      </c>
    </row>
    <row r="748" ht="15.75" customHeight="1">
      <c r="A748" s="22" t="str">
        <f>IF(MOV_CC_NACIONAL!A748="","",MOV_CC_NACIONAL!A748)</f>
        <v/>
      </c>
      <c r="B748" s="22" t="str">
        <f>IF(MOV_CC_NACIONAL!B748="","",MOV_CC_NACIONAL!B748)</f>
        <v/>
      </c>
      <c r="C748" s="21" t="str">
        <f>IF(MOV_CC_NACIONAL!C748="","",MOV_CC_NACIONAL!C748)</f>
        <v/>
      </c>
      <c r="D748" s="22" t="str">
        <f t="shared" si="1"/>
        <v>Other</v>
      </c>
    </row>
    <row r="749" ht="15.75" customHeight="1">
      <c r="A749" s="22" t="str">
        <f>IF(MOV_CC_NACIONAL!A749="","",MOV_CC_NACIONAL!A749)</f>
        <v/>
      </c>
      <c r="B749" s="22" t="str">
        <f>IF(MOV_CC_NACIONAL!B749="","",MOV_CC_NACIONAL!B749)</f>
        <v/>
      </c>
      <c r="C749" s="21" t="str">
        <f>IF(MOV_CC_NACIONAL!C749="","",MOV_CC_NACIONAL!C749)</f>
        <v/>
      </c>
      <c r="D749" s="22" t="str">
        <f t="shared" si="1"/>
        <v>Other</v>
      </c>
    </row>
    <row r="750" ht="15.75" customHeight="1">
      <c r="A750" s="22" t="str">
        <f>IF(MOV_CC_NACIONAL!A750="","",MOV_CC_NACIONAL!A750)</f>
        <v/>
      </c>
      <c r="B750" s="22" t="str">
        <f>IF(MOV_CC_NACIONAL!B750="","",MOV_CC_NACIONAL!B750)</f>
        <v/>
      </c>
      <c r="C750" s="21" t="str">
        <f>IF(MOV_CC_NACIONAL!C750="","",MOV_CC_NACIONAL!C750)</f>
        <v/>
      </c>
      <c r="D750" s="22" t="str">
        <f t="shared" si="1"/>
        <v>Other</v>
      </c>
    </row>
    <row r="751" ht="15.75" customHeight="1">
      <c r="A751" s="22" t="str">
        <f>IF(MOV_CC_NACIONAL!A751="","",MOV_CC_NACIONAL!A751)</f>
        <v/>
      </c>
      <c r="B751" s="22" t="str">
        <f>IF(MOV_CC_NACIONAL!B751="","",MOV_CC_NACIONAL!B751)</f>
        <v/>
      </c>
      <c r="C751" s="21" t="str">
        <f>IF(MOV_CC_NACIONAL!C751="","",MOV_CC_NACIONAL!C751)</f>
        <v/>
      </c>
      <c r="D751" s="22" t="str">
        <f t="shared" si="1"/>
        <v>Other</v>
      </c>
    </row>
    <row r="752" ht="15.75" customHeight="1">
      <c r="A752" s="22" t="str">
        <f>IF(MOV_CC_NACIONAL!A752="","",MOV_CC_NACIONAL!A752)</f>
        <v/>
      </c>
      <c r="B752" s="22" t="str">
        <f>IF(MOV_CC_NACIONAL!B752="","",MOV_CC_NACIONAL!B752)</f>
        <v/>
      </c>
      <c r="C752" s="21" t="str">
        <f>IF(MOV_CC_NACIONAL!C752="","",MOV_CC_NACIONAL!C752)</f>
        <v/>
      </c>
      <c r="D752" s="22" t="str">
        <f t="shared" si="1"/>
        <v>Other</v>
      </c>
    </row>
    <row r="753" ht="15.75" customHeight="1">
      <c r="A753" s="22" t="str">
        <f>IF(MOV_CC_NACIONAL!A753="","",MOV_CC_NACIONAL!A753)</f>
        <v/>
      </c>
      <c r="B753" s="22" t="str">
        <f>IF(MOV_CC_NACIONAL!B753="","",MOV_CC_NACIONAL!B753)</f>
        <v/>
      </c>
      <c r="C753" s="21" t="str">
        <f>IF(MOV_CC_NACIONAL!C753="","",MOV_CC_NACIONAL!C753)</f>
        <v/>
      </c>
      <c r="D753" s="22" t="str">
        <f t="shared" si="1"/>
        <v>Other</v>
      </c>
    </row>
    <row r="754" ht="15.75" customHeight="1">
      <c r="A754" s="22" t="str">
        <f>IF(MOV_CC_NACIONAL!A754="","",MOV_CC_NACIONAL!A754)</f>
        <v/>
      </c>
      <c r="B754" s="22" t="str">
        <f>IF(MOV_CC_NACIONAL!B754="","",MOV_CC_NACIONAL!B754)</f>
        <v/>
      </c>
      <c r="C754" s="21" t="str">
        <f>IF(MOV_CC_NACIONAL!C754="","",MOV_CC_NACIONAL!C754)</f>
        <v/>
      </c>
      <c r="D754" s="22" t="str">
        <f t="shared" si="1"/>
        <v>Other</v>
      </c>
    </row>
    <row r="755" ht="15.75" customHeight="1">
      <c r="A755" s="22" t="str">
        <f>IF(MOV_CC_NACIONAL!A755="","",MOV_CC_NACIONAL!A755)</f>
        <v/>
      </c>
      <c r="B755" s="22" t="str">
        <f>IF(MOV_CC_NACIONAL!B755="","",MOV_CC_NACIONAL!B755)</f>
        <v/>
      </c>
      <c r="C755" s="21" t="str">
        <f>IF(MOV_CC_NACIONAL!C755="","",MOV_CC_NACIONAL!C755)</f>
        <v/>
      </c>
      <c r="D755" s="22" t="str">
        <f t="shared" si="1"/>
        <v>Other</v>
      </c>
    </row>
    <row r="756" ht="15.75" customHeight="1">
      <c r="A756" s="22" t="str">
        <f>IF(MOV_CC_NACIONAL!A756="","",MOV_CC_NACIONAL!A756)</f>
        <v/>
      </c>
      <c r="B756" s="22" t="str">
        <f>IF(MOV_CC_NACIONAL!B756="","",MOV_CC_NACIONAL!B756)</f>
        <v/>
      </c>
      <c r="C756" s="21" t="str">
        <f>IF(MOV_CC_NACIONAL!C756="","",MOV_CC_NACIONAL!C756)</f>
        <v/>
      </c>
      <c r="D756" s="22" t="str">
        <f t="shared" si="1"/>
        <v>Other</v>
      </c>
    </row>
    <row r="757" ht="15.75" customHeight="1">
      <c r="A757" s="22" t="str">
        <f>IF(MOV_CC_NACIONAL!A757="","",MOV_CC_NACIONAL!A757)</f>
        <v/>
      </c>
      <c r="B757" s="22" t="str">
        <f>IF(MOV_CC_NACIONAL!B757="","",MOV_CC_NACIONAL!B757)</f>
        <v/>
      </c>
      <c r="C757" s="21" t="str">
        <f>IF(MOV_CC_NACIONAL!C757="","",MOV_CC_NACIONAL!C757)</f>
        <v/>
      </c>
      <c r="D757" s="22" t="str">
        <f t="shared" si="1"/>
        <v>Other</v>
      </c>
    </row>
    <row r="758" ht="15.75" customHeight="1">
      <c r="A758" s="22" t="str">
        <f>IF(MOV_CC_NACIONAL!A758="","",MOV_CC_NACIONAL!A758)</f>
        <v/>
      </c>
      <c r="B758" s="22" t="str">
        <f>IF(MOV_CC_NACIONAL!B758="","",MOV_CC_NACIONAL!B758)</f>
        <v/>
      </c>
      <c r="C758" s="21" t="str">
        <f>IF(MOV_CC_NACIONAL!C758="","",MOV_CC_NACIONAL!C758)</f>
        <v/>
      </c>
      <c r="D758" s="22" t="str">
        <f t="shared" si="1"/>
        <v>Other</v>
      </c>
    </row>
    <row r="759" ht="15.75" customHeight="1">
      <c r="A759" s="22" t="str">
        <f>IF(MOV_CC_NACIONAL!A759="","",MOV_CC_NACIONAL!A759)</f>
        <v/>
      </c>
      <c r="B759" s="22" t="str">
        <f>IF(MOV_CC_NACIONAL!B759="","",MOV_CC_NACIONAL!B759)</f>
        <v/>
      </c>
      <c r="C759" s="21" t="str">
        <f>IF(MOV_CC_NACIONAL!C759="","",MOV_CC_NACIONAL!C759)</f>
        <v/>
      </c>
      <c r="D759" s="22" t="str">
        <f t="shared" si="1"/>
        <v>Other</v>
      </c>
    </row>
    <row r="760" ht="15.75" customHeight="1">
      <c r="A760" s="22" t="str">
        <f>IF(MOV_CC_NACIONAL!A760="","",MOV_CC_NACIONAL!A760)</f>
        <v/>
      </c>
      <c r="B760" s="22" t="str">
        <f>IF(MOV_CC_NACIONAL!B760="","",MOV_CC_NACIONAL!B760)</f>
        <v/>
      </c>
      <c r="C760" s="21" t="str">
        <f>IF(MOV_CC_NACIONAL!C760="","",MOV_CC_NACIONAL!C760)</f>
        <v/>
      </c>
      <c r="D760" s="22" t="str">
        <f t="shared" si="1"/>
        <v>Other</v>
      </c>
    </row>
    <row r="761" ht="15.75" customHeight="1">
      <c r="A761" s="22" t="str">
        <f>IF(MOV_CC_NACIONAL!A761="","",MOV_CC_NACIONAL!A761)</f>
        <v/>
      </c>
      <c r="B761" s="22" t="str">
        <f>IF(MOV_CC_NACIONAL!B761="","",MOV_CC_NACIONAL!B761)</f>
        <v/>
      </c>
      <c r="C761" s="21" t="str">
        <f>IF(MOV_CC_NACIONAL!C761="","",MOV_CC_NACIONAL!C761)</f>
        <v/>
      </c>
      <c r="D761" s="22" t="str">
        <f t="shared" si="1"/>
        <v>Other</v>
      </c>
    </row>
    <row r="762" ht="15.75" customHeight="1">
      <c r="A762" s="22" t="str">
        <f>IF(MOV_CC_NACIONAL!A762="","",MOV_CC_NACIONAL!A762)</f>
        <v/>
      </c>
      <c r="B762" s="22" t="str">
        <f>IF(MOV_CC_NACIONAL!B762="","",MOV_CC_NACIONAL!B762)</f>
        <v/>
      </c>
      <c r="C762" s="21" t="str">
        <f>IF(MOV_CC_NACIONAL!C762="","",MOV_CC_NACIONAL!C762)</f>
        <v/>
      </c>
      <c r="D762" s="22" t="str">
        <f t="shared" si="1"/>
        <v>Other</v>
      </c>
    </row>
    <row r="763" ht="15.75" customHeight="1">
      <c r="A763" s="22" t="str">
        <f>IF(MOV_CC_NACIONAL!A763="","",MOV_CC_NACIONAL!A763)</f>
        <v/>
      </c>
      <c r="B763" s="22" t="str">
        <f>IF(MOV_CC_NACIONAL!B763="","",MOV_CC_NACIONAL!B763)</f>
        <v/>
      </c>
      <c r="C763" s="21" t="str">
        <f>IF(MOV_CC_NACIONAL!C763="","",MOV_CC_NACIONAL!C763)</f>
        <v/>
      </c>
      <c r="D763" s="22" t="str">
        <f t="shared" si="1"/>
        <v>Other</v>
      </c>
    </row>
    <row r="764" ht="15.75" customHeight="1">
      <c r="A764" s="22" t="str">
        <f>IF(MOV_CC_NACIONAL!A764="","",MOV_CC_NACIONAL!A764)</f>
        <v/>
      </c>
      <c r="B764" s="22" t="str">
        <f>IF(MOV_CC_NACIONAL!B764="","",MOV_CC_NACIONAL!B764)</f>
        <v/>
      </c>
      <c r="C764" s="21" t="str">
        <f>IF(MOV_CC_NACIONAL!C764="","",MOV_CC_NACIONAL!C764)</f>
        <v/>
      </c>
      <c r="D764" s="22" t="str">
        <f t="shared" si="1"/>
        <v>Other</v>
      </c>
    </row>
    <row r="765" ht="15.75" customHeight="1">
      <c r="A765" s="22" t="str">
        <f>IF(MOV_CC_NACIONAL!A765="","",MOV_CC_NACIONAL!A765)</f>
        <v/>
      </c>
      <c r="B765" s="22" t="str">
        <f>IF(MOV_CC_NACIONAL!B765="","",MOV_CC_NACIONAL!B765)</f>
        <v/>
      </c>
      <c r="C765" s="21" t="str">
        <f>IF(MOV_CC_NACIONAL!C765="","",MOV_CC_NACIONAL!C765)</f>
        <v/>
      </c>
      <c r="D765" s="22" t="str">
        <f t="shared" si="1"/>
        <v>Other</v>
      </c>
    </row>
    <row r="766" ht="15.75" customHeight="1">
      <c r="A766" s="22" t="str">
        <f>IF(MOV_CC_NACIONAL!A766="","",MOV_CC_NACIONAL!A766)</f>
        <v/>
      </c>
      <c r="B766" s="22" t="str">
        <f>IF(MOV_CC_NACIONAL!B766="","",MOV_CC_NACIONAL!B766)</f>
        <v/>
      </c>
      <c r="C766" s="21" t="str">
        <f>IF(MOV_CC_NACIONAL!C766="","",MOV_CC_NACIONAL!C766)</f>
        <v/>
      </c>
      <c r="D766" s="22" t="str">
        <f t="shared" si="1"/>
        <v>Other</v>
      </c>
    </row>
    <row r="767" ht="15.75" customHeight="1">
      <c r="A767" s="22" t="str">
        <f>IF(MOV_CC_NACIONAL!A767="","",MOV_CC_NACIONAL!A767)</f>
        <v/>
      </c>
      <c r="B767" s="22" t="str">
        <f>IF(MOV_CC_NACIONAL!B767="","",MOV_CC_NACIONAL!B767)</f>
        <v/>
      </c>
      <c r="C767" s="21" t="str">
        <f>IF(MOV_CC_NACIONAL!C767="","",MOV_CC_NACIONAL!C767)</f>
        <v/>
      </c>
      <c r="D767" s="22" t="str">
        <f t="shared" si="1"/>
        <v>Other</v>
      </c>
    </row>
    <row r="768" ht="15.75" customHeight="1">
      <c r="A768" s="22" t="str">
        <f>IF(MOV_CC_NACIONAL!A768="","",MOV_CC_NACIONAL!A768)</f>
        <v/>
      </c>
      <c r="B768" s="22" t="str">
        <f>IF(MOV_CC_NACIONAL!B768="","",MOV_CC_NACIONAL!B768)</f>
        <v/>
      </c>
      <c r="C768" s="21" t="str">
        <f>IF(MOV_CC_NACIONAL!C768="","",MOV_CC_NACIONAL!C768)</f>
        <v/>
      </c>
      <c r="D768" s="22" t="str">
        <f t="shared" si="1"/>
        <v>Other</v>
      </c>
    </row>
    <row r="769" ht="15.75" customHeight="1">
      <c r="A769" s="22" t="str">
        <f>IF(MOV_CC_NACIONAL!A769="","",MOV_CC_NACIONAL!A769)</f>
        <v/>
      </c>
      <c r="B769" s="22" t="str">
        <f>IF(MOV_CC_NACIONAL!B769="","",MOV_CC_NACIONAL!B769)</f>
        <v/>
      </c>
      <c r="C769" s="21" t="str">
        <f>IF(MOV_CC_NACIONAL!C769="","",MOV_CC_NACIONAL!C769)</f>
        <v/>
      </c>
      <c r="D769" s="22" t="str">
        <f t="shared" si="1"/>
        <v>Other</v>
      </c>
    </row>
    <row r="770" ht="15.75" customHeight="1">
      <c r="A770" s="22" t="str">
        <f>IF(MOV_CC_NACIONAL!A770="","",MOV_CC_NACIONAL!A770)</f>
        <v/>
      </c>
      <c r="B770" s="22" t="str">
        <f>IF(MOV_CC_NACIONAL!B770="","",MOV_CC_NACIONAL!B770)</f>
        <v/>
      </c>
      <c r="C770" s="21" t="str">
        <f>IF(MOV_CC_NACIONAL!C770="","",MOV_CC_NACIONAL!C770)</f>
        <v/>
      </c>
      <c r="D770" s="22" t="str">
        <f t="shared" si="1"/>
        <v>Other</v>
      </c>
    </row>
    <row r="771" ht="15.75" customHeight="1">
      <c r="A771" s="22" t="str">
        <f>IF(MOV_CC_NACIONAL!A771="","",MOV_CC_NACIONAL!A771)</f>
        <v/>
      </c>
      <c r="B771" s="22" t="str">
        <f>IF(MOV_CC_NACIONAL!B771="","",MOV_CC_NACIONAL!B771)</f>
        <v/>
      </c>
      <c r="C771" s="21" t="str">
        <f>IF(MOV_CC_NACIONAL!C771="","",MOV_CC_NACIONAL!C771)</f>
        <v/>
      </c>
      <c r="D771" s="22" t="str">
        <f t="shared" si="1"/>
        <v>Other</v>
      </c>
    </row>
    <row r="772" ht="15.75" customHeight="1">
      <c r="A772" s="22" t="str">
        <f>IF(MOV_CC_NACIONAL!A772="","",MOV_CC_NACIONAL!A772)</f>
        <v/>
      </c>
      <c r="B772" s="22" t="str">
        <f>IF(MOV_CC_NACIONAL!B772="","",MOV_CC_NACIONAL!B772)</f>
        <v/>
      </c>
      <c r="C772" s="21" t="str">
        <f>IF(MOV_CC_NACIONAL!C772="","",MOV_CC_NACIONAL!C772)</f>
        <v/>
      </c>
      <c r="D772" s="22" t="str">
        <f t="shared" si="1"/>
        <v>Other</v>
      </c>
    </row>
    <row r="773" ht="15.75" customHeight="1">
      <c r="A773" s="22" t="str">
        <f>IF(MOV_CC_NACIONAL!A773="","",MOV_CC_NACIONAL!A773)</f>
        <v/>
      </c>
      <c r="B773" s="22" t="str">
        <f>IF(MOV_CC_NACIONAL!B773="","",MOV_CC_NACIONAL!B773)</f>
        <v/>
      </c>
      <c r="C773" s="21" t="str">
        <f>IF(MOV_CC_NACIONAL!C773="","",MOV_CC_NACIONAL!C773)</f>
        <v/>
      </c>
      <c r="D773" s="22" t="str">
        <f t="shared" si="1"/>
        <v>Other</v>
      </c>
    </row>
    <row r="774" ht="15.75" customHeight="1">
      <c r="A774" s="22" t="str">
        <f>IF(MOV_CC_NACIONAL!A774="","",MOV_CC_NACIONAL!A774)</f>
        <v/>
      </c>
      <c r="B774" s="22" t="str">
        <f>IF(MOV_CC_NACIONAL!B774="","",MOV_CC_NACIONAL!B774)</f>
        <v/>
      </c>
      <c r="C774" s="21" t="str">
        <f>IF(MOV_CC_NACIONAL!C774="","",MOV_CC_NACIONAL!C774)</f>
        <v/>
      </c>
      <c r="D774" s="22" t="str">
        <f t="shared" si="1"/>
        <v>Other</v>
      </c>
    </row>
    <row r="775" ht="15.75" customHeight="1">
      <c r="A775" s="22" t="str">
        <f>IF(MOV_CC_NACIONAL!A775="","",MOV_CC_NACIONAL!A775)</f>
        <v/>
      </c>
      <c r="B775" s="22" t="str">
        <f>IF(MOV_CC_NACIONAL!B775="","",MOV_CC_NACIONAL!B775)</f>
        <v/>
      </c>
      <c r="C775" s="21" t="str">
        <f>IF(MOV_CC_NACIONAL!C775="","",MOV_CC_NACIONAL!C775)</f>
        <v/>
      </c>
      <c r="D775" s="22" t="str">
        <f t="shared" si="1"/>
        <v>Other</v>
      </c>
    </row>
    <row r="776" ht="15.75" customHeight="1">
      <c r="A776" s="22" t="str">
        <f>IF(MOV_CC_NACIONAL!A776="","",MOV_CC_NACIONAL!A776)</f>
        <v/>
      </c>
      <c r="B776" s="22" t="str">
        <f>IF(MOV_CC_NACIONAL!B776="","",MOV_CC_NACIONAL!B776)</f>
        <v/>
      </c>
      <c r="C776" s="21" t="str">
        <f>IF(MOV_CC_NACIONAL!C776="","",MOV_CC_NACIONAL!C776)</f>
        <v/>
      </c>
      <c r="D776" s="22" t="str">
        <f t="shared" si="1"/>
        <v>Other</v>
      </c>
    </row>
    <row r="777" ht="15.75" customHeight="1">
      <c r="A777" s="22" t="str">
        <f>IF(MOV_CC_NACIONAL!A777="","",MOV_CC_NACIONAL!A777)</f>
        <v/>
      </c>
      <c r="B777" s="22" t="str">
        <f>IF(MOV_CC_NACIONAL!B777="","",MOV_CC_NACIONAL!B777)</f>
        <v/>
      </c>
      <c r="C777" s="21" t="str">
        <f>IF(MOV_CC_NACIONAL!C777="","",MOV_CC_NACIONAL!C777)</f>
        <v/>
      </c>
      <c r="D777" s="22" t="str">
        <f t="shared" si="1"/>
        <v>Other</v>
      </c>
    </row>
    <row r="778" ht="15.75" customHeight="1">
      <c r="A778" s="22" t="str">
        <f>IF(MOV_CC_NACIONAL!A778="","",MOV_CC_NACIONAL!A778)</f>
        <v/>
      </c>
      <c r="B778" s="22" t="str">
        <f>IF(MOV_CC_NACIONAL!B778="","",MOV_CC_NACIONAL!B778)</f>
        <v/>
      </c>
      <c r="C778" s="21" t="str">
        <f>IF(MOV_CC_NACIONAL!C778="","",MOV_CC_NACIONAL!C778)</f>
        <v/>
      </c>
      <c r="D778" s="22" t="str">
        <f t="shared" si="1"/>
        <v>Other</v>
      </c>
    </row>
    <row r="779" ht="15.75" customHeight="1">
      <c r="A779" s="22" t="str">
        <f>IF(MOV_CC_NACIONAL!A779="","",MOV_CC_NACIONAL!A779)</f>
        <v/>
      </c>
      <c r="B779" s="22" t="str">
        <f>IF(MOV_CC_NACIONAL!B779="","",MOV_CC_NACIONAL!B779)</f>
        <v/>
      </c>
      <c r="C779" s="21" t="str">
        <f>IF(MOV_CC_NACIONAL!C779="","",MOV_CC_NACIONAL!C779)</f>
        <v/>
      </c>
      <c r="D779" s="22" t="str">
        <f t="shared" si="1"/>
        <v>Other</v>
      </c>
    </row>
    <row r="780" ht="15.75" customHeight="1">
      <c r="A780" s="22" t="str">
        <f>IF(MOV_CC_NACIONAL!A780="","",MOV_CC_NACIONAL!A780)</f>
        <v/>
      </c>
      <c r="B780" s="22" t="str">
        <f>IF(MOV_CC_NACIONAL!B780="","",MOV_CC_NACIONAL!B780)</f>
        <v/>
      </c>
      <c r="C780" s="21" t="str">
        <f>IF(MOV_CC_NACIONAL!C780="","",MOV_CC_NACIONAL!C780)</f>
        <v/>
      </c>
      <c r="D780" s="22" t="str">
        <f t="shared" si="1"/>
        <v>Other</v>
      </c>
    </row>
    <row r="781" ht="15.75" customHeight="1">
      <c r="A781" s="22" t="str">
        <f>IF(MOV_CC_NACIONAL!A781="","",MOV_CC_NACIONAL!A781)</f>
        <v/>
      </c>
      <c r="B781" s="22" t="str">
        <f>IF(MOV_CC_NACIONAL!B781="","",MOV_CC_NACIONAL!B781)</f>
        <v/>
      </c>
      <c r="C781" s="21" t="str">
        <f>IF(MOV_CC_NACIONAL!C781="","",MOV_CC_NACIONAL!C781)</f>
        <v/>
      </c>
      <c r="D781" s="22" t="str">
        <f t="shared" si="1"/>
        <v>Other</v>
      </c>
    </row>
    <row r="782" ht="15.75" customHeight="1">
      <c r="A782" s="22" t="str">
        <f>IF(MOV_CC_NACIONAL!A782="","",MOV_CC_NACIONAL!A782)</f>
        <v/>
      </c>
      <c r="B782" s="22" t="str">
        <f>IF(MOV_CC_NACIONAL!B782="","",MOV_CC_NACIONAL!B782)</f>
        <v/>
      </c>
      <c r="C782" s="21" t="str">
        <f>IF(MOV_CC_NACIONAL!C782="","",MOV_CC_NACIONAL!C782)</f>
        <v/>
      </c>
      <c r="D782" s="22" t="str">
        <f t="shared" si="1"/>
        <v>Other</v>
      </c>
    </row>
    <row r="783" ht="15.75" customHeight="1">
      <c r="A783" s="22" t="str">
        <f>IF(MOV_CC_NACIONAL!A783="","",MOV_CC_NACIONAL!A783)</f>
        <v/>
      </c>
      <c r="B783" s="22" t="str">
        <f>IF(MOV_CC_NACIONAL!B783="","",MOV_CC_NACIONAL!B783)</f>
        <v/>
      </c>
      <c r="C783" s="21" t="str">
        <f>IF(MOV_CC_NACIONAL!C783="","",MOV_CC_NACIONAL!C783)</f>
        <v/>
      </c>
      <c r="D783" s="22" t="str">
        <f t="shared" si="1"/>
        <v>Other</v>
      </c>
    </row>
    <row r="784" ht="15.75" customHeight="1">
      <c r="A784" s="22" t="str">
        <f>IF(MOV_CC_NACIONAL!A784="","",MOV_CC_NACIONAL!A784)</f>
        <v/>
      </c>
      <c r="B784" s="22" t="str">
        <f>IF(MOV_CC_NACIONAL!B784="","",MOV_CC_NACIONAL!B784)</f>
        <v/>
      </c>
      <c r="C784" s="21" t="str">
        <f>IF(MOV_CC_NACIONAL!C784="","",MOV_CC_NACIONAL!C784)</f>
        <v/>
      </c>
      <c r="D784" s="22" t="str">
        <f t="shared" si="1"/>
        <v>Other</v>
      </c>
    </row>
    <row r="785" ht="15.75" customHeight="1">
      <c r="A785" s="22" t="str">
        <f>IF(MOV_CC_NACIONAL!A785="","",MOV_CC_NACIONAL!A785)</f>
        <v/>
      </c>
      <c r="B785" s="22" t="str">
        <f>IF(MOV_CC_NACIONAL!B785="","",MOV_CC_NACIONAL!B785)</f>
        <v/>
      </c>
      <c r="C785" s="21" t="str">
        <f>IF(MOV_CC_NACIONAL!C785="","",MOV_CC_NACIONAL!C785)</f>
        <v/>
      </c>
      <c r="D785" s="22" t="str">
        <f t="shared" si="1"/>
        <v>Other</v>
      </c>
    </row>
    <row r="786" ht="15.75" customHeight="1">
      <c r="A786" s="22" t="str">
        <f>IF(MOV_CC_NACIONAL!A786="","",MOV_CC_NACIONAL!A786)</f>
        <v/>
      </c>
      <c r="B786" s="22" t="str">
        <f>IF(MOV_CC_NACIONAL!B786="","",MOV_CC_NACIONAL!B786)</f>
        <v/>
      </c>
      <c r="C786" s="21" t="str">
        <f>IF(MOV_CC_NACIONAL!C786="","",MOV_CC_NACIONAL!C786)</f>
        <v/>
      </c>
      <c r="D786" s="22" t="str">
        <f t="shared" si="1"/>
        <v>Other</v>
      </c>
    </row>
    <row r="787" ht="15.75" customHeight="1">
      <c r="A787" s="22" t="str">
        <f>IF(MOV_CC_NACIONAL!A787="","",MOV_CC_NACIONAL!A787)</f>
        <v/>
      </c>
      <c r="B787" s="22" t="str">
        <f>IF(MOV_CC_NACIONAL!B787="","",MOV_CC_NACIONAL!B787)</f>
        <v/>
      </c>
      <c r="C787" s="21" t="str">
        <f>IF(MOV_CC_NACIONAL!C787="","",MOV_CC_NACIONAL!C787)</f>
        <v/>
      </c>
      <c r="D787" s="22" t="str">
        <f t="shared" si="1"/>
        <v>Other</v>
      </c>
    </row>
    <row r="788" ht="15.75" customHeight="1">
      <c r="A788" s="22" t="str">
        <f>IF(MOV_CC_NACIONAL!A788="","",MOV_CC_NACIONAL!A788)</f>
        <v/>
      </c>
      <c r="B788" s="22" t="str">
        <f>IF(MOV_CC_NACIONAL!B788="","",MOV_CC_NACIONAL!B788)</f>
        <v/>
      </c>
      <c r="C788" s="21" t="str">
        <f>IF(MOV_CC_NACIONAL!C788="","",MOV_CC_NACIONAL!C788)</f>
        <v/>
      </c>
      <c r="D788" s="22" t="str">
        <f t="shared" si="1"/>
        <v>Other</v>
      </c>
    </row>
    <row r="789" ht="15.75" customHeight="1">
      <c r="A789" s="22" t="str">
        <f>IF(MOV_CC_NACIONAL!A789="","",MOV_CC_NACIONAL!A789)</f>
        <v/>
      </c>
      <c r="B789" s="22" t="str">
        <f>IF(MOV_CC_NACIONAL!B789="","",MOV_CC_NACIONAL!B789)</f>
        <v/>
      </c>
      <c r="C789" s="21" t="str">
        <f>IF(MOV_CC_NACIONAL!C789="","",MOV_CC_NACIONAL!C789)</f>
        <v/>
      </c>
      <c r="D789" s="22" t="str">
        <f t="shared" si="1"/>
        <v>Other</v>
      </c>
    </row>
    <row r="790" ht="15.75" customHeight="1">
      <c r="A790" s="22" t="str">
        <f>IF(MOV_CC_NACIONAL!A790="","",MOV_CC_NACIONAL!A790)</f>
        <v/>
      </c>
      <c r="B790" s="22" t="str">
        <f>IF(MOV_CC_NACIONAL!B790="","",MOV_CC_NACIONAL!B790)</f>
        <v/>
      </c>
      <c r="C790" s="21" t="str">
        <f>IF(MOV_CC_NACIONAL!C790="","",MOV_CC_NACIONAL!C790)</f>
        <v/>
      </c>
      <c r="D790" s="22" t="str">
        <f t="shared" si="1"/>
        <v>Other</v>
      </c>
    </row>
    <row r="791" ht="15.75" customHeight="1">
      <c r="A791" s="22" t="str">
        <f>IF(MOV_CC_NACIONAL!A791="","",MOV_CC_NACIONAL!A791)</f>
        <v/>
      </c>
      <c r="B791" s="22" t="str">
        <f>IF(MOV_CC_NACIONAL!B791="","",MOV_CC_NACIONAL!B791)</f>
        <v/>
      </c>
      <c r="C791" s="21" t="str">
        <f>IF(MOV_CC_NACIONAL!C791="","",MOV_CC_NACIONAL!C791)</f>
        <v/>
      </c>
      <c r="D791" s="22" t="str">
        <f t="shared" si="1"/>
        <v>Other</v>
      </c>
    </row>
    <row r="792" ht="15.75" customHeight="1">
      <c r="A792" s="22" t="str">
        <f>IF(MOV_CC_NACIONAL!A792="","",MOV_CC_NACIONAL!A792)</f>
        <v/>
      </c>
      <c r="B792" s="22" t="str">
        <f>IF(MOV_CC_NACIONAL!B792="","",MOV_CC_NACIONAL!B792)</f>
        <v/>
      </c>
      <c r="C792" s="21" t="str">
        <f>IF(MOV_CC_NACIONAL!C792="","",MOV_CC_NACIONAL!C792)</f>
        <v/>
      </c>
      <c r="D792" s="22" t="str">
        <f t="shared" si="1"/>
        <v>Other</v>
      </c>
    </row>
    <row r="793" ht="15.75" customHeight="1">
      <c r="A793" s="22" t="str">
        <f>IF(MOV_CC_NACIONAL!A793="","",MOV_CC_NACIONAL!A793)</f>
        <v/>
      </c>
      <c r="B793" s="22" t="str">
        <f>IF(MOV_CC_NACIONAL!B793="","",MOV_CC_NACIONAL!B793)</f>
        <v/>
      </c>
      <c r="C793" s="21" t="str">
        <f>IF(MOV_CC_NACIONAL!C793="","",MOV_CC_NACIONAL!C793)</f>
        <v/>
      </c>
      <c r="D793" s="22" t="str">
        <f t="shared" si="1"/>
        <v>Other</v>
      </c>
    </row>
    <row r="794" ht="15.75" customHeight="1">
      <c r="A794" s="22" t="str">
        <f>IF(MOV_CC_NACIONAL!A794="","",MOV_CC_NACIONAL!A794)</f>
        <v/>
      </c>
      <c r="B794" s="22" t="str">
        <f>IF(MOV_CC_NACIONAL!B794="","",MOV_CC_NACIONAL!B794)</f>
        <v/>
      </c>
      <c r="C794" s="21" t="str">
        <f>IF(MOV_CC_NACIONAL!C794="","",MOV_CC_NACIONAL!C794)</f>
        <v/>
      </c>
      <c r="D794" s="22" t="str">
        <f t="shared" si="1"/>
        <v>Other</v>
      </c>
    </row>
    <row r="795" ht="15.75" customHeight="1">
      <c r="A795" s="22" t="str">
        <f>IF(MOV_CC_NACIONAL!A795="","",MOV_CC_NACIONAL!A795)</f>
        <v/>
      </c>
      <c r="B795" s="22" t="str">
        <f>IF(MOV_CC_NACIONAL!B795="","",MOV_CC_NACIONAL!B795)</f>
        <v/>
      </c>
      <c r="C795" s="21" t="str">
        <f>IF(MOV_CC_NACIONAL!C795="","",MOV_CC_NACIONAL!C795)</f>
        <v/>
      </c>
      <c r="D795" s="22" t="str">
        <f t="shared" si="1"/>
        <v>Other</v>
      </c>
    </row>
    <row r="796" ht="15.75" customHeight="1">
      <c r="A796" s="22" t="str">
        <f>IF(MOV_CC_NACIONAL!A796="","",MOV_CC_NACIONAL!A796)</f>
        <v/>
      </c>
      <c r="B796" s="22" t="str">
        <f>IF(MOV_CC_NACIONAL!B796="","",MOV_CC_NACIONAL!B796)</f>
        <v/>
      </c>
      <c r="C796" s="21" t="str">
        <f>IF(MOV_CC_NACIONAL!C796="","",MOV_CC_NACIONAL!C796)</f>
        <v/>
      </c>
      <c r="D796" s="22" t="str">
        <f t="shared" si="1"/>
        <v>Other</v>
      </c>
    </row>
    <row r="797" ht="15.75" customHeight="1">
      <c r="A797" s="22" t="str">
        <f>IF(MOV_CC_NACIONAL!A797="","",MOV_CC_NACIONAL!A797)</f>
        <v/>
      </c>
      <c r="B797" s="22" t="str">
        <f>IF(MOV_CC_NACIONAL!B797="","",MOV_CC_NACIONAL!B797)</f>
        <v/>
      </c>
      <c r="C797" s="21" t="str">
        <f>IF(MOV_CC_NACIONAL!C797="","",MOV_CC_NACIONAL!C797)</f>
        <v/>
      </c>
      <c r="D797" s="22" t="str">
        <f t="shared" si="1"/>
        <v>Other</v>
      </c>
    </row>
    <row r="798" ht="15.75" customHeight="1">
      <c r="A798" s="22" t="str">
        <f>IF(MOV_CC_NACIONAL!A798="","",MOV_CC_NACIONAL!A798)</f>
        <v/>
      </c>
      <c r="B798" s="22" t="str">
        <f>IF(MOV_CC_NACIONAL!B798="","",MOV_CC_NACIONAL!B798)</f>
        <v/>
      </c>
      <c r="C798" s="21" t="str">
        <f>IF(MOV_CC_NACIONAL!C798="","",MOV_CC_NACIONAL!C798)</f>
        <v/>
      </c>
      <c r="D798" s="22" t="str">
        <f t="shared" si="1"/>
        <v>Other</v>
      </c>
    </row>
    <row r="799" ht="15.75" customHeight="1">
      <c r="A799" s="22" t="str">
        <f>IF(MOV_CC_NACIONAL!A799="","",MOV_CC_NACIONAL!A799)</f>
        <v/>
      </c>
      <c r="B799" s="22" t="str">
        <f>IF(MOV_CC_NACIONAL!B799="","",MOV_CC_NACIONAL!B799)</f>
        <v/>
      </c>
      <c r="C799" s="21" t="str">
        <f>IF(MOV_CC_NACIONAL!C799="","",MOV_CC_NACIONAL!C799)</f>
        <v/>
      </c>
      <c r="D799" s="22" t="str">
        <f t="shared" si="1"/>
        <v>Other</v>
      </c>
    </row>
    <row r="800" ht="15.75" customHeight="1">
      <c r="A800" s="22" t="str">
        <f>IF(MOV_CC_NACIONAL!A800="","",MOV_CC_NACIONAL!A800)</f>
        <v/>
      </c>
      <c r="B800" s="22" t="str">
        <f>IF(MOV_CC_NACIONAL!B800="","",MOV_CC_NACIONAL!B800)</f>
        <v/>
      </c>
      <c r="C800" s="21" t="str">
        <f>IF(MOV_CC_NACIONAL!C800="","",MOV_CC_NACIONAL!C800)</f>
        <v/>
      </c>
      <c r="D800" s="22" t="str">
        <f t="shared" si="1"/>
        <v>Other</v>
      </c>
    </row>
    <row r="801" ht="15.75" customHeight="1">
      <c r="A801" s="22" t="str">
        <f>IF(MOV_CC_NACIONAL!A801="","",MOV_CC_NACIONAL!A801)</f>
        <v/>
      </c>
      <c r="B801" s="22" t="str">
        <f>IF(MOV_CC_NACIONAL!B801="","",MOV_CC_NACIONAL!B801)</f>
        <v/>
      </c>
      <c r="C801" s="21" t="str">
        <f>IF(MOV_CC_NACIONAL!C801="","",MOV_CC_NACIONAL!C801)</f>
        <v/>
      </c>
      <c r="D801" s="22" t="str">
        <f t="shared" si="1"/>
        <v>Other</v>
      </c>
    </row>
    <row r="802" ht="15.75" customHeight="1">
      <c r="A802" s="22" t="str">
        <f>IF(MOV_CC_NACIONAL!A802="","",MOV_CC_NACIONAL!A802)</f>
        <v/>
      </c>
      <c r="B802" s="22" t="str">
        <f>IF(MOV_CC_NACIONAL!B802="","",MOV_CC_NACIONAL!B802)</f>
        <v/>
      </c>
      <c r="C802" s="21" t="str">
        <f>IF(MOV_CC_NACIONAL!C802="","",MOV_CC_NACIONAL!C802)</f>
        <v/>
      </c>
      <c r="D802" s="22" t="str">
        <f t="shared" si="1"/>
        <v>Other</v>
      </c>
    </row>
    <row r="803" ht="15.75" customHeight="1">
      <c r="A803" s="22" t="str">
        <f>IF(MOV_CC_NACIONAL!A803="","",MOV_CC_NACIONAL!A803)</f>
        <v/>
      </c>
      <c r="B803" s="22" t="str">
        <f>IF(MOV_CC_NACIONAL!B803="","",MOV_CC_NACIONAL!B803)</f>
        <v/>
      </c>
      <c r="C803" s="21" t="str">
        <f>IF(MOV_CC_NACIONAL!C803="","",MOV_CC_NACIONAL!C803)</f>
        <v/>
      </c>
      <c r="D803" s="22" t="str">
        <f t="shared" si="1"/>
        <v>Other</v>
      </c>
    </row>
    <row r="804" ht="15.75" customHeight="1">
      <c r="A804" s="22" t="str">
        <f>IF(MOV_CC_NACIONAL!A804="","",MOV_CC_NACIONAL!A804)</f>
        <v/>
      </c>
      <c r="B804" s="22" t="str">
        <f>IF(MOV_CC_NACIONAL!B804="","",MOV_CC_NACIONAL!B804)</f>
        <v/>
      </c>
      <c r="C804" s="21" t="str">
        <f>IF(MOV_CC_NACIONAL!C804="","",MOV_CC_NACIONAL!C804)</f>
        <v/>
      </c>
      <c r="D804" s="22" t="str">
        <f t="shared" si="1"/>
        <v>Other</v>
      </c>
    </row>
    <row r="805" ht="15.75" customHeight="1">
      <c r="A805" s="22" t="str">
        <f>IF(MOV_CC_NACIONAL!A805="","",MOV_CC_NACIONAL!A805)</f>
        <v/>
      </c>
      <c r="B805" s="22" t="str">
        <f>IF(MOV_CC_NACIONAL!B805="","",MOV_CC_NACIONAL!B805)</f>
        <v/>
      </c>
      <c r="C805" s="21" t="str">
        <f>IF(MOV_CC_NACIONAL!C805="","",MOV_CC_NACIONAL!C805)</f>
        <v/>
      </c>
      <c r="D805" s="22" t="str">
        <f t="shared" si="1"/>
        <v>Other</v>
      </c>
    </row>
    <row r="806" ht="15.75" customHeight="1">
      <c r="A806" s="22" t="str">
        <f>IF(MOV_CC_NACIONAL!A806="","",MOV_CC_NACIONAL!A806)</f>
        <v/>
      </c>
      <c r="B806" s="22" t="str">
        <f>IF(MOV_CC_NACIONAL!B806="","",MOV_CC_NACIONAL!B806)</f>
        <v/>
      </c>
      <c r="C806" s="21" t="str">
        <f>IF(MOV_CC_NACIONAL!C806="","",MOV_CC_NACIONAL!C806)</f>
        <v/>
      </c>
      <c r="D806" s="22" t="str">
        <f t="shared" si="1"/>
        <v>Other</v>
      </c>
    </row>
    <row r="807" ht="15.75" customHeight="1">
      <c r="A807" s="22" t="str">
        <f>IF(MOV_CC_NACIONAL!A807="","",MOV_CC_NACIONAL!A807)</f>
        <v/>
      </c>
      <c r="B807" s="22" t="str">
        <f>IF(MOV_CC_NACIONAL!B807="","",MOV_CC_NACIONAL!B807)</f>
        <v/>
      </c>
      <c r="C807" s="21" t="str">
        <f>IF(MOV_CC_NACIONAL!C807="","",MOV_CC_NACIONAL!C807)</f>
        <v/>
      </c>
      <c r="D807" s="22" t="str">
        <f t="shared" si="1"/>
        <v>Other</v>
      </c>
    </row>
    <row r="808" ht="15.75" customHeight="1">
      <c r="A808" s="22" t="str">
        <f>IF(MOV_CC_NACIONAL!A808="","",MOV_CC_NACIONAL!A808)</f>
        <v/>
      </c>
      <c r="B808" s="22" t="str">
        <f>IF(MOV_CC_NACIONAL!B808="","",MOV_CC_NACIONAL!B808)</f>
        <v/>
      </c>
      <c r="C808" s="21" t="str">
        <f>IF(MOV_CC_NACIONAL!C808="","",MOV_CC_NACIONAL!C808)</f>
        <v/>
      </c>
      <c r="D808" s="22" t="str">
        <f t="shared" si="1"/>
        <v>Other</v>
      </c>
    </row>
    <row r="809" ht="15.75" customHeight="1">
      <c r="A809" s="22" t="str">
        <f>IF(MOV_CC_NACIONAL!A809="","",MOV_CC_NACIONAL!A809)</f>
        <v/>
      </c>
      <c r="B809" s="22" t="str">
        <f>IF(MOV_CC_NACIONAL!B809="","",MOV_CC_NACIONAL!B809)</f>
        <v/>
      </c>
      <c r="C809" s="21" t="str">
        <f>IF(MOV_CC_NACIONAL!C809="","",MOV_CC_NACIONAL!C809)</f>
        <v/>
      </c>
      <c r="D809" s="22" t="str">
        <f t="shared" si="1"/>
        <v>Other</v>
      </c>
    </row>
    <row r="810" ht="15.75" customHeight="1">
      <c r="A810" s="22" t="str">
        <f>IF(MOV_CC_NACIONAL!A810="","",MOV_CC_NACIONAL!A810)</f>
        <v/>
      </c>
      <c r="B810" s="22" t="str">
        <f>IF(MOV_CC_NACIONAL!B810="","",MOV_CC_NACIONAL!B810)</f>
        <v/>
      </c>
      <c r="C810" s="21" t="str">
        <f>IF(MOV_CC_NACIONAL!C810="","",MOV_CC_NACIONAL!C810)</f>
        <v/>
      </c>
      <c r="D810" s="22" t="str">
        <f t="shared" si="1"/>
        <v>Other</v>
      </c>
    </row>
    <row r="811" ht="15.75" customHeight="1">
      <c r="A811" s="22" t="str">
        <f>IF(MOV_CC_NACIONAL!A811="","",MOV_CC_NACIONAL!A811)</f>
        <v/>
      </c>
      <c r="B811" s="22" t="str">
        <f>IF(MOV_CC_NACIONAL!B811="","",MOV_CC_NACIONAL!B811)</f>
        <v/>
      </c>
      <c r="C811" s="21" t="str">
        <f>IF(MOV_CC_NACIONAL!C811="","",MOV_CC_NACIONAL!C811)</f>
        <v/>
      </c>
      <c r="D811" s="22" t="str">
        <f t="shared" si="1"/>
        <v>Other</v>
      </c>
    </row>
    <row r="812" ht="15.75" customHeight="1">
      <c r="A812" s="22" t="str">
        <f>IF(MOV_CC_NACIONAL!A812="","",MOV_CC_NACIONAL!A812)</f>
        <v/>
      </c>
      <c r="B812" s="22" t="str">
        <f>IF(MOV_CC_NACIONAL!B812="","",MOV_CC_NACIONAL!B812)</f>
        <v/>
      </c>
      <c r="C812" s="21" t="str">
        <f>IF(MOV_CC_NACIONAL!C812="","",MOV_CC_NACIONAL!C812)</f>
        <v/>
      </c>
      <c r="D812" s="22" t="str">
        <f t="shared" si="1"/>
        <v>Other</v>
      </c>
    </row>
    <row r="813" ht="15.75" customHeight="1">
      <c r="A813" s="22" t="str">
        <f>IF(MOV_CC_NACIONAL!A813="","",MOV_CC_NACIONAL!A813)</f>
        <v/>
      </c>
      <c r="B813" s="22" t="str">
        <f>IF(MOV_CC_NACIONAL!B813="","",MOV_CC_NACIONAL!B813)</f>
        <v/>
      </c>
      <c r="C813" s="21" t="str">
        <f>IF(MOV_CC_NACIONAL!C813="","",MOV_CC_NACIONAL!C813)</f>
        <v/>
      </c>
      <c r="D813" s="22" t="str">
        <f t="shared" si="1"/>
        <v>Other</v>
      </c>
    </row>
    <row r="814" ht="15.75" customHeight="1">
      <c r="A814" s="22" t="str">
        <f>IF(MOV_CC_NACIONAL!A814="","",MOV_CC_NACIONAL!A814)</f>
        <v/>
      </c>
      <c r="B814" s="22" t="str">
        <f>IF(MOV_CC_NACIONAL!B814="","",MOV_CC_NACIONAL!B814)</f>
        <v/>
      </c>
      <c r="C814" s="21" t="str">
        <f>IF(MOV_CC_NACIONAL!C814="","",MOV_CC_NACIONAL!C814)</f>
        <v/>
      </c>
      <c r="D814" s="22" t="str">
        <f t="shared" si="1"/>
        <v>Other</v>
      </c>
    </row>
    <row r="815" ht="15.75" customHeight="1">
      <c r="A815" s="22" t="str">
        <f>IF(MOV_CC_NACIONAL!A815="","",MOV_CC_NACIONAL!A815)</f>
        <v/>
      </c>
      <c r="B815" s="22" t="str">
        <f>IF(MOV_CC_NACIONAL!B815="","",MOV_CC_NACIONAL!B815)</f>
        <v/>
      </c>
      <c r="C815" s="21" t="str">
        <f>IF(MOV_CC_NACIONAL!C815="","",MOV_CC_NACIONAL!C815)</f>
        <v/>
      </c>
      <c r="D815" s="22" t="str">
        <f t="shared" si="1"/>
        <v>Other</v>
      </c>
    </row>
    <row r="816" ht="15.75" customHeight="1">
      <c r="A816" s="22" t="str">
        <f>IF(MOV_CC_NACIONAL!A816="","",MOV_CC_NACIONAL!A816)</f>
        <v/>
      </c>
      <c r="B816" s="22" t="str">
        <f>IF(MOV_CC_NACIONAL!B816="","",MOV_CC_NACIONAL!B816)</f>
        <v/>
      </c>
      <c r="C816" s="21" t="str">
        <f>IF(MOV_CC_NACIONAL!C816="","",MOV_CC_NACIONAL!C816)</f>
        <v/>
      </c>
      <c r="D816" s="22" t="str">
        <f t="shared" si="1"/>
        <v>Other</v>
      </c>
    </row>
    <row r="817" ht="15.75" customHeight="1">
      <c r="A817" s="22" t="str">
        <f>IF(MOV_CC_NACIONAL!A817="","",MOV_CC_NACIONAL!A817)</f>
        <v/>
      </c>
      <c r="B817" s="22" t="str">
        <f>IF(MOV_CC_NACIONAL!B817="","",MOV_CC_NACIONAL!B817)</f>
        <v/>
      </c>
      <c r="C817" s="21" t="str">
        <f>IF(MOV_CC_NACIONAL!C817="","",MOV_CC_NACIONAL!C817)</f>
        <v/>
      </c>
      <c r="D817" s="22" t="str">
        <f t="shared" si="1"/>
        <v>Other</v>
      </c>
    </row>
    <row r="818" ht="15.75" customHeight="1">
      <c r="A818" s="22" t="str">
        <f>IF(MOV_CC_NACIONAL!A818="","",MOV_CC_NACIONAL!A818)</f>
        <v/>
      </c>
      <c r="B818" s="22" t="str">
        <f>IF(MOV_CC_NACIONAL!B818="","",MOV_CC_NACIONAL!B818)</f>
        <v/>
      </c>
      <c r="C818" s="21" t="str">
        <f>IF(MOV_CC_NACIONAL!C818="","",MOV_CC_NACIONAL!C818)</f>
        <v/>
      </c>
      <c r="D818" s="22" t="str">
        <f t="shared" si="1"/>
        <v>Other</v>
      </c>
    </row>
    <row r="819" ht="15.75" customHeight="1">
      <c r="A819" s="22" t="str">
        <f>IF(MOV_CC_NACIONAL!A819="","",MOV_CC_NACIONAL!A819)</f>
        <v/>
      </c>
      <c r="B819" s="22" t="str">
        <f>IF(MOV_CC_NACIONAL!B819="","",MOV_CC_NACIONAL!B819)</f>
        <v/>
      </c>
      <c r="C819" s="21" t="str">
        <f>IF(MOV_CC_NACIONAL!C819="","",MOV_CC_NACIONAL!C819)</f>
        <v/>
      </c>
      <c r="D819" s="22" t="str">
        <f t="shared" si="1"/>
        <v>Other</v>
      </c>
    </row>
    <row r="820" ht="15.75" customHeight="1">
      <c r="A820" s="22" t="str">
        <f>IF(MOV_CC_NACIONAL!A820="","",MOV_CC_NACIONAL!A820)</f>
        <v/>
      </c>
      <c r="B820" s="22" t="str">
        <f>IF(MOV_CC_NACIONAL!B820="","",MOV_CC_NACIONAL!B820)</f>
        <v/>
      </c>
      <c r="C820" s="21" t="str">
        <f>IF(MOV_CC_NACIONAL!C820="","",MOV_CC_NACIONAL!C820)</f>
        <v/>
      </c>
      <c r="D820" s="22" t="str">
        <f t="shared" si="1"/>
        <v>Other</v>
      </c>
    </row>
    <row r="821" ht="15.75" customHeight="1">
      <c r="A821" s="22" t="str">
        <f>IF(MOV_CC_NACIONAL!A821="","",MOV_CC_NACIONAL!A821)</f>
        <v/>
      </c>
      <c r="B821" s="22" t="str">
        <f>IF(MOV_CC_NACIONAL!B821="","",MOV_CC_NACIONAL!B821)</f>
        <v/>
      </c>
      <c r="C821" s="21" t="str">
        <f>IF(MOV_CC_NACIONAL!C821="","",MOV_CC_NACIONAL!C821)</f>
        <v/>
      </c>
      <c r="D821" s="22" t="str">
        <f t="shared" si="1"/>
        <v>Other</v>
      </c>
    </row>
    <row r="822" ht="15.75" customHeight="1">
      <c r="A822" s="22" t="str">
        <f>IF(MOV_CC_NACIONAL!A822="","",MOV_CC_NACIONAL!A822)</f>
        <v/>
      </c>
      <c r="B822" s="22" t="str">
        <f>IF(MOV_CC_NACIONAL!B822="","",MOV_CC_NACIONAL!B822)</f>
        <v/>
      </c>
      <c r="C822" s="21" t="str">
        <f>IF(MOV_CC_NACIONAL!C822="","",MOV_CC_NACIONAL!C822)</f>
        <v/>
      </c>
      <c r="D822" s="22" t="str">
        <f t="shared" si="1"/>
        <v>Other</v>
      </c>
    </row>
    <row r="823" ht="15.75" customHeight="1">
      <c r="A823" s="22" t="str">
        <f>IF(MOV_CC_NACIONAL!A823="","",MOV_CC_NACIONAL!A823)</f>
        <v/>
      </c>
      <c r="B823" s="22" t="str">
        <f>IF(MOV_CC_NACIONAL!B823="","",MOV_CC_NACIONAL!B823)</f>
        <v/>
      </c>
      <c r="C823" s="21" t="str">
        <f>IF(MOV_CC_NACIONAL!C823="","",MOV_CC_NACIONAL!C823)</f>
        <v/>
      </c>
      <c r="D823" s="22" t="str">
        <f t="shared" si="1"/>
        <v>Other</v>
      </c>
    </row>
    <row r="824" ht="15.75" customHeight="1">
      <c r="A824" s="22" t="str">
        <f>IF(MOV_CC_NACIONAL!A824="","",MOV_CC_NACIONAL!A824)</f>
        <v/>
      </c>
      <c r="B824" s="22" t="str">
        <f>IF(MOV_CC_NACIONAL!B824="","",MOV_CC_NACIONAL!B824)</f>
        <v/>
      </c>
      <c r="C824" s="21" t="str">
        <f>IF(MOV_CC_NACIONAL!C824="","",MOV_CC_NACIONAL!C824)</f>
        <v/>
      </c>
      <c r="D824" s="22" t="str">
        <f t="shared" si="1"/>
        <v>Other</v>
      </c>
    </row>
    <row r="825" ht="15.75" customHeight="1">
      <c r="A825" s="22" t="str">
        <f>IF(MOV_CC_NACIONAL!A825="","",MOV_CC_NACIONAL!A825)</f>
        <v/>
      </c>
      <c r="B825" s="22" t="str">
        <f>IF(MOV_CC_NACIONAL!B825="","",MOV_CC_NACIONAL!B825)</f>
        <v/>
      </c>
      <c r="C825" s="21" t="str">
        <f>IF(MOV_CC_NACIONAL!C825="","",MOV_CC_NACIONAL!C825)</f>
        <v/>
      </c>
      <c r="D825" s="22" t="str">
        <f t="shared" si="1"/>
        <v>Other</v>
      </c>
    </row>
    <row r="826" ht="15.75" customHeight="1">
      <c r="A826" s="22" t="str">
        <f>IF(MOV_CC_NACIONAL!A826="","",MOV_CC_NACIONAL!A826)</f>
        <v/>
      </c>
      <c r="B826" s="22" t="str">
        <f>IF(MOV_CC_NACIONAL!B826="","",MOV_CC_NACIONAL!B826)</f>
        <v/>
      </c>
      <c r="C826" s="21" t="str">
        <f>IF(MOV_CC_NACIONAL!C826="","",MOV_CC_NACIONAL!C826)</f>
        <v/>
      </c>
      <c r="D826" s="22" t="str">
        <f t="shared" si="1"/>
        <v>Other</v>
      </c>
    </row>
    <row r="827" ht="15.75" customHeight="1">
      <c r="A827" s="22" t="str">
        <f>IF(MOV_CC_NACIONAL!A827="","",MOV_CC_NACIONAL!A827)</f>
        <v/>
      </c>
      <c r="B827" s="22" t="str">
        <f>IF(MOV_CC_NACIONAL!B827="","",MOV_CC_NACIONAL!B827)</f>
        <v/>
      </c>
      <c r="C827" s="21" t="str">
        <f>IF(MOV_CC_NACIONAL!C827="","",MOV_CC_NACIONAL!C827)</f>
        <v/>
      </c>
      <c r="D827" s="22" t="str">
        <f t="shared" si="1"/>
        <v>Other</v>
      </c>
    </row>
    <row r="828" ht="15.75" customHeight="1">
      <c r="A828" s="22" t="str">
        <f>IF(MOV_CC_NACIONAL!A828="","",MOV_CC_NACIONAL!A828)</f>
        <v/>
      </c>
      <c r="B828" s="22" t="str">
        <f>IF(MOV_CC_NACIONAL!B828="","",MOV_CC_NACIONAL!B828)</f>
        <v/>
      </c>
      <c r="C828" s="21" t="str">
        <f>IF(MOV_CC_NACIONAL!C828="","",MOV_CC_NACIONAL!C828)</f>
        <v/>
      </c>
      <c r="D828" s="22" t="str">
        <f t="shared" si="1"/>
        <v>Other</v>
      </c>
    </row>
    <row r="829" ht="15.75" customHeight="1">
      <c r="A829" s="22" t="str">
        <f>IF(MOV_CC_NACIONAL!A829="","",MOV_CC_NACIONAL!A829)</f>
        <v/>
      </c>
      <c r="B829" s="22" t="str">
        <f>IF(MOV_CC_NACIONAL!B829="","",MOV_CC_NACIONAL!B829)</f>
        <v/>
      </c>
      <c r="C829" s="21" t="str">
        <f>IF(MOV_CC_NACIONAL!C829="","",MOV_CC_NACIONAL!C829)</f>
        <v/>
      </c>
      <c r="D829" s="22" t="str">
        <f t="shared" si="1"/>
        <v>Other</v>
      </c>
    </row>
    <row r="830" ht="15.75" customHeight="1">
      <c r="A830" s="22" t="str">
        <f>IF(MOV_CC_NACIONAL!A830="","",MOV_CC_NACIONAL!A830)</f>
        <v/>
      </c>
      <c r="B830" s="22" t="str">
        <f>IF(MOV_CC_NACIONAL!B830="","",MOV_CC_NACIONAL!B830)</f>
        <v/>
      </c>
      <c r="C830" s="21" t="str">
        <f>IF(MOV_CC_NACIONAL!C830="","",MOV_CC_NACIONAL!C830)</f>
        <v/>
      </c>
      <c r="D830" s="22" t="str">
        <f t="shared" si="1"/>
        <v>Other</v>
      </c>
    </row>
    <row r="831" ht="15.75" customHeight="1">
      <c r="A831" s="22" t="str">
        <f>IF(MOV_CC_NACIONAL!A831="","",MOV_CC_NACIONAL!A831)</f>
        <v/>
      </c>
      <c r="B831" s="22" t="str">
        <f>IF(MOV_CC_NACIONAL!B831="","",MOV_CC_NACIONAL!B831)</f>
        <v/>
      </c>
      <c r="C831" s="21" t="str">
        <f>IF(MOV_CC_NACIONAL!C831="","",MOV_CC_NACIONAL!C831)</f>
        <v/>
      </c>
      <c r="D831" s="22" t="str">
        <f t="shared" si="1"/>
        <v>Other</v>
      </c>
    </row>
    <row r="832" ht="15.75" customHeight="1">
      <c r="A832" s="22" t="str">
        <f>IF(MOV_CC_NACIONAL!A832="","",MOV_CC_NACIONAL!A832)</f>
        <v/>
      </c>
      <c r="B832" s="22" t="str">
        <f>IF(MOV_CC_NACIONAL!B832="","",MOV_CC_NACIONAL!B832)</f>
        <v/>
      </c>
      <c r="C832" s="21" t="str">
        <f>IF(MOV_CC_NACIONAL!C832="","",MOV_CC_NACIONAL!C832)</f>
        <v/>
      </c>
      <c r="D832" s="22" t="str">
        <f t="shared" si="1"/>
        <v>Other</v>
      </c>
    </row>
    <row r="833" ht="15.75" customHeight="1">
      <c r="A833" s="22" t="str">
        <f>IF(MOV_CC_NACIONAL!A833="","",MOV_CC_NACIONAL!A833)</f>
        <v/>
      </c>
      <c r="B833" s="22" t="str">
        <f>IF(MOV_CC_NACIONAL!B833="","",MOV_CC_NACIONAL!B833)</f>
        <v/>
      </c>
      <c r="C833" s="21" t="str">
        <f>IF(MOV_CC_NACIONAL!C833="","",MOV_CC_NACIONAL!C833)</f>
        <v/>
      </c>
      <c r="D833" s="22" t="str">
        <f t="shared" si="1"/>
        <v>Other</v>
      </c>
    </row>
    <row r="834" ht="15.75" customHeight="1">
      <c r="A834" s="22" t="str">
        <f>IF(MOV_CC_NACIONAL!A834="","",MOV_CC_NACIONAL!A834)</f>
        <v/>
      </c>
      <c r="B834" s="22" t="str">
        <f>IF(MOV_CC_NACIONAL!B834="","",MOV_CC_NACIONAL!B834)</f>
        <v/>
      </c>
      <c r="C834" s="21" t="str">
        <f>IF(MOV_CC_NACIONAL!C834="","",MOV_CC_NACIONAL!C834)</f>
        <v/>
      </c>
      <c r="D834" s="22" t="str">
        <f t="shared" si="1"/>
        <v>Other</v>
      </c>
    </row>
    <row r="835" ht="15.75" customHeight="1">
      <c r="A835" s="22" t="str">
        <f>IF(MOV_CC_NACIONAL!A835="","",MOV_CC_NACIONAL!A835)</f>
        <v/>
      </c>
      <c r="B835" s="22" t="str">
        <f>IF(MOV_CC_NACIONAL!B835="","",MOV_CC_NACIONAL!B835)</f>
        <v/>
      </c>
      <c r="C835" s="21" t="str">
        <f>IF(MOV_CC_NACIONAL!C835="","",MOV_CC_NACIONAL!C835)</f>
        <v/>
      </c>
      <c r="D835" s="22" t="str">
        <f t="shared" si="1"/>
        <v>Other</v>
      </c>
    </row>
    <row r="836" ht="15.75" customHeight="1">
      <c r="A836" s="22" t="str">
        <f>IF(MOV_CC_NACIONAL!A836="","",MOV_CC_NACIONAL!A836)</f>
        <v/>
      </c>
      <c r="B836" s="22" t="str">
        <f>IF(MOV_CC_NACIONAL!B836="","",MOV_CC_NACIONAL!B836)</f>
        <v/>
      </c>
      <c r="C836" s="21" t="str">
        <f>IF(MOV_CC_NACIONAL!C836="","",MOV_CC_NACIONAL!C836)</f>
        <v/>
      </c>
      <c r="D836" s="22" t="str">
        <f t="shared" si="1"/>
        <v>Other</v>
      </c>
    </row>
    <row r="837" ht="15.75" customHeight="1">
      <c r="A837" s="22" t="str">
        <f>IF(MOV_CC_NACIONAL!A837="","",MOV_CC_NACIONAL!A837)</f>
        <v/>
      </c>
      <c r="B837" s="22" t="str">
        <f>IF(MOV_CC_NACIONAL!B837="","",MOV_CC_NACIONAL!B837)</f>
        <v/>
      </c>
      <c r="C837" s="21" t="str">
        <f>IF(MOV_CC_NACIONAL!C837="","",MOV_CC_NACIONAL!C837)</f>
        <v/>
      </c>
      <c r="D837" s="22" t="str">
        <f t="shared" si="1"/>
        <v>Other</v>
      </c>
    </row>
    <row r="838" ht="15.75" customHeight="1">
      <c r="A838" s="22" t="str">
        <f>IF(MOV_CC_NACIONAL!A838="","",MOV_CC_NACIONAL!A838)</f>
        <v/>
      </c>
      <c r="B838" s="22" t="str">
        <f>IF(MOV_CC_NACIONAL!B838="","",MOV_CC_NACIONAL!B838)</f>
        <v/>
      </c>
      <c r="C838" s="21" t="str">
        <f>IF(MOV_CC_NACIONAL!C838="","",MOV_CC_NACIONAL!C838)</f>
        <v/>
      </c>
      <c r="D838" s="22" t="str">
        <f t="shared" si="1"/>
        <v>Other</v>
      </c>
    </row>
    <row r="839" ht="15.75" customHeight="1">
      <c r="A839" s="22" t="str">
        <f>IF(MOV_CC_NACIONAL!A839="","",MOV_CC_NACIONAL!A839)</f>
        <v/>
      </c>
      <c r="B839" s="22" t="str">
        <f>IF(MOV_CC_NACIONAL!B839="","",MOV_CC_NACIONAL!B839)</f>
        <v/>
      </c>
      <c r="C839" s="21" t="str">
        <f>IF(MOV_CC_NACIONAL!C839="","",MOV_CC_NACIONAL!C839)</f>
        <v/>
      </c>
      <c r="D839" s="22" t="str">
        <f t="shared" si="1"/>
        <v>Other</v>
      </c>
    </row>
    <row r="840" ht="15.75" customHeight="1">
      <c r="A840" s="22" t="str">
        <f>IF(MOV_CC_NACIONAL!A840="","",MOV_CC_NACIONAL!A840)</f>
        <v/>
      </c>
      <c r="B840" s="22" t="str">
        <f>IF(MOV_CC_NACIONAL!B840="","",MOV_CC_NACIONAL!B840)</f>
        <v/>
      </c>
      <c r="C840" s="21" t="str">
        <f>IF(MOV_CC_NACIONAL!C840="","",MOV_CC_NACIONAL!C840)</f>
        <v/>
      </c>
      <c r="D840" s="22" t="str">
        <f t="shared" si="1"/>
        <v>Other</v>
      </c>
    </row>
    <row r="841" ht="15.75" customHeight="1">
      <c r="A841" s="22" t="str">
        <f>IF(MOV_CC_NACIONAL!A841="","",MOV_CC_NACIONAL!A841)</f>
        <v/>
      </c>
      <c r="B841" s="22" t="str">
        <f>IF(MOV_CC_NACIONAL!B841="","",MOV_CC_NACIONAL!B841)</f>
        <v/>
      </c>
      <c r="C841" s="21" t="str">
        <f>IF(MOV_CC_NACIONAL!C841="","",MOV_CC_NACIONAL!C841)</f>
        <v/>
      </c>
      <c r="D841" s="22" t="str">
        <f t="shared" si="1"/>
        <v>Other</v>
      </c>
    </row>
    <row r="842" ht="15.75" customHeight="1">
      <c r="A842" s="22" t="str">
        <f>IF(MOV_CC_NACIONAL!A842="","",MOV_CC_NACIONAL!A842)</f>
        <v/>
      </c>
      <c r="B842" s="22" t="str">
        <f>IF(MOV_CC_NACIONAL!B842="","",MOV_CC_NACIONAL!B842)</f>
        <v/>
      </c>
      <c r="C842" s="21" t="str">
        <f>IF(MOV_CC_NACIONAL!C842="","",MOV_CC_NACIONAL!C842)</f>
        <v/>
      </c>
      <c r="D842" s="22" t="str">
        <f t="shared" si="1"/>
        <v>Other</v>
      </c>
    </row>
    <row r="843" ht="15.75" customHeight="1">
      <c r="A843" s="22" t="str">
        <f>IF(MOV_CC_NACIONAL!A843="","",MOV_CC_NACIONAL!A843)</f>
        <v/>
      </c>
      <c r="B843" s="22" t="str">
        <f>IF(MOV_CC_NACIONAL!B843="","",MOV_CC_NACIONAL!B843)</f>
        <v/>
      </c>
      <c r="C843" s="21" t="str">
        <f>IF(MOV_CC_NACIONAL!C843="","",MOV_CC_NACIONAL!C843)</f>
        <v/>
      </c>
      <c r="D843" s="22" t="str">
        <f t="shared" si="1"/>
        <v>Other</v>
      </c>
    </row>
    <row r="844" ht="15.75" customHeight="1">
      <c r="A844" s="22" t="str">
        <f>IF(MOV_CC_NACIONAL!A844="","",MOV_CC_NACIONAL!A844)</f>
        <v/>
      </c>
      <c r="B844" s="22" t="str">
        <f>IF(MOV_CC_NACIONAL!B844="","",MOV_CC_NACIONAL!B844)</f>
        <v/>
      </c>
      <c r="C844" s="21" t="str">
        <f>IF(MOV_CC_NACIONAL!C844="","",MOV_CC_NACIONAL!C844)</f>
        <v/>
      </c>
      <c r="D844" s="22" t="str">
        <f t="shared" si="1"/>
        <v>Other</v>
      </c>
    </row>
    <row r="845" ht="15.75" customHeight="1">
      <c r="A845" s="22" t="str">
        <f>IF(MOV_CC_NACIONAL!A845="","",MOV_CC_NACIONAL!A845)</f>
        <v/>
      </c>
      <c r="B845" s="22" t="str">
        <f>IF(MOV_CC_NACIONAL!B845="","",MOV_CC_NACIONAL!B845)</f>
        <v/>
      </c>
      <c r="C845" s="21" t="str">
        <f>IF(MOV_CC_NACIONAL!C845="","",MOV_CC_NACIONAL!C845)</f>
        <v/>
      </c>
      <c r="D845" s="22" t="str">
        <f t="shared" si="1"/>
        <v>Other</v>
      </c>
    </row>
    <row r="846" ht="15.75" customHeight="1">
      <c r="A846" s="22" t="str">
        <f>IF(MOV_CC_NACIONAL!A846="","",MOV_CC_NACIONAL!A846)</f>
        <v/>
      </c>
      <c r="B846" s="22" t="str">
        <f>IF(MOV_CC_NACIONAL!B846="","",MOV_CC_NACIONAL!B846)</f>
        <v/>
      </c>
      <c r="C846" s="21" t="str">
        <f>IF(MOV_CC_NACIONAL!C846="","",MOV_CC_NACIONAL!C846)</f>
        <v/>
      </c>
      <c r="D846" s="22" t="str">
        <f t="shared" si="1"/>
        <v>Other</v>
      </c>
    </row>
    <row r="847" ht="15.75" customHeight="1">
      <c r="A847" s="22" t="str">
        <f>IF(MOV_CC_NACIONAL!A847="","",MOV_CC_NACIONAL!A847)</f>
        <v/>
      </c>
      <c r="B847" s="22" t="str">
        <f>IF(MOV_CC_NACIONAL!B847="","",MOV_CC_NACIONAL!B847)</f>
        <v/>
      </c>
      <c r="C847" s="21" t="str">
        <f>IF(MOV_CC_NACIONAL!C847="","",MOV_CC_NACIONAL!C847)</f>
        <v/>
      </c>
      <c r="D847" s="22" t="str">
        <f t="shared" si="1"/>
        <v>Other</v>
      </c>
    </row>
    <row r="848" ht="15.75" customHeight="1">
      <c r="A848" s="22" t="str">
        <f>IF(MOV_CC_NACIONAL!A848="","",MOV_CC_NACIONAL!A848)</f>
        <v/>
      </c>
      <c r="B848" s="22" t="str">
        <f>IF(MOV_CC_NACIONAL!B848="","",MOV_CC_NACIONAL!B848)</f>
        <v/>
      </c>
      <c r="C848" s="21" t="str">
        <f>IF(MOV_CC_NACIONAL!C848="","",MOV_CC_NACIONAL!C848)</f>
        <v/>
      </c>
      <c r="D848" s="22" t="str">
        <f t="shared" si="1"/>
        <v>Other</v>
      </c>
    </row>
    <row r="849" ht="15.75" customHeight="1">
      <c r="A849" s="22" t="str">
        <f>IF(MOV_CC_NACIONAL!A849="","",MOV_CC_NACIONAL!A849)</f>
        <v/>
      </c>
      <c r="B849" s="22" t="str">
        <f>IF(MOV_CC_NACIONAL!B849="","",MOV_CC_NACIONAL!B849)</f>
        <v/>
      </c>
      <c r="C849" s="21" t="str">
        <f>IF(MOV_CC_NACIONAL!C849="","",MOV_CC_NACIONAL!C849)</f>
        <v/>
      </c>
      <c r="D849" s="22" t="str">
        <f t="shared" si="1"/>
        <v>Other</v>
      </c>
    </row>
    <row r="850" ht="15.75" customHeight="1">
      <c r="A850" s="22" t="str">
        <f>IF(MOV_CC_NACIONAL!A850="","",MOV_CC_NACIONAL!A850)</f>
        <v/>
      </c>
      <c r="B850" s="22" t="str">
        <f>IF(MOV_CC_NACIONAL!B850="","",MOV_CC_NACIONAL!B850)</f>
        <v/>
      </c>
      <c r="C850" s="21" t="str">
        <f>IF(MOV_CC_NACIONAL!C850="","",MOV_CC_NACIONAL!C850)</f>
        <v/>
      </c>
      <c r="D850" s="22" t="str">
        <f t="shared" si="1"/>
        <v>Other</v>
      </c>
    </row>
    <row r="851" ht="15.75" customHeight="1">
      <c r="A851" s="22" t="str">
        <f>IF(MOV_CC_NACIONAL!A851="","",MOV_CC_NACIONAL!A851)</f>
        <v/>
      </c>
      <c r="B851" s="22" t="str">
        <f>IF(MOV_CC_NACIONAL!B851="","",MOV_CC_NACIONAL!B851)</f>
        <v/>
      </c>
      <c r="C851" s="21" t="str">
        <f>IF(MOV_CC_NACIONAL!C851="","",MOV_CC_NACIONAL!C851)</f>
        <v/>
      </c>
      <c r="D851" s="22" t="str">
        <f t="shared" si="1"/>
        <v>Other</v>
      </c>
    </row>
    <row r="852" ht="15.75" customHeight="1">
      <c r="A852" s="22" t="str">
        <f>IF(MOV_CC_NACIONAL!A852="","",MOV_CC_NACIONAL!A852)</f>
        <v/>
      </c>
      <c r="B852" s="22" t="str">
        <f>IF(MOV_CC_NACIONAL!B852="","",MOV_CC_NACIONAL!B852)</f>
        <v/>
      </c>
      <c r="C852" s="21" t="str">
        <f>IF(MOV_CC_NACIONAL!C852="","",MOV_CC_NACIONAL!C852)</f>
        <v/>
      </c>
      <c r="D852" s="22" t="str">
        <f t="shared" si="1"/>
        <v>Other</v>
      </c>
    </row>
    <row r="853" ht="15.75" customHeight="1">
      <c r="A853" s="22" t="str">
        <f>IF(MOV_CC_NACIONAL!A853="","",MOV_CC_NACIONAL!A853)</f>
        <v/>
      </c>
      <c r="B853" s="22" t="str">
        <f>IF(MOV_CC_NACIONAL!B853="","",MOV_CC_NACIONAL!B853)</f>
        <v/>
      </c>
      <c r="C853" s="21" t="str">
        <f>IF(MOV_CC_NACIONAL!C853="","",MOV_CC_NACIONAL!C853)</f>
        <v/>
      </c>
      <c r="D853" s="22" t="str">
        <f t="shared" si="1"/>
        <v>Other</v>
      </c>
    </row>
    <row r="854" ht="15.75" customHeight="1">
      <c r="A854" s="22" t="str">
        <f>IF(MOV_CC_NACIONAL!A854="","",MOV_CC_NACIONAL!A854)</f>
        <v/>
      </c>
      <c r="B854" s="22" t="str">
        <f>IF(MOV_CC_NACIONAL!B854="","",MOV_CC_NACIONAL!B854)</f>
        <v/>
      </c>
      <c r="C854" s="21" t="str">
        <f>IF(MOV_CC_NACIONAL!C854="","",MOV_CC_NACIONAL!C854)</f>
        <v/>
      </c>
      <c r="D854" s="22" t="str">
        <f t="shared" si="1"/>
        <v>Other</v>
      </c>
    </row>
    <row r="855" ht="15.75" customHeight="1">
      <c r="A855" s="22" t="str">
        <f>IF(MOV_CC_NACIONAL!A855="","",MOV_CC_NACIONAL!A855)</f>
        <v/>
      </c>
      <c r="B855" s="22" t="str">
        <f>IF(MOV_CC_NACIONAL!B855="","",MOV_CC_NACIONAL!B855)</f>
        <v/>
      </c>
      <c r="C855" s="21" t="str">
        <f>IF(MOV_CC_NACIONAL!C855="","",MOV_CC_NACIONAL!C855)</f>
        <v/>
      </c>
      <c r="D855" s="22" t="str">
        <f t="shared" si="1"/>
        <v>Other</v>
      </c>
    </row>
    <row r="856" ht="15.75" customHeight="1">
      <c r="A856" s="22" t="str">
        <f>IF(MOV_CC_NACIONAL!A856="","",MOV_CC_NACIONAL!A856)</f>
        <v/>
      </c>
      <c r="B856" s="22" t="str">
        <f>IF(MOV_CC_NACIONAL!B856="","",MOV_CC_NACIONAL!B856)</f>
        <v/>
      </c>
      <c r="C856" s="21" t="str">
        <f>IF(MOV_CC_NACIONAL!C856="","",MOV_CC_NACIONAL!C856)</f>
        <v/>
      </c>
      <c r="D856" s="22" t="str">
        <f t="shared" si="1"/>
        <v>Other</v>
      </c>
    </row>
    <row r="857" ht="15.75" customHeight="1">
      <c r="A857" s="22" t="str">
        <f>IF(MOV_CC_NACIONAL!A857="","",MOV_CC_NACIONAL!A857)</f>
        <v/>
      </c>
      <c r="B857" s="22" t="str">
        <f>IF(MOV_CC_NACIONAL!B857="","",MOV_CC_NACIONAL!B857)</f>
        <v/>
      </c>
      <c r="C857" s="21" t="str">
        <f>IF(MOV_CC_NACIONAL!C857="","",MOV_CC_NACIONAL!C857)</f>
        <v/>
      </c>
      <c r="D857" s="22" t="str">
        <f t="shared" si="1"/>
        <v>Other</v>
      </c>
    </row>
    <row r="858" ht="15.75" customHeight="1">
      <c r="A858" s="22" t="str">
        <f>IF(MOV_CC_NACIONAL!A858="","",MOV_CC_NACIONAL!A858)</f>
        <v/>
      </c>
      <c r="B858" s="22" t="str">
        <f>IF(MOV_CC_NACIONAL!B858="","",MOV_CC_NACIONAL!B858)</f>
        <v/>
      </c>
      <c r="C858" s="21" t="str">
        <f>IF(MOV_CC_NACIONAL!C858="","",MOV_CC_NACIONAL!C858)</f>
        <v/>
      </c>
      <c r="D858" s="22" t="str">
        <f t="shared" si="1"/>
        <v>Other</v>
      </c>
    </row>
    <row r="859" ht="15.75" customHeight="1">
      <c r="A859" s="22" t="str">
        <f>IF(MOV_CC_NACIONAL!A859="","",MOV_CC_NACIONAL!A859)</f>
        <v/>
      </c>
      <c r="B859" s="22" t="str">
        <f>IF(MOV_CC_NACIONAL!B859="","",MOV_CC_NACIONAL!B859)</f>
        <v/>
      </c>
      <c r="C859" s="21" t="str">
        <f>IF(MOV_CC_NACIONAL!C859="","",MOV_CC_NACIONAL!C859)</f>
        <v/>
      </c>
      <c r="D859" s="22" t="str">
        <f t="shared" si="1"/>
        <v>Other</v>
      </c>
    </row>
    <row r="860" ht="15.75" customHeight="1">
      <c r="A860" s="22" t="str">
        <f>IF(MOV_CC_NACIONAL!A860="","",MOV_CC_NACIONAL!A860)</f>
        <v/>
      </c>
      <c r="B860" s="22" t="str">
        <f>IF(MOV_CC_NACIONAL!B860="","",MOV_CC_NACIONAL!B860)</f>
        <v/>
      </c>
      <c r="C860" s="21" t="str">
        <f>IF(MOV_CC_NACIONAL!C860="","",MOV_CC_NACIONAL!C860)</f>
        <v/>
      </c>
      <c r="D860" s="22" t="str">
        <f t="shared" si="1"/>
        <v>Other</v>
      </c>
    </row>
    <row r="861" ht="15.75" customHeight="1">
      <c r="A861" s="22" t="str">
        <f>IF(MOV_CC_NACIONAL!A861="","",MOV_CC_NACIONAL!A861)</f>
        <v/>
      </c>
      <c r="B861" s="22" t="str">
        <f>IF(MOV_CC_NACIONAL!B861="","",MOV_CC_NACIONAL!B861)</f>
        <v/>
      </c>
      <c r="C861" s="21" t="str">
        <f>IF(MOV_CC_NACIONAL!C861="","",MOV_CC_NACIONAL!C861)</f>
        <v/>
      </c>
      <c r="D861" s="22" t="str">
        <f t="shared" si="1"/>
        <v>Other</v>
      </c>
    </row>
    <row r="862" ht="15.75" customHeight="1">
      <c r="A862" s="22" t="str">
        <f>IF(MOV_CC_NACIONAL!A862="","",MOV_CC_NACIONAL!A862)</f>
        <v/>
      </c>
      <c r="B862" s="22" t="str">
        <f>IF(MOV_CC_NACIONAL!B862="","",MOV_CC_NACIONAL!B862)</f>
        <v/>
      </c>
      <c r="C862" s="21" t="str">
        <f>IF(MOV_CC_NACIONAL!C862="","",MOV_CC_NACIONAL!C862)</f>
        <v/>
      </c>
      <c r="D862" s="22" t="str">
        <f t="shared" si="1"/>
        <v>Other</v>
      </c>
    </row>
    <row r="863" ht="15.75" customHeight="1">
      <c r="A863" s="22" t="str">
        <f>IF(MOV_CC_NACIONAL!A863="","",MOV_CC_NACIONAL!A863)</f>
        <v/>
      </c>
      <c r="B863" s="22" t="str">
        <f>IF(MOV_CC_NACIONAL!B863="","",MOV_CC_NACIONAL!B863)</f>
        <v/>
      </c>
      <c r="C863" s="21" t="str">
        <f>IF(MOV_CC_NACIONAL!C863="","",MOV_CC_NACIONAL!C863)</f>
        <v/>
      </c>
      <c r="D863" s="22" t="str">
        <f t="shared" si="1"/>
        <v>Other</v>
      </c>
    </row>
    <row r="864" ht="15.75" customHeight="1">
      <c r="A864" s="22" t="str">
        <f>IF(MOV_CC_NACIONAL!A864="","",MOV_CC_NACIONAL!A864)</f>
        <v/>
      </c>
      <c r="B864" s="22" t="str">
        <f>IF(MOV_CC_NACIONAL!B864="","",MOV_CC_NACIONAL!B864)</f>
        <v/>
      </c>
      <c r="C864" s="21" t="str">
        <f>IF(MOV_CC_NACIONAL!C864="","",MOV_CC_NACIONAL!C864)</f>
        <v/>
      </c>
      <c r="D864" s="22" t="str">
        <f t="shared" si="1"/>
        <v>Other</v>
      </c>
    </row>
    <row r="865" ht="15.75" customHeight="1">
      <c r="A865" s="22" t="str">
        <f>IF(MOV_CC_NACIONAL!A865="","",MOV_CC_NACIONAL!A865)</f>
        <v/>
      </c>
      <c r="B865" s="22" t="str">
        <f>IF(MOV_CC_NACIONAL!B865="","",MOV_CC_NACIONAL!B865)</f>
        <v/>
      </c>
      <c r="C865" s="21" t="str">
        <f>IF(MOV_CC_NACIONAL!C865="","",MOV_CC_NACIONAL!C865)</f>
        <v/>
      </c>
      <c r="D865" s="22" t="str">
        <f t="shared" si="1"/>
        <v>Other</v>
      </c>
    </row>
    <row r="866" ht="15.75" customHeight="1">
      <c r="A866" s="22" t="str">
        <f>IF(MOV_CC_NACIONAL!A866="","",MOV_CC_NACIONAL!A866)</f>
        <v/>
      </c>
      <c r="B866" s="22" t="str">
        <f>IF(MOV_CC_NACIONAL!B866="","",MOV_CC_NACIONAL!B866)</f>
        <v/>
      </c>
      <c r="C866" s="21" t="str">
        <f>IF(MOV_CC_NACIONAL!C866="","",MOV_CC_NACIONAL!C866)</f>
        <v/>
      </c>
      <c r="D866" s="22" t="str">
        <f t="shared" si="1"/>
        <v>Other</v>
      </c>
    </row>
    <row r="867" ht="15.75" customHeight="1">
      <c r="A867" s="22" t="str">
        <f>IF(MOV_CC_NACIONAL!A867="","",MOV_CC_NACIONAL!A867)</f>
        <v/>
      </c>
      <c r="B867" s="22" t="str">
        <f>IF(MOV_CC_NACIONAL!B867="","",MOV_CC_NACIONAL!B867)</f>
        <v/>
      </c>
      <c r="C867" s="21" t="str">
        <f>IF(MOV_CC_NACIONAL!C867="","",MOV_CC_NACIONAL!C867)</f>
        <v/>
      </c>
      <c r="D867" s="22" t="str">
        <f t="shared" si="1"/>
        <v>Other</v>
      </c>
    </row>
    <row r="868" ht="15.75" customHeight="1">
      <c r="A868" s="22" t="str">
        <f>IF(MOV_CC_NACIONAL!A868="","",MOV_CC_NACIONAL!A868)</f>
        <v/>
      </c>
      <c r="B868" s="22" t="str">
        <f>IF(MOV_CC_NACIONAL!B868="","",MOV_CC_NACIONAL!B868)</f>
        <v/>
      </c>
      <c r="C868" s="21" t="str">
        <f>IF(MOV_CC_NACIONAL!C868="","",MOV_CC_NACIONAL!C868)</f>
        <v/>
      </c>
      <c r="D868" s="22" t="str">
        <f t="shared" si="1"/>
        <v>Other</v>
      </c>
    </row>
    <row r="869" ht="15.75" customHeight="1">
      <c r="A869" s="22" t="str">
        <f>IF(MOV_CC_NACIONAL!A869="","",MOV_CC_NACIONAL!A869)</f>
        <v/>
      </c>
      <c r="B869" s="22" t="str">
        <f>IF(MOV_CC_NACIONAL!B869="","",MOV_CC_NACIONAL!B869)</f>
        <v/>
      </c>
      <c r="C869" s="21" t="str">
        <f>IF(MOV_CC_NACIONAL!C869="","",MOV_CC_NACIONAL!C869)</f>
        <v/>
      </c>
      <c r="D869" s="22" t="str">
        <f t="shared" si="1"/>
        <v>Other</v>
      </c>
    </row>
    <row r="870" ht="15.75" customHeight="1">
      <c r="A870" s="22" t="str">
        <f>IF(MOV_CC_NACIONAL!A870="","",MOV_CC_NACIONAL!A870)</f>
        <v/>
      </c>
      <c r="B870" s="22" t="str">
        <f>IF(MOV_CC_NACIONAL!B870="","",MOV_CC_NACIONAL!B870)</f>
        <v/>
      </c>
      <c r="C870" s="21" t="str">
        <f>IF(MOV_CC_NACIONAL!C870="","",MOV_CC_NACIONAL!C870)</f>
        <v/>
      </c>
      <c r="D870" s="22" t="str">
        <f t="shared" si="1"/>
        <v>Other</v>
      </c>
    </row>
    <row r="871" ht="15.75" customHeight="1">
      <c r="A871" s="22" t="str">
        <f>IF(MOV_CC_NACIONAL!A871="","",MOV_CC_NACIONAL!A871)</f>
        <v/>
      </c>
      <c r="B871" s="22" t="str">
        <f>IF(MOV_CC_NACIONAL!B871="","",MOV_CC_NACIONAL!B871)</f>
        <v/>
      </c>
      <c r="C871" s="21" t="str">
        <f>IF(MOV_CC_NACIONAL!C871="","",MOV_CC_NACIONAL!C871)</f>
        <v/>
      </c>
      <c r="D871" s="22" t="str">
        <f t="shared" si="1"/>
        <v>Other</v>
      </c>
    </row>
    <row r="872" ht="15.75" customHeight="1">
      <c r="A872" s="22" t="str">
        <f>IF(MOV_CC_NACIONAL!A872="","",MOV_CC_NACIONAL!A872)</f>
        <v/>
      </c>
      <c r="B872" s="22" t="str">
        <f>IF(MOV_CC_NACIONAL!B872="","",MOV_CC_NACIONAL!B872)</f>
        <v/>
      </c>
      <c r="C872" s="21" t="str">
        <f>IF(MOV_CC_NACIONAL!C872="","",MOV_CC_NACIONAL!C872)</f>
        <v/>
      </c>
      <c r="D872" s="22" t="str">
        <f t="shared" si="1"/>
        <v>Other</v>
      </c>
    </row>
    <row r="873" ht="15.75" customHeight="1">
      <c r="A873" s="22" t="str">
        <f>IF(MOV_CC_NACIONAL!A873="","",MOV_CC_NACIONAL!A873)</f>
        <v/>
      </c>
      <c r="B873" s="22" t="str">
        <f>IF(MOV_CC_NACIONAL!B873="","",MOV_CC_NACIONAL!B873)</f>
        <v/>
      </c>
      <c r="C873" s="21" t="str">
        <f>IF(MOV_CC_NACIONAL!C873="","",MOV_CC_NACIONAL!C873)</f>
        <v/>
      </c>
      <c r="D873" s="22" t="str">
        <f t="shared" si="1"/>
        <v>Other</v>
      </c>
    </row>
    <row r="874" ht="15.75" customHeight="1">
      <c r="A874" s="22" t="str">
        <f>IF(MOV_CC_NACIONAL!A874="","",MOV_CC_NACIONAL!A874)</f>
        <v/>
      </c>
      <c r="B874" s="22" t="str">
        <f>IF(MOV_CC_NACIONAL!B874="","",MOV_CC_NACIONAL!B874)</f>
        <v/>
      </c>
      <c r="C874" s="21" t="str">
        <f>IF(MOV_CC_NACIONAL!C874="","",MOV_CC_NACIONAL!C874)</f>
        <v/>
      </c>
      <c r="D874" s="22" t="str">
        <f t="shared" si="1"/>
        <v>Other</v>
      </c>
    </row>
    <row r="875" ht="15.75" customHeight="1">
      <c r="A875" s="22" t="str">
        <f>IF(MOV_CC_NACIONAL!A875="","",MOV_CC_NACIONAL!A875)</f>
        <v/>
      </c>
      <c r="B875" s="22" t="str">
        <f>IF(MOV_CC_NACIONAL!B875="","",MOV_CC_NACIONAL!B875)</f>
        <v/>
      </c>
      <c r="C875" s="21" t="str">
        <f>IF(MOV_CC_NACIONAL!C875="","",MOV_CC_NACIONAL!C875)</f>
        <v/>
      </c>
      <c r="D875" s="22" t="str">
        <f t="shared" si="1"/>
        <v>Other</v>
      </c>
    </row>
    <row r="876" ht="15.75" customHeight="1">
      <c r="A876" s="22" t="str">
        <f>IF(MOV_CC_NACIONAL!A876="","",MOV_CC_NACIONAL!A876)</f>
        <v/>
      </c>
      <c r="B876" s="22" t="str">
        <f>IF(MOV_CC_NACIONAL!B876="","",MOV_CC_NACIONAL!B876)</f>
        <v/>
      </c>
      <c r="C876" s="21" t="str">
        <f>IF(MOV_CC_NACIONAL!C876="","",MOV_CC_NACIONAL!C876)</f>
        <v/>
      </c>
      <c r="D876" s="22" t="str">
        <f t="shared" si="1"/>
        <v>Other</v>
      </c>
    </row>
    <row r="877" ht="15.75" customHeight="1">
      <c r="A877" s="22" t="str">
        <f>IF(MOV_CC_NACIONAL!A877="","",MOV_CC_NACIONAL!A877)</f>
        <v/>
      </c>
      <c r="B877" s="22" t="str">
        <f>IF(MOV_CC_NACIONAL!B877="","",MOV_CC_NACIONAL!B877)</f>
        <v/>
      </c>
      <c r="C877" s="21" t="str">
        <f>IF(MOV_CC_NACIONAL!C877="","",MOV_CC_NACIONAL!C877)</f>
        <v/>
      </c>
      <c r="D877" s="22" t="str">
        <f t="shared" si="1"/>
        <v>Other</v>
      </c>
    </row>
    <row r="878" ht="15.75" customHeight="1">
      <c r="A878" s="22" t="str">
        <f>IF(MOV_CC_NACIONAL!A878="","",MOV_CC_NACIONAL!A878)</f>
        <v/>
      </c>
      <c r="B878" s="22" t="str">
        <f>IF(MOV_CC_NACIONAL!B878="","",MOV_CC_NACIONAL!B878)</f>
        <v/>
      </c>
      <c r="C878" s="21" t="str">
        <f>IF(MOV_CC_NACIONAL!C878="","",MOV_CC_NACIONAL!C878)</f>
        <v/>
      </c>
      <c r="D878" s="22" t="str">
        <f t="shared" si="1"/>
        <v>Other</v>
      </c>
    </row>
    <row r="879" ht="15.75" customHeight="1">
      <c r="A879" s="22" t="str">
        <f>IF(MOV_CC_NACIONAL!A879="","",MOV_CC_NACIONAL!A879)</f>
        <v/>
      </c>
      <c r="B879" s="22" t="str">
        <f>IF(MOV_CC_NACIONAL!B879="","",MOV_CC_NACIONAL!B879)</f>
        <v/>
      </c>
      <c r="C879" s="21" t="str">
        <f>IF(MOV_CC_NACIONAL!C879="","",MOV_CC_NACIONAL!C879)</f>
        <v/>
      </c>
      <c r="D879" s="22" t="str">
        <f t="shared" si="1"/>
        <v>Other</v>
      </c>
    </row>
    <row r="880" ht="15.75" customHeight="1">
      <c r="A880" s="22" t="str">
        <f>IF(MOV_CC_NACIONAL!A880="","",MOV_CC_NACIONAL!A880)</f>
        <v/>
      </c>
      <c r="B880" s="22" t="str">
        <f>IF(MOV_CC_NACIONAL!B880="","",MOV_CC_NACIONAL!B880)</f>
        <v/>
      </c>
      <c r="C880" s="21" t="str">
        <f>IF(MOV_CC_NACIONAL!C880="","",MOV_CC_NACIONAL!C880)</f>
        <v/>
      </c>
      <c r="D880" s="22" t="str">
        <f t="shared" si="1"/>
        <v>Other</v>
      </c>
    </row>
    <row r="881" ht="15.75" customHeight="1">
      <c r="A881" s="22" t="str">
        <f>IF(MOV_CC_NACIONAL!A881="","",MOV_CC_NACIONAL!A881)</f>
        <v/>
      </c>
      <c r="B881" s="22" t="str">
        <f>IF(MOV_CC_NACIONAL!B881="","",MOV_CC_NACIONAL!B881)</f>
        <v/>
      </c>
      <c r="C881" s="21" t="str">
        <f>IF(MOV_CC_NACIONAL!C881="","",MOV_CC_NACIONAL!C881)</f>
        <v/>
      </c>
      <c r="D881" s="22" t="str">
        <f t="shared" si="1"/>
        <v>Other</v>
      </c>
    </row>
    <row r="882" ht="15.75" customHeight="1">
      <c r="A882" s="22" t="str">
        <f>IF(MOV_CC_NACIONAL!A882="","",MOV_CC_NACIONAL!A882)</f>
        <v/>
      </c>
      <c r="B882" s="22" t="str">
        <f>IF(MOV_CC_NACIONAL!B882="","",MOV_CC_NACIONAL!B882)</f>
        <v/>
      </c>
      <c r="C882" s="21" t="str">
        <f>IF(MOV_CC_NACIONAL!C882="","",MOV_CC_NACIONAL!C882)</f>
        <v/>
      </c>
      <c r="D882" s="22" t="str">
        <f t="shared" si="1"/>
        <v>Other</v>
      </c>
    </row>
    <row r="883" ht="15.75" customHeight="1">
      <c r="A883" s="22" t="str">
        <f>IF(MOV_CC_NACIONAL!A883="","",MOV_CC_NACIONAL!A883)</f>
        <v/>
      </c>
      <c r="B883" s="22" t="str">
        <f>IF(MOV_CC_NACIONAL!B883="","",MOV_CC_NACIONAL!B883)</f>
        <v/>
      </c>
      <c r="C883" s="21" t="str">
        <f>IF(MOV_CC_NACIONAL!C883="","",MOV_CC_NACIONAL!C883)</f>
        <v/>
      </c>
      <c r="D883" s="22" t="str">
        <f t="shared" si="1"/>
        <v>Other</v>
      </c>
    </row>
    <row r="884" ht="15.75" customHeight="1">
      <c r="A884" s="22" t="str">
        <f>IF(MOV_CC_NACIONAL!A884="","",MOV_CC_NACIONAL!A884)</f>
        <v/>
      </c>
      <c r="B884" s="22" t="str">
        <f>IF(MOV_CC_NACIONAL!B884="","",MOV_CC_NACIONAL!B884)</f>
        <v/>
      </c>
      <c r="C884" s="21" t="str">
        <f>IF(MOV_CC_NACIONAL!C884="","",MOV_CC_NACIONAL!C884)</f>
        <v/>
      </c>
      <c r="D884" s="22" t="str">
        <f t="shared" si="1"/>
        <v>Other</v>
      </c>
    </row>
    <row r="885" ht="15.75" customHeight="1">
      <c r="A885" s="22" t="str">
        <f>IF(MOV_CC_NACIONAL!A885="","",MOV_CC_NACIONAL!A885)</f>
        <v/>
      </c>
      <c r="B885" s="22" t="str">
        <f>IF(MOV_CC_NACIONAL!B885="","",MOV_CC_NACIONAL!B885)</f>
        <v/>
      </c>
      <c r="C885" s="21" t="str">
        <f>IF(MOV_CC_NACIONAL!C885="","",MOV_CC_NACIONAL!C885)</f>
        <v/>
      </c>
      <c r="D885" s="22" t="str">
        <f t="shared" si="1"/>
        <v>Other</v>
      </c>
    </row>
    <row r="886" ht="15.75" customHeight="1">
      <c r="A886" s="22" t="str">
        <f>IF(MOV_CC_NACIONAL!A886="","",MOV_CC_NACIONAL!A886)</f>
        <v/>
      </c>
      <c r="B886" s="22" t="str">
        <f>IF(MOV_CC_NACIONAL!B886="","",MOV_CC_NACIONAL!B886)</f>
        <v/>
      </c>
      <c r="C886" s="21" t="str">
        <f>IF(MOV_CC_NACIONAL!C886="","",MOV_CC_NACIONAL!C886)</f>
        <v/>
      </c>
      <c r="D886" s="22" t="str">
        <f t="shared" si="1"/>
        <v>Other</v>
      </c>
    </row>
    <row r="887" ht="15.75" customHeight="1">
      <c r="A887" s="22" t="str">
        <f>IF(MOV_CC_NACIONAL!A887="","",MOV_CC_NACIONAL!A887)</f>
        <v/>
      </c>
      <c r="B887" s="22" t="str">
        <f>IF(MOV_CC_NACIONAL!B887="","",MOV_CC_NACIONAL!B887)</f>
        <v/>
      </c>
      <c r="C887" s="21" t="str">
        <f>IF(MOV_CC_NACIONAL!C887="","",MOV_CC_NACIONAL!C887)</f>
        <v/>
      </c>
      <c r="D887" s="22" t="str">
        <f t="shared" si="1"/>
        <v>Other</v>
      </c>
    </row>
    <row r="888" ht="15.75" customHeight="1">
      <c r="A888" s="22" t="str">
        <f>IF(MOV_CC_NACIONAL!A888="","",MOV_CC_NACIONAL!A888)</f>
        <v/>
      </c>
      <c r="B888" s="22" t="str">
        <f>IF(MOV_CC_NACIONAL!B888="","",MOV_CC_NACIONAL!B888)</f>
        <v/>
      </c>
      <c r="C888" s="21" t="str">
        <f>IF(MOV_CC_NACIONAL!C888="","",MOV_CC_NACIONAL!C888)</f>
        <v/>
      </c>
      <c r="D888" s="22" t="str">
        <f t="shared" si="1"/>
        <v>Other</v>
      </c>
    </row>
    <row r="889" ht="15.75" customHeight="1">
      <c r="A889" s="22" t="str">
        <f>IF(MOV_CC_NACIONAL!A889="","",MOV_CC_NACIONAL!A889)</f>
        <v/>
      </c>
      <c r="B889" s="22" t="str">
        <f>IF(MOV_CC_NACIONAL!B889="","",MOV_CC_NACIONAL!B889)</f>
        <v/>
      </c>
      <c r="C889" s="21" t="str">
        <f>IF(MOV_CC_NACIONAL!C889="","",MOV_CC_NACIONAL!C889)</f>
        <v/>
      </c>
      <c r="D889" s="22" t="str">
        <f t="shared" si="1"/>
        <v>Other</v>
      </c>
    </row>
    <row r="890" ht="15.75" customHeight="1">
      <c r="A890" s="22" t="str">
        <f>IF(MOV_CC_NACIONAL!A890="","",MOV_CC_NACIONAL!A890)</f>
        <v/>
      </c>
      <c r="B890" s="22" t="str">
        <f>IF(MOV_CC_NACIONAL!B890="","",MOV_CC_NACIONAL!B890)</f>
        <v/>
      </c>
      <c r="C890" s="21" t="str">
        <f>IF(MOV_CC_NACIONAL!C890="","",MOV_CC_NACIONAL!C890)</f>
        <v/>
      </c>
      <c r="D890" s="22" t="str">
        <f t="shared" si="1"/>
        <v>Other</v>
      </c>
    </row>
    <row r="891" ht="15.75" customHeight="1">
      <c r="A891" s="22" t="str">
        <f>IF(MOV_CC_NACIONAL!A891="","",MOV_CC_NACIONAL!A891)</f>
        <v/>
      </c>
      <c r="B891" s="22" t="str">
        <f>IF(MOV_CC_NACIONAL!B891="","",MOV_CC_NACIONAL!B891)</f>
        <v/>
      </c>
      <c r="C891" s="21" t="str">
        <f>IF(MOV_CC_NACIONAL!C891="","",MOV_CC_NACIONAL!C891)</f>
        <v/>
      </c>
      <c r="D891" s="22" t="str">
        <f t="shared" si="1"/>
        <v>Other</v>
      </c>
    </row>
    <row r="892" ht="15.75" customHeight="1">
      <c r="A892" s="22" t="str">
        <f>IF(MOV_CC_NACIONAL!A892="","",MOV_CC_NACIONAL!A892)</f>
        <v/>
      </c>
      <c r="B892" s="22" t="str">
        <f>IF(MOV_CC_NACIONAL!B892="","",MOV_CC_NACIONAL!B892)</f>
        <v/>
      </c>
      <c r="C892" s="21" t="str">
        <f>IF(MOV_CC_NACIONAL!C892="","",MOV_CC_NACIONAL!C892)</f>
        <v/>
      </c>
      <c r="D892" s="22" t="str">
        <f t="shared" si="1"/>
        <v>Other</v>
      </c>
    </row>
    <row r="893" ht="15.75" customHeight="1">
      <c r="A893" s="22" t="str">
        <f>IF(MOV_CC_NACIONAL!A893="","",MOV_CC_NACIONAL!A893)</f>
        <v/>
      </c>
      <c r="B893" s="22" t="str">
        <f>IF(MOV_CC_NACIONAL!B893="","",MOV_CC_NACIONAL!B893)</f>
        <v/>
      </c>
      <c r="C893" s="21" t="str">
        <f>IF(MOV_CC_NACIONAL!C893="","",MOV_CC_NACIONAL!C893)</f>
        <v/>
      </c>
      <c r="D893" s="22" t="str">
        <f t="shared" si="1"/>
        <v>Other</v>
      </c>
    </row>
    <row r="894" ht="15.75" customHeight="1">
      <c r="A894" s="22" t="str">
        <f>IF(MOV_CC_NACIONAL!A894="","",MOV_CC_NACIONAL!A894)</f>
        <v/>
      </c>
      <c r="B894" s="22" t="str">
        <f>IF(MOV_CC_NACIONAL!B894="","",MOV_CC_NACIONAL!B894)</f>
        <v/>
      </c>
      <c r="C894" s="21" t="str">
        <f>IF(MOV_CC_NACIONAL!C894="","",MOV_CC_NACIONAL!C894)</f>
        <v/>
      </c>
      <c r="D894" s="22" t="str">
        <f t="shared" si="1"/>
        <v>Other</v>
      </c>
    </row>
    <row r="895" ht="15.75" customHeight="1">
      <c r="A895" s="22" t="str">
        <f>IF(MOV_CC_NACIONAL!A895="","",MOV_CC_NACIONAL!A895)</f>
        <v/>
      </c>
      <c r="B895" s="22" t="str">
        <f>IF(MOV_CC_NACIONAL!B895="","",MOV_CC_NACIONAL!B895)</f>
        <v/>
      </c>
      <c r="C895" s="21" t="str">
        <f>IF(MOV_CC_NACIONAL!C895="","",MOV_CC_NACIONAL!C895)</f>
        <v/>
      </c>
      <c r="D895" s="22" t="str">
        <f t="shared" si="1"/>
        <v>Other</v>
      </c>
    </row>
    <row r="896" ht="15.75" customHeight="1">
      <c r="A896" s="22" t="str">
        <f>IF(MOV_CC_NACIONAL!A896="","",MOV_CC_NACIONAL!A896)</f>
        <v/>
      </c>
      <c r="B896" s="22" t="str">
        <f>IF(MOV_CC_NACIONAL!B896="","",MOV_CC_NACIONAL!B896)</f>
        <v/>
      </c>
      <c r="C896" s="21" t="str">
        <f>IF(MOV_CC_NACIONAL!C896="","",MOV_CC_NACIONAL!C896)</f>
        <v/>
      </c>
      <c r="D896" s="22" t="str">
        <f t="shared" si="1"/>
        <v>Other</v>
      </c>
    </row>
    <row r="897" ht="15.75" customHeight="1">
      <c r="A897" s="22" t="str">
        <f>IF(MOV_CC_NACIONAL!A897="","",MOV_CC_NACIONAL!A897)</f>
        <v/>
      </c>
      <c r="B897" s="22" t="str">
        <f>IF(MOV_CC_NACIONAL!B897="","",MOV_CC_NACIONAL!B897)</f>
        <v/>
      </c>
      <c r="C897" s="21" t="str">
        <f>IF(MOV_CC_NACIONAL!C897="","",MOV_CC_NACIONAL!C897)</f>
        <v/>
      </c>
      <c r="D897" s="22" t="str">
        <f t="shared" si="1"/>
        <v>Other</v>
      </c>
    </row>
    <row r="898" ht="15.75" customHeight="1">
      <c r="A898" s="22" t="str">
        <f>IF(MOV_CC_NACIONAL!A898="","",MOV_CC_NACIONAL!A898)</f>
        <v/>
      </c>
      <c r="B898" s="22" t="str">
        <f>IF(MOV_CC_NACIONAL!B898="","",MOV_CC_NACIONAL!B898)</f>
        <v/>
      </c>
      <c r="C898" s="21" t="str">
        <f>IF(MOV_CC_NACIONAL!C898="","",MOV_CC_NACIONAL!C898)</f>
        <v/>
      </c>
      <c r="D898" s="22" t="str">
        <f t="shared" si="1"/>
        <v>Other</v>
      </c>
    </row>
    <row r="899" ht="15.75" customHeight="1">
      <c r="A899" s="22" t="str">
        <f>IF(MOV_CC_NACIONAL!A899="","",MOV_CC_NACIONAL!A899)</f>
        <v/>
      </c>
      <c r="B899" s="22" t="str">
        <f>IF(MOV_CC_NACIONAL!B899="","",MOV_CC_NACIONAL!B899)</f>
        <v/>
      </c>
      <c r="C899" s="21" t="str">
        <f>IF(MOV_CC_NACIONAL!C899="","",MOV_CC_NACIONAL!C899)</f>
        <v/>
      </c>
      <c r="D899" s="22" t="str">
        <f t="shared" si="1"/>
        <v>Other</v>
      </c>
    </row>
    <row r="900" ht="15.75" customHeight="1">
      <c r="A900" s="22" t="str">
        <f>IF(MOV_CC_NACIONAL!A900="","",MOV_CC_NACIONAL!A900)</f>
        <v/>
      </c>
      <c r="B900" s="22" t="str">
        <f>IF(MOV_CC_NACIONAL!B900="","",MOV_CC_NACIONAL!B900)</f>
        <v/>
      </c>
      <c r="C900" s="21" t="str">
        <f>IF(MOV_CC_NACIONAL!C900="","",MOV_CC_NACIONAL!C900)</f>
        <v/>
      </c>
      <c r="D900" s="22" t="str">
        <f t="shared" si="1"/>
        <v>Other</v>
      </c>
    </row>
    <row r="901" ht="15.75" customHeight="1">
      <c r="A901" s="22" t="str">
        <f>IF(MOV_CC_NACIONAL!A901="","",MOV_CC_NACIONAL!A901)</f>
        <v/>
      </c>
      <c r="B901" s="22" t="str">
        <f>IF(MOV_CC_NACIONAL!B901="","",MOV_CC_NACIONAL!B901)</f>
        <v/>
      </c>
      <c r="C901" s="21" t="str">
        <f>IF(MOV_CC_NACIONAL!C901="","",MOV_CC_NACIONAL!C901)</f>
        <v/>
      </c>
      <c r="D901" s="22" t="str">
        <f t="shared" si="1"/>
        <v>Other</v>
      </c>
    </row>
    <row r="902" ht="15.75" customHeight="1">
      <c r="A902" s="22" t="str">
        <f>IF(MOV_CC_NACIONAL!A902="","",MOV_CC_NACIONAL!A902)</f>
        <v/>
      </c>
      <c r="B902" s="22" t="str">
        <f>IF(MOV_CC_NACIONAL!B902="","",MOV_CC_NACIONAL!B902)</f>
        <v/>
      </c>
      <c r="C902" s="21" t="str">
        <f>IF(MOV_CC_NACIONAL!C902="","",MOV_CC_NACIONAL!C902)</f>
        <v/>
      </c>
      <c r="D902" s="22" t="str">
        <f t="shared" si="1"/>
        <v>Other</v>
      </c>
    </row>
    <row r="903" ht="15.75" customHeight="1">
      <c r="A903" s="22" t="str">
        <f>IF(MOV_CC_NACIONAL!A903="","",MOV_CC_NACIONAL!A903)</f>
        <v/>
      </c>
      <c r="B903" s="22" t="str">
        <f>IF(MOV_CC_NACIONAL!B903="","",MOV_CC_NACIONAL!B903)</f>
        <v/>
      </c>
      <c r="C903" s="21" t="str">
        <f>IF(MOV_CC_NACIONAL!C903="","",MOV_CC_NACIONAL!C903)</f>
        <v/>
      </c>
      <c r="D903" s="22" t="str">
        <f t="shared" si="1"/>
        <v>Other</v>
      </c>
    </row>
    <row r="904" ht="15.75" customHeight="1">
      <c r="A904" s="22" t="str">
        <f>IF(MOV_CC_NACIONAL!A904="","",MOV_CC_NACIONAL!A904)</f>
        <v/>
      </c>
      <c r="B904" s="22" t="str">
        <f>IF(MOV_CC_NACIONAL!B904="","",MOV_CC_NACIONAL!B904)</f>
        <v/>
      </c>
      <c r="C904" s="21" t="str">
        <f>IF(MOV_CC_NACIONAL!C904="","",MOV_CC_NACIONAL!C904)</f>
        <v/>
      </c>
      <c r="D904" s="22" t="str">
        <f t="shared" si="1"/>
        <v>Other</v>
      </c>
    </row>
    <row r="905" ht="15.75" customHeight="1">
      <c r="A905" s="22" t="str">
        <f>IF(MOV_CC_NACIONAL!A905="","",MOV_CC_NACIONAL!A905)</f>
        <v/>
      </c>
      <c r="B905" s="22" t="str">
        <f>IF(MOV_CC_NACIONAL!B905="","",MOV_CC_NACIONAL!B905)</f>
        <v/>
      </c>
      <c r="C905" s="21" t="str">
        <f>IF(MOV_CC_NACIONAL!C905="","",MOV_CC_NACIONAL!C905)</f>
        <v/>
      </c>
      <c r="D905" s="22" t="str">
        <f t="shared" si="1"/>
        <v>Other</v>
      </c>
    </row>
    <row r="906" ht="15.75" customHeight="1">
      <c r="A906" s="22" t="str">
        <f>IF(MOV_CC_NACIONAL!A906="","",MOV_CC_NACIONAL!A906)</f>
        <v/>
      </c>
      <c r="B906" s="22" t="str">
        <f>IF(MOV_CC_NACIONAL!B906="","",MOV_CC_NACIONAL!B906)</f>
        <v/>
      </c>
      <c r="C906" s="21" t="str">
        <f>IF(MOV_CC_NACIONAL!C906="","",MOV_CC_NACIONAL!C906)</f>
        <v/>
      </c>
      <c r="D906" s="22" t="str">
        <f t="shared" si="1"/>
        <v>Other</v>
      </c>
    </row>
    <row r="907" ht="15.75" customHeight="1">
      <c r="A907" s="22" t="str">
        <f>IF(MOV_CC_NACIONAL!A907="","",MOV_CC_NACIONAL!A907)</f>
        <v/>
      </c>
      <c r="B907" s="22" t="str">
        <f>IF(MOV_CC_NACIONAL!B907="","",MOV_CC_NACIONAL!B907)</f>
        <v/>
      </c>
      <c r="C907" s="21" t="str">
        <f>IF(MOV_CC_NACIONAL!C907="","",MOV_CC_NACIONAL!C907)</f>
        <v/>
      </c>
      <c r="D907" s="22" t="str">
        <f t="shared" si="1"/>
        <v>Other</v>
      </c>
    </row>
    <row r="908" ht="15.75" customHeight="1">
      <c r="A908" s="22" t="str">
        <f>IF(MOV_CC_NACIONAL!A908="","",MOV_CC_NACIONAL!A908)</f>
        <v/>
      </c>
      <c r="B908" s="22" t="str">
        <f>IF(MOV_CC_NACIONAL!B908="","",MOV_CC_NACIONAL!B908)</f>
        <v/>
      </c>
      <c r="C908" s="21" t="str">
        <f>IF(MOV_CC_NACIONAL!C908="","",MOV_CC_NACIONAL!C908)</f>
        <v/>
      </c>
      <c r="D908" s="22" t="str">
        <f t="shared" si="1"/>
        <v>Other</v>
      </c>
    </row>
    <row r="909" ht="15.75" customHeight="1">
      <c r="A909" s="22" t="str">
        <f>IF(MOV_CC_NACIONAL!A909="","",MOV_CC_NACIONAL!A909)</f>
        <v/>
      </c>
      <c r="B909" s="22" t="str">
        <f>IF(MOV_CC_NACIONAL!B909="","",MOV_CC_NACIONAL!B909)</f>
        <v/>
      </c>
      <c r="C909" s="21" t="str">
        <f>IF(MOV_CC_NACIONAL!C909="","",MOV_CC_NACIONAL!C909)</f>
        <v/>
      </c>
      <c r="D909" s="22" t="str">
        <f t="shared" si="1"/>
        <v>Other</v>
      </c>
    </row>
    <row r="910" ht="15.75" customHeight="1">
      <c r="A910" s="22" t="str">
        <f>IF(MOV_CC_NACIONAL!A910="","",MOV_CC_NACIONAL!A910)</f>
        <v/>
      </c>
      <c r="B910" s="22" t="str">
        <f>IF(MOV_CC_NACIONAL!B910="","",MOV_CC_NACIONAL!B910)</f>
        <v/>
      </c>
      <c r="C910" s="21" t="str">
        <f>IF(MOV_CC_NACIONAL!C910="","",MOV_CC_NACIONAL!C910)</f>
        <v/>
      </c>
      <c r="D910" s="22" t="str">
        <f t="shared" si="1"/>
        <v>Other</v>
      </c>
    </row>
    <row r="911" ht="15.75" customHeight="1">
      <c r="A911" s="22" t="str">
        <f>IF(MOV_CC_NACIONAL!A911="","",MOV_CC_NACIONAL!A911)</f>
        <v/>
      </c>
      <c r="B911" s="22" t="str">
        <f>IF(MOV_CC_NACIONAL!B911="","",MOV_CC_NACIONAL!B911)</f>
        <v/>
      </c>
      <c r="C911" s="21" t="str">
        <f>IF(MOV_CC_NACIONAL!C911="","",MOV_CC_NACIONAL!C911)</f>
        <v/>
      </c>
      <c r="D911" s="22" t="str">
        <f t="shared" si="1"/>
        <v>Other</v>
      </c>
    </row>
    <row r="912" ht="15.75" customHeight="1">
      <c r="A912" s="22" t="str">
        <f>IF(MOV_CC_NACIONAL!A912="","",MOV_CC_NACIONAL!A912)</f>
        <v/>
      </c>
      <c r="B912" s="22" t="str">
        <f>IF(MOV_CC_NACIONAL!B912="","",MOV_CC_NACIONAL!B912)</f>
        <v/>
      </c>
      <c r="C912" s="21" t="str">
        <f>IF(MOV_CC_NACIONAL!C912="","",MOV_CC_NACIONAL!C912)</f>
        <v/>
      </c>
      <c r="D912" s="22" t="str">
        <f t="shared" si="1"/>
        <v>Other</v>
      </c>
    </row>
    <row r="913" ht="15.75" customHeight="1">
      <c r="A913" s="22" t="str">
        <f>IF(MOV_CC_NACIONAL!A913="","",MOV_CC_NACIONAL!A913)</f>
        <v/>
      </c>
      <c r="B913" s="22" t="str">
        <f>IF(MOV_CC_NACIONAL!B913="","",MOV_CC_NACIONAL!B913)</f>
        <v/>
      </c>
      <c r="C913" s="21" t="str">
        <f>IF(MOV_CC_NACIONAL!C913="","",MOV_CC_NACIONAL!C913)</f>
        <v/>
      </c>
      <c r="D913" s="22" t="str">
        <f t="shared" si="1"/>
        <v>Other</v>
      </c>
    </row>
    <row r="914" ht="15.75" customHeight="1">
      <c r="A914" s="22" t="str">
        <f>IF(MOV_CC_NACIONAL!A914="","",MOV_CC_NACIONAL!A914)</f>
        <v/>
      </c>
      <c r="B914" s="22" t="str">
        <f>IF(MOV_CC_NACIONAL!B914="","",MOV_CC_NACIONAL!B914)</f>
        <v/>
      </c>
      <c r="C914" s="21" t="str">
        <f>IF(MOV_CC_NACIONAL!C914="","",MOV_CC_NACIONAL!C914)</f>
        <v/>
      </c>
      <c r="D914" s="22" t="str">
        <f t="shared" si="1"/>
        <v>Other</v>
      </c>
    </row>
    <row r="915" ht="15.75" customHeight="1">
      <c r="A915" s="22" t="str">
        <f>IF(MOV_CC_NACIONAL!A915="","",MOV_CC_NACIONAL!A915)</f>
        <v/>
      </c>
      <c r="B915" s="22" t="str">
        <f>IF(MOV_CC_NACIONAL!B915="","",MOV_CC_NACIONAL!B915)</f>
        <v/>
      </c>
      <c r="C915" s="21" t="str">
        <f>IF(MOV_CC_NACIONAL!C915="","",MOV_CC_NACIONAL!C915)</f>
        <v/>
      </c>
      <c r="D915" s="22" t="str">
        <f t="shared" si="1"/>
        <v>Other</v>
      </c>
    </row>
    <row r="916" ht="15.75" customHeight="1">
      <c r="A916" s="22" t="str">
        <f>IF(MOV_CC_NACIONAL!A916="","",MOV_CC_NACIONAL!A916)</f>
        <v/>
      </c>
      <c r="B916" s="22" t="str">
        <f>IF(MOV_CC_NACIONAL!B916="","",MOV_CC_NACIONAL!B916)</f>
        <v/>
      </c>
      <c r="C916" s="21" t="str">
        <f>IF(MOV_CC_NACIONAL!C916="","",MOV_CC_NACIONAL!C916)</f>
        <v/>
      </c>
      <c r="D916" s="22" t="str">
        <f t="shared" si="1"/>
        <v>Other</v>
      </c>
    </row>
    <row r="917" ht="15.75" customHeight="1">
      <c r="A917" s="22" t="str">
        <f>IF(MOV_CC_NACIONAL!A917="","",MOV_CC_NACIONAL!A917)</f>
        <v/>
      </c>
      <c r="B917" s="22" t="str">
        <f>IF(MOV_CC_NACIONAL!B917="","",MOV_CC_NACIONAL!B917)</f>
        <v/>
      </c>
      <c r="C917" s="21" t="str">
        <f>IF(MOV_CC_NACIONAL!C917="","",MOV_CC_NACIONAL!C917)</f>
        <v/>
      </c>
      <c r="D917" s="22" t="str">
        <f t="shared" si="1"/>
        <v>Other</v>
      </c>
    </row>
    <row r="918" ht="15.75" customHeight="1">
      <c r="A918" s="22" t="str">
        <f>IF(MOV_CC_NACIONAL!A918="","",MOV_CC_NACIONAL!A918)</f>
        <v/>
      </c>
      <c r="B918" s="22" t="str">
        <f>IF(MOV_CC_NACIONAL!B918="","",MOV_CC_NACIONAL!B918)</f>
        <v/>
      </c>
      <c r="C918" s="21" t="str">
        <f>IF(MOV_CC_NACIONAL!C918="","",MOV_CC_NACIONAL!C918)</f>
        <v/>
      </c>
      <c r="D918" s="22" t="str">
        <f t="shared" si="1"/>
        <v>Other</v>
      </c>
    </row>
    <row r="919" ht="15.75" customHeight="1">
      <c r="A919" s="22" t="str">
        <f>IF(MOV_CC_NACIONAL!A919="","",MOV_CC_NACIONAL!A919)</f>
        <v/>
      </c>
      <c r="B919" s="22" t="str">
        <f>IF(MOV_CC_NACIONAL!B919="","",MOV_CC_NACIONAL!B919)</f>
        <v/>
      </c>
      <c r="C919" s="21" t="str">
        <f>IF(MOV_CC_NACIONAL!C919="","",MOV_CC_NACIONAL!C919)</f>
        <v/>
      </c>
      <c r="D919" s="22" t="str">
        <f t="shared" si="1"/>
        <v>Other</v>
      </c>
    </row>
    <row r="920" ht="15.75" customHeight="1">
      <c r="A920" s="22" t="str">
        <f>IF(MOV_CC_NACIONAL!A920="","",MOV_CC_NACIONAL!A920)</f>
        <v/>
      </c>
      <c r="B920" s="22" t="str">
        <f>IF(MOV_CC_NACIONAL!B920="","",MOV_CC_NACIONAL!B920)</f>
        <v/>
      </c>
      <c r="C920" s="21" t="str">
        <f>IF(MOV_CC_NACIONAL!C920="","",MOV_CC_NACIONAL!C920)</f>
        <v/>
      </c>
      <c r="D920" s="22" t="str">
        <f t="shared" si="1"/>
        <v>Other</v>
      </c>
    </row>
    <row r="921" ht="15.75" customHeight="1">
      <c r="A921" s="22" t="str">
        <f>IF(MOV_CC_NACIONAL!A921="","",MOV_CC_NACIONAL!A921)</f>
        <v/>
      </c>
      <c r="B921" s="22" t="str">
        <f>IF(MOV_CC_NACIONAL!B921="","",MOV_CC_NACIONAL!B921)</f>
        <v/>
      </c>
      <c r="C921" s="21" t="str">
        <f>IF(MOV_CC_NACIONAL!C921="","",MOV_CC_NACIONAL!C921)</f>
        <v/>
      </c>
      <c r="D921" s="22" t="str">
        <f t="shared" si="1"/>
        <v>Other</v>
      </c>
    </row>
    <row r="922" ht="15.75" customHeight="1">
      <c r="A922" s="22" t="str">
        <f>IF(MOV_CC_NACIONAL!A922="","",MOV_CC_NACIONAL!A922)</f>
        <v/>
      </c>
      <c r="B922" s="22" t="str">
        <f>IF(MOV_CC_NACIONAL!B922="","",MOV_CC_NACIONAL!B922)</f>
        <v/>
      </c>
      <c r="C922" s="21" t="str">
        <f>IF(MOV_CC_NACIONAL!C922="","",MOV_CC_NACIONAL!C922)</f>
        <v/>
      </c>
      <c r="D922" s="22" t="str">
        <f t="shared" si="1"/>
        <v>Other</v>
      </c>
    </row>
    <row r="923" ht="15.75" customHeight="1">
      <c r="A923" s="22" t="str">
        <f>IF(MOV_CC_NACIONAL!A923="","",MOV_CC_NACIONAL!A923)</f>
        <v/>
      </c>
      <c r="B923" s="22" t="str">
        <f>IF(MOV_CC_NACIONAL!B923="","",MOV_CC_NACIONAL!B923)</f>
        <v/>
      </c>
      <c r="C923" s="21" t="str">
        <f>IF(MOV_CC_NACIONAL!C923="","",MOV_CC_NACIONAL!C923)</f>
        <v/>
      </c>
      <c r="D923" s="22" t="str">
        <f t="shared" si="1"/>
        <v>Other</v>
      </c>
    </row>
    <row r="924" ht="15.75" customHeight="1">
      <c r="A924" s="22" t="str">
        <f>IF(MOV_CC_NACIONAL!A924="","",MOV_CC_NACIONAL!A924)</f>
        <v/>
      </c>
      <c r="B924" s="22" t="str">
        <f>IF(MOV_CC_NACIONAL!B924="","",MOV_CC_NACIONAL!B924)</f>
        <v/>
      </c>
      <c r="C924" s="21" t="str">
        <f>IF(MOV_CC_NACIONAL!C924="","",MOV_CC_NACIONAL!C924)</f>
        <v/>
      </c>
      <c r="D924" s="22" t="str">
        <f t="shared" si="1"/>
        <v>Other</v>
      </c>
    </row>
    <row r="925" ht="15.75" customHeight="1">
      <c r="A925" s="22" t="str">
        <f>IF(MOV_CC_NACIONAL!A925="","",MOV_CC_NACIONAL!A925)</f>
        <v/>
      </c>
      <c r="B925" s="22" t="str">
        <f>IF(MOV_CC_NACIONAL!B925="","",MOV_CC_NACIONAL!B925)</f>
        <v/>
      </c>
      <c r="C925" s="21" t="str">
        <f>IF(MOV_CC_NACIONAL!C925="","",MOV_CC_NACIONAL!C925)</f>
        <v/>
      </c>
      <c r="D925" s="22" t="str">
        <f t="shared" si="1"/>
        <v>Other</v>
      </c>
    </row>
    <row r="926" ht="15.75" customHeight="1">
      <c r="A926" s="22" t="str">
        <f>IF(MOV_CC_NACIONAL!A926="","",MOV_CC_NACIONAL!A926)</f>
        <v/>
      </c>
      <c r="B926" s="22" t="str">
        <f>IF(MOV_CC_NACIONAL!B926="","",MOV_CC_NACIONAL!B926)</f>
        <v/>
      </c>
      <c r="C926" s="21" t="str">
        <f>IF(MOV_CC_NACIONAL!C926="","",MOV_CC_NACIONAL!C926)</f>
        <v/>
      </c>
      <c r="D926" s="22" t="str">
        <f t="shared" si="1"/>
        <v>Other</v>
      </c>
    </row>
    <row r="927" ht="15.75" customHeight="1">
      <c r="A927" s="22" t="str">
        <f>IF(MOV_CC_NACIONAL!A927="","",MOV_CC_NACIONAL!A927)</f>
        <v/>
      </c>
      <c r="B927" s="22" t="str">
        <f>IF(MOV_CC_NACIONAL!B927="","",MOV_CC_NACIONAL!B927)</f>
        <v/>
      </c>
      <c r="C927" s="21" t="str">
        <f>IF(MOV_CC_NACIONAL!C927="","",MOV_CC_NACIONAL!C927)</f>
        <v/>
      </c>
      <c r="D927" s="22" t="str">
        <f t="shared" si="1"/>
        <v>Other</v>
      </c>
    </row>
    <row r="928" ht="15.75" customHeight="1">
      <c r="A928" s="22" t="str">
        <f>IF(MOV_CC_NACIONAL!A928="","",MOV_CC_NACIONAL!A928)</f>
        <v/>
      </c>
      <c r="B928" s="22" t="str">
        <f>IF(MOV_CC_NACIONAL!B928="","",MOV_CC_NACIONAL!B928)</f>
        <v/>
      </c>
      <c r="C928" s="21" t="str">
        <f>IF(MOV_CC_NACIONAL!C928="","",MOV_CC_NACIONAL!C928)</f>
        <v/>
      </c>
      <c r="D928" s="22" t="str">
        <f t="shared" si="1"/>
        <v>Other</v>
      </c>
    </row>
    <row r="929" ht="15.75" customHeight="1">
      <c r="A929" s="22" t="str">
        <f>IF(MOV_CC_NACIONAL!A929="","",MOV_CC_NACIONAL!A929)</f>
        <v/>
      </c>
      <c r="B929" s="22" t="str">
        <f>IF(MOV_CC_NACIONAL!B929="","",MOV_CC_NACIONAL!B929)</f>
        <v/>
      </c>
      <c r="C929" s="21" t="str">
        <f>IF(MOV_CC_NACIONAL!C929="","",MOV_CC_NACIONAL!C929)</f>
        <v/>
      </c>
      <c r="D929" s="22" t="str">
        <f t="shared" si="1"/>
        <v>Other</v>
      </c>
    </row>
    <row r="930" ht="15.75" customHeight="1">
      <c r="A930" s="22" t="str">
        <f>IF(MOV_CC_NACIONAL!A930="","",MOV_CC_NACIONAL!A930)</f>
        <v/>
      </c>
      <c r="B930" s="22" t="str">
        <f>IF(MOV_CC_NACIONAL!B930="","",MOV_CC_NACIONAL!B930)</f>
        <v/>
      </c>
      <c r="C930" s="21" t="str">
        <f>IF(MOV_CC_NACIONAL!C930="","",MOV_CC_NACIONAL!C930)</f>
        <v/>
      </c>
      <c r="D930" s="22" t="str">
        <f t="shared" si="1"/>
        <v>Other</v>
      </c>
    </row>
    <row r="931" ht="15.75" customHeight="1">
      <c r="A931" s="22" t="str">
        <f>IF(MOV_CC_NACIONAL!A931="","",MOV_CC_NACIONAL!A931)</f>
        <v/>
      </c>
      <c r="B931" s="22" t="str">
        <f>IF(MOV_CC_NACIONAL!B931="","",MOV_CC_NACIONAL!B931)</f>
        <v/>
      </c>
      <c r="C931" s="21" t="str">
        <f>IF(MOV_CC_NACIONAL!C931="","",MOV_CC_NACIONAL!C931)</f>
        <v/>
      </c>
      <c r="D931" s="22" t="str">
        <f t="shared" si="1"/>
        <v>Other</v>
      </c>
    </row>
    <row r="932" ht="15.75" customHeight="1">
      <c r="A932" s="22" t="str">
        <f>IF(MOV_CC_NACIONAL!A932="","",MOV_CC_NACIONAL!A932)</f>
        <v/>
      </c>
      <c r="B932" s="22" t="str">
        <f>IF(MOV_CC_NACIONAL!B932="","",MOV_CC_NACIONAL!B932)</f>
        <v/>
      </c>
      <c r="C932" s="21" t="str">
        <f>IF(MOV_CC_NACIONAL!C932="","",MOV_CC_NACIONAL!C932)</f>
        <v/>
      </c>
      <c r="D932" s="22" t="str">
        <f t="shared" si="1"/>
        <v>Other</v>
      </c>
    </row>
    <row r="933" ht="15.75" customHeight="1">
      <c r="A933" s="22" t="str">
        <f>IF(MOV_CC_NACIONAL!A933="","",MOV_CC_NACIONAL!A933)</f>
        <v/>
      </c>
      <c r="B933" s="22" t="str">
        <f>IF(MOV_CC_NACIONAL!B933="","",MOV_CC_NACIONAL!B933)</f>
        <v/>
      </c>
      <c r="C933" s="21" t="str">
        <f>IF(MOV_CC_NACIONAL!C933="","",MOV_CC_NACIONAL!C933)</f>
        <v/>
      </c>
      <c r="D933" s="22" t="str">
        <f t="shared" si="1"/>
        <v>Other</v>
      </c>
    </row>
    <row r="934" ht="15.75" customHeight="1">
      <c r="A934" s="22" t="str">
        <f>IF(MOV_CC_NACIONAL!A934="","",MOV_CC_NACIONAL!A934)</f>
        <v/>
      </c>
      <c r="B934" s="22" t="str">
        <f>IF(MOV_CC_NACIONAL!B934="","",MOV_CC_NACIONAL!B934)</f>
        <v/>
      </c>
      <c r="C934" s="21" t="str">
        <f>IF(MOV_CC_NACIONAL!C934="","",MOV_CC_NACIONAL!C934)</f>
        <v/>
      </c>
      <c r="D934" s="22" t="str">
        <f t="shared" si="1"/>
        <v>Other</v>
      </c>
    </row>
    <row r="935" ht="15.75" customHeight="1">
      <c r="A935" s="22" t="str">
        <f>IF(MOV_CC_NACIONAL!A935="","",MOV_CC_NACIONAL!A935)</f>
        <v/>
      </c>
      <c r="B935" s="22" t="str">
        <f>IF(MOV_CC_NACIONAL!B935="","",MOV_CC_NACIONAL!B935)</f>
        <v/>
      </c>
      <c r="C935" s="21" t="str">
        <f>IF(MOV_CC_NACIONAL!C935="","",MOV_CC_NACIONAL!C935)</f>
        <v/>
      </c>
      <c r="D935" s="22" t="str">
        <f t="shared" si="1"/>
        <v>Other</v>
      </c>
    </row>
    <row r="936" ht="15.75" customHeight="1">
      <c r="A936" s="22" t="str">
        <f>IF(MOV_CC_NACIONAL!A936="","",MOV_CC_NACIONAL!A936)</f>
        <v/>
      </c>
      <c r="B936" s="22" t="str">
        <f>IF(MOV_CC_NACIONAL!B936="","",MOV_CC_NACIONAL!B936)</f>
        <v/>
      </c>
      <c r="C936" s="21" t="str">
        <f>IF(MOV_CC_NACIONAL!C936="","",MOV_CC_NACIONAL!C936)</f>
        <v/>
      </c>
      <c r="D936" s="22" t="str">
        <f t="shared" si="1"/>
        <v>Other</v>
      </c>
    </row>
    <row r="937" ht="15.75" customHeight="1">
      <c r="A937" s="22" t="str">
        <f>IF(MOV_CC_NACIONAL!A937="","",MOV_CC_NACIONAL!A937)</f>
        <v/>
      </c>
      <c r="B937" s="22" t="str">
        <f>IF(MOV_CC_NACIONAL!B937="","",MOV_CC_NACIONAL!B937)</f>
        <v/>
      </c>
      <c r="C937" s="21" t="str">
        <f>IF(MOV_CC_NACIONAL!C937="","",MOV_CC_NACIONAL!C937)</f>
        <v/>
      </c>
      <c r="D937" s="22" t="str">
        <f t="shared" si="1"/>
        <v>Other</v>
      </c>
    </row>
    <row r="938" ht="15.75" customHeight="1">
      <c r="A938" s="22" t="str">
        <f>IF(MOV_CC_NACIONAL!A938="","",MOV_CC_NACIONAL!A938)</f>
        <v/>
      </c>
      <c r="B938" s="22" t="str">
        <f>IF(MOV_CC_NACIONAL!B938="","",MOV_CC_NACIONAL!B938)</f>
        <v/>
      </c>
      <c r="C938" s="21" t="str">
        <f>IF(MOV_CC_NACIONAL!C938="","",MOV_CC_NACIONAL!C938)</f>
        <v/>
      </c>
      <c r="D938" s="22" t="str">
        <f t="shared" si="1"/>
        <v>Other</v>
      </c>
    </row>
    <row r="939" ht="15.75" customHeight="1">
      <c r="A939" s="22" t="str">
        <f>IF(MOV_CC_NACIONAL!A939="","",MOV_CC_NACIONAL!A939)</f>
        <v/>
      </c>
      <c r="B939" s="22" t="str">
        <f>IF(MOV_CC_NACIONAL!B939="","",MOV_CC_NACIONAL!B939)</f>
        <v/>
      </c>
      <c r="C939" s="21" t="str">
        <f>IF(MOV_CC_NACIONAL!C939="","",MOV_CC_NACIONAL!C939)</f>
        <v/>
      </c>
      <c r="D939" s="22" t="str">
        <f t="shared" si="1"/>
        <v>Other</v>
      </c>
    </row>
    <row r="940" ht="15.75" customHeight="1">
      <c r="A940" s="22" t="str">
        <f>IF(MOV_CC_NACIONAL!A940="","",MOV_CC_NACIONAL!A940)</f>
        <v/>
      </c>
      <c r="B940" s="22" t="str">
        <f>IF(MOV_CC_NACIONAL!B940="","",MOV_CC_NACIONAL!B940)</f>
        <v/>
      </c>
      <c r="C940" s="21" t="str">
        <f>IF(MOV_CC_NACIONAL!C940="","",MOV_CC_NACIONAL!C940)</f>
        <v/>
      </c>
      <c r="D940" s="22" t="str">
        <f t="shared" si="1"/>
        <v>Other</v>
      </c>
    </row>
    <row r="941" ht="15.75" customHeight="1">
      <c r="A941" s="22" t="str">
        <f>IF(MOV_CC_NACIONAL!A941="","",MOV_CC_NACIONAL!A941)</f>
        <v/>
      </c>
      <c r="B941" s="22" t="str">
        <f>IF(MOV_CC_NACIONAL!B941="","",MOV_CC_NACIONAL!B941)</f>
        <v/>
      </c>
      <c r="C941" s="21" t="str">
        <f>IF(MOV_CC_NACIONAL!C941="","",MOV_CC_NACIONAL!C941)</f>
        <v/>
      </c>
      <c r="D941" s="22" t="str">
        <f t="shared" si="1"/>
        <v>Other</v>
      </c>
    </row>
    <row r="942" ht="15.75" customHeight="1">
      <c r="A942" s="22" t="str">
        <f>IF(MOV_CC_NACIONAL!A942="","",MOV_CC_NACIONAL!A942)</f>
        <v/>
      </c>
      <c r="B942" s="22" t="str">
        <f>IF(MOV_CC_NACIONAL!B942="","",MOV_CC_NACIONAL!B942)</f>
        <v/>
      </c>
      <c r="C942" s="21" t="str">
        <f>IF(MOV_CC_NACIONAL!C942="","",MOV_CC_NACIONAL!C942)</f>
        <v/>
      </c>
      <c r="D942" s="22" t="str">
        <f t="shared" si="1"/>
        <v>Other</v>
      </c>
    </row>
    <row r="943" ht="15.75" customHeight="1">
      <c r="A943" s="22" t="str">
        <f>IF(MOV_CC_NACIONAL!A943="","",MOV_CC_NACIONAL!A943)</f>
        <v/>
      </c>
      <c r="B943" s="22" t="str">
        <f>IF(MOV_CC_NACIONAL!B943="","",MOV_CC_NACIONAL!B943)</f>
        <v/>
      </c>
      <c r="C943" s="21" t="str">
        <f>IF(MOV_CC_NACIONAL!C943="","",MOV_CC_NACIONAL!C943)</f>
        <v/>
      </c>
      <c r="D943" s="22" t="str">
        <f t="shared" si="1"/>
        <v>Other</v>
      </c>
    </row>
    <row r="944" ht="15.75" customHeight="1">
      <c r="A944" s="22" t="str">
        <f>IF(MOV_CC_NACIONAL!A944="","",MOV_CC_NACIONAL!A944)</f>
        <v/>
      </c>
      <c r="B944" s="22" t="str">
        <f>IF(MOV_CC_NACIONAL!B944="","",MOV_CC_NACIONAL!B944)</f>
        <v/>
      </c>
      <c r="C944" s="21" t="str">
        <f>IF(MOV_CC_NACIONAL!C944="","",MOV_CC_NACIONAL!C944)</f>
        <v/>
      </c>
      <c r="D944" s="22" t="str">
        <f t="shared" si="1"/>
        <v>Other</v>
      </c>
    </row>
    <row r="945" ht="15.75" customHeight="1">
      <c r="A945" s="22" t="str">
        <f>IF(MOV_CC_NACIONAL!A945="","",MOV_CC_NACIONAL!A945)</f>
        <v/>
      </c>
      <c r="B945" s="22" t="str">
        <f>IF(MOV_CC_NACIONAL!B945="","",MOV_CC_NACIONAL!B945)</f>
        <v/>
      </c>
      <c r="C945" s="21" t="str">
        <f>IF(MOV_CC_NACIONAL!C945="","",MOV_CC_NACIONAL!C945)</f>
        <v/>
      </c>
      <c r="D945" s="22" t="str">
        <f t="shared" si="1"/>
        <v>Other</v>
      </c>
    </row>
    <row r="946" ht="15.75" customHeight="1">
      <c r="A946" s="22" t="str">
        <f>IF(MOV_CC_NACIONAL!A946="","",MOV_CC_NACIONAL!A946)</f>
        <v/>
      </c>
      <c r="B946" s="22" t="str">
        <f>IF(MOV_CC_NACIONAL!B946="","",MOV_CC_NACIONAL!B946)</f>
        <v/>
      </c>
      <c r="C946" s="21" t="str">
        <f>IF(MOV_CC_NACIONAL!C946="","",MOV_CC_NACIONAL!C946)</f>
        <v/>
      </c>
      <c r="D946" s="22" t="str">
        <f t="shared" si="1"/>
        <v>Other</v>
      </c>
    </row>
    <row r="947" ht="15.75" customHeight="1">
      <c r="A947" s="22" t="str">
        <f>IF(MOV_CC_NACIONAL!A947="","",MOV_CC_NACIONAL!A947)</f>
        <v/>
      </c>
      <c r="B947" s="22" t="str">
        <f>IF(MOV_CC_NACIONAL!B947="","",MOV_CC_NACIONAL!B947)</f>
        <v/>
      </c>
      <c r="C947" s="21" t="str">
        <f>IF(MOV_CC_NACIONAL!C947="","",MOV_CC_NACIONAL!C947)</f>
        <v/>
      </c>
      <c r="D947" s="22" t="str">
        <f t="shared" si="1"/>
        <v>Other</v>
      </c>
    </row>
    <row r="948" ht="15.75" customHeight="1">
      <c r="A948" s="22" t="str">
        <f>IF(MOV_CC_NACIONAL!A948="","",MOV_CC_NACIONAL!A948)</f>
        <v/>
      </c>
      <c r="B948" s="22" t="str">
        <f>IF(MOV_CC_NACIONAL!B948="","",MOV_CC_NACIONAL!B948)</f>
        <v/>
      </c>
      <c r="C948" s="21" t="str">
        <f>IF(MOV_CC_NACIONAL!C948="","",MOV_CC_NACIONAL!C948)</f>
        <v/>
      </c>
      <c r="D948" s="22" t="str">
        <f t="shared" si="1"/>
        <v>Other</v>
      </c>
    </row>
    <row r="949" ht="15.75" customHeight="1">
      <c r="A949" s="22" t="str">
        <f>IF(MOV_CC_NACIONAL!A949="","",MOV_CC_NACIONAL!A949)</f>
        <v/>
      </c>
      <c r="B949" s="22" t="str">
        <f>IF(MOV_CC_NACIONAL!B949="","",MOV_CC_NACIONAL!B949)</f>
        <v/>
      </c>
      <c r="C949" s="21" t="str">
        <f>IF(MOV_CC_NACIONAL!C949="","",MOV_CC_NACIONAL!C949)</f>
        <v/>
      </c>
      <c r="D949" s="22" t="str">
        <f t="shared" si="1"/>
        <v>Other</v>
      </c>
    </row>
    <row r="950" ht="15.75" customHeight="1">
      <c r="A950" s="22" t="str">
        <f>IF(MOV_CC_NACIONAL!A950="","",MOV_CC_NACIONAL!A950)</f>
        <v/>
      </c>
      <c r="B950" s="22" t="str">
        <f>IF(MOV_CC_NACIONAL!B950="","",MOV_CC_NACIONAL!B950)</f>
        <v/>
      </c>
      <c r="C950" s="21" t="str">
        <f>IF(MOV_CC_NACIONAL!C950="","",MOV_CC_NACIONAL!C950)</f>
        <v/>
      </c>
      <c r="D950" s="22" t="str">
        <f t="shared" si="1"/>
        <v>Other</v>
      </c>
    </row>
    <row r="951" ht="15.75" customHeight="1">
      <c r="A951" s="22" t="str">
        <f>IF(MOV_CC_NACIONAL!A951="","",MOV_CC_NACIONAL!A951)</f>
        <v/>
      </c>
      <c r="B951" s="22" t="str">
        <f>IF(MOV_CC_NACIONAL!B951="","",MOV_CC_NACIONAL!B951)</f>
        <v/>
      </c>
      <c r="C951" s="21" t="str">
        <f>IF(MOV_CC_NACIONAL!C951="","",MOV_CC_NACIONAL!C951)</f>
        <v/>
      </c>
      <c r="D951" s="22" t="str">
        <f t="shared" si="1"/>
        <v>Other</v>
      </c>
    </row>
    <row r="952" ht="15.75" customHeight="1">
      <c r="A952" s="22" t="str">
        <f>IF(MOV_CC_NACIONAL!A952="","",MOV_CC_NACIONAL!A952)</f>
        <v/>
      </c>
      <c r="B952" s="22" t="str">
        <f>IF(MOV_CC_NACIONAL!B952="","",MOV_CC_NACIONAL!B952)</f>
        <v/>
      </c>
      <c r="C952" s="21" t="str">
        <f>IF(MOV_CC_NACIONAL!C952="","",MOV_CC_NACIONAL!C952)</f>
        <v/>
      </c>
      <c r="D952" s="22" t="str">
        <f t="shared" si="1"/>
        <v>Other</v>
      </c>
    </row>
    <row r="953" ht="15.75" customHeight="1">
      <c r="A953" s="22" t="str">
        <f>IF(MOV_CC_NACIONAL!A953="","",MOV_CC_NACIONAL!A953)</f>
        <v/>
      </c>
      <c r="B953" s="22" t="str">
        <f>IF(MOV_CC_NACIONAL!B953="","",MOV_CC_NACIONAL!B953)</f>
        <v/>
      </c>
      <c r="C953" s="21" t="str">
        <f>IF(MOV_CC_NACIONAL!C953="","",MOV_CC_NACIONAL!C953)</f>
        <v/>
      </c>
      <c r="D953" s="22" t="str">
        <f t="shared" si="1"/>
        <v>Other</v>
      </c>
    </row>
    <row r="954" ht="15.75" customHeight="1">
      <c r="A954" s="22" t="str">
        <f>IF(MOV_CC_NACIONAL!A954="","",MOV_CC_NACIONAL!A954)</f>
        <v/>
      </c>
      <c r="B954" s="22" t="str">
        <f>IF(MOV_CC_NACIONAL!B954="","",MOV_CC_NACIONAL!B954)</f>
        <v/>
      </c>
      <c r="C954" s="21" t="str">
        <f>IF(MOV_CC_NACIONAL!C954="","",MOV_CC_NACIONAL!C954)</f>
        <v/>
      </c>
      <c r="D954" s="22" t="str">
        <f t="shared" si="1"/>
        <v>Other</v>
      </c>
    </row>
    <row r="955" ht="15.75" customHeight="1">
      <c r="A955" s="22" t="str">
        <f>IF(MOV_CC_NACIONAL!A955="","",MOV_CC_NACIONAL!A955)</f>
        <v/>
      </c>
      <c r="B955" s="22" t="str">
        <f>IF(MOV_CC_NACIONAL!B955="","",MOV_CC_NACIONAL!B955)</f>
        <v/>
      </c>
      <c r="C955" s="21" t="str">
        <f>IF(MOV_CC_NACIONAL!C955="","",MOV_CC_NACIONAL!C955)</f>
        <v/>
      </c>
      <c r="D955" s="22" t="str">
        <f t="shared" si="1"/>
        <v>Other</v>
      </c>
    </row>
    <row r="956" ht="15.75" customHeight="1">
      <c r="A956" s="22" t="str">
        <f>IF(MOV_CC_NACIONAL!A956="","",MOV_CC_NACIONAL!A956)</f>
        <v/>
      </c>
      <c r="B956" s="22" t="str">
        <f>IF(MOV_CC_NACIONAL!B956="","",MOV_CC_NACIONAL!B956)</f>
        <v/>
      </c>
      <c r="C956" s="21" t="str">
        <f>IF(MOV_CC_NACIONAL!C956="","",MOV_CC_NACIONAL!C956)</f>
        <v/>
      </c>
      <c r="D956" s="22" t="str">
        <f t="shared" si="1"/>
        <v>Other</v>
      </c>
    </row>
    <row r="957" ht="15.75" customHeight="1">
      <c r="A957" s="22" t="str">
        <f>IF(MOV_CC_NACIONAL!A957="","",MOV_CC_NACIONAL!A957)</f>
        <v/>
      </c>
      <c r="B957" s="22" t="str">
        <f>IF(MOV_CC_NACIONAL!B957="","",MOV_CC_NACIONAL!B957)</f>
        <v/>
      </c>
      <c r="C957" s="21" t="str">
        <f>IF(MOV_CC_NACIONAL!C957="","",MOV_CC_NACIONAL!C957)</f>
        <v/>
      </c>
      <c r="D957" s="22" t="str">
        <f t="shared" si="1"/>
        <v>Other</v>
      </c>
    </row>
    <row r="958" ht="15.75" customHeight="1">
      <c r="A958" s="22" t="str">
        <f>IF(MOV_CC_NACIONAL!A958="","",MOV_CC_NACIONAL!A958)</f>
        <v/>
      </c>
      <c r="B958" s="22" t="str">
        <f>IF(MOV_CC_NACIONAL!B958="","",MOV_CC_NACIONAL!B958)</f>
        <v/>
      </c>
      <c r="C958" s="21" t="str">
        <f>IF(MOV_CC_NACIONAL!C958="","",MOV_CC_NACIONAL!C958)</f>
        <v/>
      </c>
      <c r="D958" s="22" t="str">
        <f t="shared" si="1"/>
        <v>Other</v>
      </c>
    </row>
    <row r="959" ht="15.75" customHeight="1">
      <c r="A959" s="22" t="str">
        <f>IF(MOV_CC_NACIONAL!A959="","",MOV_CC_NACIONAL!A959)</f>
        <v/>
      </c>
      <c r="B959" s="22" t="str">
        <f>IF(MOV_CC_NACIONAL!B959="","",MOV_CC_NACIONAL!B959)</f>
        <v/>
      </c>
      <c r="C959" s="21" t="str">
        <f>IF(MOV_CC_NACIONAL!C959="","",MOV_CC_NACIONAL!C959)</f>
        <v/>
      </c>
      <c r="D959" s="22" t="str">
        <f t="shared" si="1"/>
        <v>Other</v>
      </c>
    </row>
    <row r="960" ht="15.75" customHeight="1">
      <c r="A960" s="22" t="str">
        <f>IF(MOV_CC_NACIONAL!A960="","",MOV_CC_NACIONAL!A960)</f>
        <v/>
      </c>
      <c r="B960" s="22" t="str">
        <f>IF(MOV_CC_NACIONAL!B960="","",MOV_CC_NACIONAL!B960)</f>
        <v/>
      </c>
      <c r="C960" s="21" t="str">
        <f>IF(MOV_CC_NACIONAL!C960="","",MOV_CC_NACIONAL!C960)</f>
        <v/>
      </c>
      <c r="D960" s="22" t="str">
        <f t="shared" si="1"/>
        <v>Other</v>
      </c>
    </row>
    <row r="961" ht="15.75" customHeight="1">
      <c r="A961" s="22" t="str">
        <f>IF(MOV_CC_NACIONAL!A961="","",MOV_CC_NACIONAL!A961)</f>
        <v/>
      </c>
      <c r="B961" s="22" t="str">
        <f>IF(MOV_CC_NACIONAL!B961="","",MOV_CC_NACIONAL!B961)</f>
        <v/>
      </c>
      <c r="C961" s="21" t="str">
        <f>IF(MOV_CC_NACIONAL!C961="","",MOV_CC_NACIONAL!C961)</f>
        <v/>
      </c>
      <c r="D961" s="22" t="str">
        <f t="shared" si="1"/>
        <v>Other</v>
      </c>
    </row>
    <row r="962" ht="15.75" customHeight="1">
      <c r="A962" s="22" t="str">
        <f>IF(MOV_CC_NACIONAL!A962="","",MOV_CC_NACIONAL!A962)</f>
        <v/>
      </c>
      <c r="B962" s="22" t="str">
        <f>IF(MOV_CC_NACIONAL!B962="","",MOV_CC_NACIONAL!B962)</f>
        <v/>
      </c>
      <c r="C962" s="21" t="str">
        <f>IF(MOV_CC_NACIONAL!C962="","",MOV_CC_NACIONAL!C962)</f>
        <v/>
      </c>
      <c r="D962" s="22" t="str">
        <f t="shared" si="1"/>
        <v>Other</v>
      </c>
    </row>
    <row r="963" ht="15.75" customHeight="1">
      <c r="A963" s="22" t="str">
        <f>IF(MOV_CC_NACIONAL!A963="","",MOV_CC_NACIONAL!A963)</f>
        <v/>
      </c>
      <c r="B963" s="22" t="str">
        <f>IF(MOV_CC_NACIONAL!B963="","",MOV_CC_NACIONAL!B963)</f>
        <v/>
      </c>
      <c r="C963" s="21" t="str">
        <f>IF(MOV_CC_NACIONAL!C963="","",MOV_CC_NACIONAL!C963)</f>
        <v/>
      </c>
      <c r="D963" s="22" t="str">
        <f t="shared" si="1"/>
        <v>Other</v>
      </c>
    </row>
    <row r="964" ht="15.75" customHeight="1">
      <c r="A964" s="22" t="str">
        <f>IF(MOV_CC_NACIONAL!A964="","",MOV_CC_NACIONAL!A964)</f>
        <v/>
      </c>
      <c r="B964" s="22" t="str">
        <f>IF(MOV_CC_NACIONAL!B964="","",MOV_CC_NACIONAL!B964)</f>
        <v/>
      </c>
      <c r="C964" s="21" t="str">
        <f>IF(MOV_CC_NACIONAL!C964="","",MOV_CC_NACIONAL!C964)</f>
        <v/>
      </c>
      <c r="D964" s="22" t="str">
        <f t="shared" si="1"/>
        <v>Other</v>
      </c>
    </row>
    <row r="965" ht="15.75" customHeight="1">
      <c r="A965" s="22" t="str">
        <f>IF(MOV_CC_NACIONAL!A965="","",MOV_CC_NACIONAL!A965)</f>
        <v/>
      </c>
      <c r="B965" s="22" t="str">
        <f>IF(MOV_CC_NACIONAL!B965="","",MOV_CC_NACIONAL!B965)</f>
        <v/>
      </c>
      <c r="C965" s="21" t="str">
        <f>IF(MOV_CC_NACIONAL!C965="","",MOV_CC_NACIONAL!C965)</f>
        <v/>
      </c>
      <c r="D965" s="22" t="str">
        <f t="shared" si="1"/>
        <v>Other</v>
      </c>
    </row>
    <row r="966" ht="15.75" customHeight="1">
      <c r="A966" s="22" t="str">
        <f>IF(MOV_CC_NACIONAL!A966="","",MOV_CC_NACIONAL!A966)</f>
        <v/>
      </c>
      <c r="B966" s="22" t="str">
        <f>IF(MOV_CC_NACIONAL!B966="","",MOV_CC_NACIONAL!B966)</f>
        <v/>
      </c>
      <c r="C966" s="21" t="str">
        <f>IF(MOV_CC_NACIONAL!C966="","",MOV_CC_NACIONAL!C966)</f>
        <v/>
      </c>
      <c r="D966" s="22" t="str">
        <f t="shared" si="1"/>
        <v>Other</v>
      </c>
    </row>
    <row r="967" ht="15.75" customHeight="1">
      <c r="A967" s="22" t="str">
        <f>IF(MOV_CC_NACIONAL!A967="","",MOV_CC_NACIONAL!A967)</f>
        <v/>
      </c>
      <c r="B967" s="22" t="str">
        <f>IF(MOV_CC_NACIONAL!B967="","",MOV_CC_NACIONAL!B967)</f>
        <v/>
      </c>
      <c r="C967" s="21" t="str">
        <f>IF(MOV_CC_NACIONAL!C967="","",MOV_CC_NACIONAL!C967)</f>
        <v/>
      </c>
      <c r="D967" s="22" t="str">
        <f t="shared" si="1"/>
        <v>Other</v>
      </c>
    </row>
    <row r="968" ht="15.75" customHeight="1">
      <c r="A968" s="22" t="str">
        <f>IF(MOV_CC_NACIONAL!A968="","",MOV_CC_NACIONAL!A968)</f>
        <v/>
      </c>
      <c r="B968" s="22" t="str">
        <f>IF(MOV_CC_NACIONAL!B968="","",MOV_CC_NACIONAL!B968)</f>
        <v/>
      </c>
      <c r="C968" s="21" t="str">
        <f>IF(MOV_CC_NACIONAL!C968="","",MOV_CC_NACIONAL!C968)</f>
        <v/>
      </c>
      <c r="D968" s="22" t="str">
        <f t="shared" si="1"/>
        <v>Other</v>
      </c>
    </row>
    <row r="969" ht="15.75" customHeight="1">
      <c r="A969" s="22" t="str">
        <f>IF(MOV_CC_NACIONAL!A969="","",MOV_CC_NACIONAL!A969)</f>
        <v/>
      </c>
      <c r="B969" s="22" t="str">
        <f>IF(MOV_CC_NACIONAL!B969="","",MOV_CC_NACIONAL!B969)</f>
        <v/>
      </c>
      <c r="C969" s="21" t="str">
        <f>IF(MOV_CC_NACIONAL!C969="","",MOV_CC_NACIONAL!C969)</f>
        <v/>
      </c>
      <c r="D969" s="22" t="str">
        <f t="shared" si="1"/>
        <v>Other</v>
      </c>
    </row>
    <row r="970" ht="15.75" customHeight="1">
      <c r="A970" s="22" t="str">
        <f>IF(MOV_CC_NACIONAL!A970="","",MOV_CC_NACIONAL!A970)</f>
        <v/>
      </c>
      <c r="B970" s="22" t="str">
        <f>IF(MOV_CC_NACIONAL!B970="","",MOV_CC_NACIONAL!B970)</f>
        <v/>
      </c>
      <c r="C970" s="21" t="str">
        <f>IF(MOV_CC_NACIONAL!C970="","",MOV_CC_NACIONAL!C970)</f>
        <v/>
      </c>
      <c r="D970" s="22" t="str">
        <f t="shared" si="1"/>
        <v>Other</v>
      </c>
    </row>
    <row r="971" ht="15.75" customHeight="1">
      <c r="A971" s="22" t="str">
        <f>IF(MOV_CC_NACIONAL!A971="","",MOV_CC_NACIONAL!A971)</f>
        <v/>
      </c>
      <c r="B971" s="22" t="str">
        <f>IF(MOV_CC_NACIONAL!B971="","",MOV_CC_NACIONAL!B971)</f>
        <v/>
      </c>
      <c r="C971" s="21" t="str">
        <f>IF(MOV_CC_NACIONAL!C971="","",MOV_CC_NACIONAL!C971)</f>
        <v/>
      </c>
      <c r="D971" s="22" t="str">
        <f t="shared" si="1"/>
        <v>Other</v>
      </c>
    </row>
    <row r="972" ht="15.75" customHeight="1">
      <c r="A972" s="22" t="str">
        <f>IF(MOV_CC_NACIONAL!A972="","",MOV_CC_NACIONAL!A972)</f>
        <v/>
      </c>
      <c r="B972" s="22" t="str">
        <f>IF(MOV_CC_NACIONAL!B972="","",MOV_CC_NACIONAL!B972)</f>
        <v/>
      </c>
      <c r="C972" s="21" t="str">
        <f>IF(MOV_CC_NACIONAL!C972="","",MOV_CC_NACIONAL!C972)</f>
        <v/>
      </c>
      <c r="D972" s="22" t="str">
        <f t="shared" si="1"/>
        <v>Other</v>
      </c>
    </row>
    <row r="973" ht="15.75" customHeight="1">
      <c r="A973" s="22" t="str">
        <f>IF(MOV_CC_NACIONAL!A973="","",MOV_CC_NACIONAL!A973)</f>
        <v/>
      </c>
      <c r="B973" s="22" t="str">
        <f>IF(MOV_CC_NACIONAL!B973="","",MOV_CC_NACIONAL!B973)</f>
        <v/>
      </c>
      <c r="C973" s="21" t="str">
        <f>IF(MOV_CC_NACIONAL!C973="","",MOV_CC_NACIONAL!C973)</f>
        <v/>
      </c>
      <c r="D973" s="22" t="str">
        <f t="shared" si="1"/>
        <v>Other</v>
      </c>
    </row>
    <row r="974" ht="15.75" customHeight="1">
      <c r="A974" s="22" t="str">
        <f>IF(MOV_CC_NACIONAL!A974="","",MOV_CC_NACIONAL!A974)</f>
        <v/>
      </c>
      <c r="B974" s="22" t="str">
        <f>IF(MOV_CC_NACIONAL!B974="","",MOV_CC_NACIONAL!B974)</f>
        <v/>
      </c>
      <c r="C974" s="21" t="str">
        <f>IF(MOV_CC_NACIONAL!C974="","",MOV_CC_NACIONAL!C974)</f>
        <v/>
      </c>
      <c r="D974" s="22" t="str">
        <f t="shared" si="1"/>
        <v>Other</v>
      </c>
    </row>
    <row r="975" ht="15.75" customHeight="1">
      <c r="A975" s="22" t="str">
        <f>IF(MOV_CC_NACIONAL!A975="","",MOV_CC_NACIONAL!A975)</f>
        <v/>
      </c>
      <c r="B975" s="22" t="str">
        <f>IF(MOV_CC_NACIONAL!B975="","",MOV_CC_NACIONAL!B975)</f>
        <v/>
      </c>
      <c r="C975" s="21" t="str">
        <f>IF(MOV_CC_NACIONAL!C975="","",MOV_CC_NACIONAL!C975)</f>
        <v/>
      </c>
      <c r="D975" s="22" t="str">
        <f t="shared" si="1"/>
        <v>Other</v>
      </c>
    </row>
    <row r="976" ht="15.75" customHeight="1">
      <c r="A976" s="22" t="str">
        <f>IF(MOV_CC_NACIONAL!A976="","",MOV_CC_NACIONAL!A976)</f>
        <v/>
      </c>
      <c r="B976" s="22" t="str">
        <f>IF(MOV_CC_NACIONAL!B976="","",MOV_CC_NACIONAL!B976)</f>
        <v/>
      </c>
      <c r="C976" s="21" t="str">
        <f>IF(MOV_CC_NACIONAL!C976="","",MOV_CC_NACIONAL!C976)</f>
        <v/>
      </c>
      <c r="D976" s="22" t="str">
        <f t="shared" si="1"/>
        <v>Other</v>
      </c>
    </row>
    <row r="977" ht="15.75" customHeight="1">
      <c r="A977" s="22" t="str">
        <f>IF(MOV_CC_NACIONAL!A977="","",MOV_CC_NACIONAL!A977)</f>
        <v/>
      </c>
      <c r="B977" s="22" t="str">
        <f>IF(MOV_CC_NACIONAL!B977="","",MOV_CC_NACIONAL!B977)</f>
        <v/>
      </c>
      <c r="C977" s="21" t="str">
        <f>IF(MOV_CC_NACIONAL!C977="","",MOV_CC_NACIONAL!C977)</f>
        <v/>
      </c>
      <c r="D977" s="22" t="str">
        <f t="shared" si="1"/>
        <v>Other</v>
      </c>
    </row>
    <row r="978" ht="15.75" customHeight="1">
      <c r="A978" s="22" t="str">
        <f>IF(MOV_CC_NACIONAL!A978="","",MOV_CC_NACIONAL!A978)</f>
        <v/>
      </c>
      <c r="B978" s="22" t="str">
        <f>IF(MOV_CC_NACIONAL!B978="","",MOV_CC_NACIONAL!B978)</f>
        <v/>
      </c>
      <c r="C978" s="21" t="str">
        <f>IF(MOV_CC_NACIONAL!C978="","",MOV_CC_NACIONAL!C978)</f>
        <v/>
      </c>
      <c r="D978" s="22" t="str">
        <f t="shared" si="1"/>
        <v>Other</v>
      </c>
    </row>
    <row r="979" ht="15.75" customHeight="1">
      <c r="A979" s="22" t="str">
        <f>IF(MOV_CC_NACIONAL!A979="","",MOV_CC_NACIONAL!A979)</f>
        <v/>
      </c>
      <c r="B979" s="22" t="str">
        <f>IF(MOV_CC_NACIONAL!B979="","",MOV_CC_NACIONAL!B979)</f>
        <v/>
      </c>
      <c r="C979" s="21" t="str">
        <f>IF(MOV_CC_NACIONAL!C979="","",MOV_CC_NACIONAL!C979)</f>
        <v/>
      </c>
      <c r="D979" s="22" t="str">
        <f t="shared" si="1"/>
        <v>Other</v>
      </c>
    </row>
    <row r="980" ht="15.75" customHeight="1">
      <c r="A980" s="22" t="str">
        <f>IF(MOV_CC_NACIONAL!A980="","",MOV_CC_NACIONAL!A980)</f>
        <v/>
      </c>
      <c r="B980" s="22" t="str">
        <f>IF(MOV_CC_NACIONAL!B980="","",MOV_CC_NACIONAL!B980)</f>
        <v/>
      </c>
      <c r="C980" s="21" t="str">
        <f>IF(MOV_CC_NACIONAL!C980="","",MOV_CC_NACIONAL!C980)</f>
        <v/>
      </c>
      <c r="D980" s="22" t="str">
        <f t="shared" si="1"/>
        <v>Other</v>
      </c>
    </row>
    <row r="981" ht="15.75" customHeight="1">
      <c r="A981" s="22" t="str">
        <f>IF(MOV_CC_NACIONAL!A981="","",MOV_CC_NACIONAL!A981)</f>
        <v/>
      </c>
      <c r="B981" s="22" t="str">
        <f>IF(MOV_CC_NACIONAL!B981="","",MOV_CC_NACIONAL!B981)</f>
        <v/>
      </c>
      <c r="C981" s="21" t="str">
        <f>IF(MOV_CC_NACIONAL!C981="","",MOV_CC_NACIONAL!C981)</f>
        <v/>
      </c>
      <c r="D981" s="22" t="str">
        <f t="shared" si="1"/>
        <v>Other</v>
      </c>
    </row>
    <row r="982" ht="15.75" customHeight="1">
      <c r="A982" s="22" t="str">
        <f>IF(MOV_CC_NACIONAL!A982="","",MOV_CC_NACIONAL!A982)</f>
        <v/>
      </c>
      <c r="B982" s="22" t="str">
        <f>IF(MOV_CC_NACIONAL!B982="","",MOV_CC_NACIONAL!B982)</f>
        <v/>
      </c>
      <c r="C982" s="21" t="str">
        <f>IF(MOV_CC_NACIONAL!C982="","",MOV_CC_NACIONAL!C982)</f>
        <v/>
      </c>
      <c r="D982" s="22" t="str">
        <f t="shared" si="1"/>
        <v>Other</v>
      </c>
    </row>
    <row r="983" ht="15.75" customHeight="1">
      <c r="A983" s="22" t="str">
        <f>IF(MOV_CC_NACIONAL!A983="","",MOV_CC_NACIONAL!A983)</f>
        <v/>
      </c>
      <c r="B983" s="22" t="str">
        <f>IF(MOV_CC_NACIONAL!B983="","",MOV_CC_NACIONAL!B983)</f>
        <v/>
      </c>
      <c r="C983" s="21" t="str">
        <f>IF(MOV_CC_NACIONAL!C983="","",MOV_CC_NACIONAL!C983)</f>
        <v/>
      </c>
      <c r="D983" s="22" t="str">
        <f t="shared" si="1"/>
        <v>Other</v>
      </c>
    </row>
    <row r="984" ht="15.75" customHeight="1">
      <c r="A984" s="22" t="str">
        <f>IF(MOV_CC_NACIONAL!A984="","",MOV_CC_NACIONAL!A984)</f>
        <v/>
      </c>
      <c r="B984" s="22" t="str">
        <f>IF(MOV_CC_NACIONAL!B984="","",MOV_CC_NACIONAL!B984)</f>
        <v/>
      </c>
      <c r="C984" s="21" t="str">
        <f>IF(MOV_CC_NACIONAL!C984="","",MOV_CC_NACIONAL!C984)</f>
        <v/>
      </c>
      <c r="D984" s="22" t="str">
        <f t="shared" si="1"/>
        <v>Other</v>
      </c>
    </row>
    <row r="985" ht="15.75" customHeight="1">
      <c r="A985" s="22" t="str">
        <f>IF(MOV_CC_NACIONAL!A985="","",MOV_CC_NACIONAL!A985)</f>
        <v/>
      </c>
      <c r="B985" s="22" t="str">
        <f>IF(MOV_CC_NACIONAL!B985="","",MOV_CC_NACIONAL!B985)</f>
        <v/>
      </c>
      <c r="C985" s="21" t="str">
        <f>IF(MOV_CC_NACIONAL!C985="","",MOV_CC_NACIONAL!C985)</f>
        <v/>
      </c>
      <c r="D985" s="22" t="str">
        <f t="shared" si="1"/>
        <v>Other</v>
      </c>
    </row>
    <row r="986" ht="15.75" customHeight="1">
      <c r="A986" s="22" t="str">
        <f>IF(MOV_CC_NACIONAL!A986="","",MOV_CC_NACIONAL!A986)</f>
        <v/>
      </c>
      <c r="B986" s="22" t="str">
        <f>IF(MOV_CC_NACIONAL!B986="","",MOV_CC_NACIONAL!B986)</f>
        <v/>
      </c>
      <c r="C986" s="21" t="str">
        <f>IF(MOV_CC_NACIONAL!C986="","",MOV_CC_NACIONAL!C986)</f>
        <v/>
      </c>
      <c r="D986" s="22" t="str">
        <f t="shared" si="1"/>
        <v>Other</v>
      </c>
    </row>
    <row r="987" ht="15.75" customHeight="1">
      <c r="A987" s="22" t="str">
        <f>IF(MOV_CC_NACIONAL!A987="","",MOV_CC_NACIONAL!A987)</f>
        <v/>
      </c>
      <c r="B987" s="22" t="str">
        <f>IF(MOV_CC_NACIONAL!B987="","",MOV_CC_NACIONAL!B987)</f>
        <v/>
      </c>
      <c r="C987" s="21" t="str">
        <f>IF(MOV_CC_NACIONAL!C987="","",MOV_CC_NACIONAL!C987)</f>
        <v/>
      </c>
      <c r="D987" s="22" t="str">
        <f t="shared" si="1"/>
        <v>Other</v>
      </c>
    </row>
    <row r="988" ht="15.75" customHeight="1">
      <c r="A988" s="22" t="str">
        <f>IF(MOV_CC_NACIONAL!A988="","",MOV_CC_NACIONAL!A988)</f>
        <v/>
      </c>
      <c r="B988" s="22" t="str">
        <f>IF(MOV_CC_NACIONAL!B988="","",MOV_CC_NACIONAL!B988)</f>
        <v/>
      </c>
      <c r="C988" s="21" t="str">
        <f>IF(MOV_CC_NACIONAL!C988="","",MOV_CC_NACIONAL!C988)</f>
        <v/>
      </c>
      <c r="D988" s="22" t="str">
        <f t="shared" si="1"/>
        <v>Other</v>
      </c>
    </row>
    <row r="989" ht="15.75" customHeight="1">
      <c r="A989" s="22" t="str">
        <f>IF(MOV_CC_NACIONAL!A989="","",MOV_CC_NACIONAL!A989)</f>
        <v/>
      </c>
      <c r="B989" s="22" t="str">
        <f>IF(MOV_CC_NACIONAL!B989="","",MOV_CC_NACIONAL!B989)</f>
        <v/>
      </c>
      <c r="C989" s="21" t="str">
        <f>IF(MOV_CC_NACIONAL!C989="","",MOV_CC_NACIONAL!C989)</f>
        <v/>
      </c>
      <c r="D989" s="22" t="str">
        <f t="shared" si="1"/>
        <v>Other</v>
      </c>
    </row>
    <row r="990" ht="15.75" customHeight="1">
      <c r="A990" s="22" t="str">
        <f>IF(MOV_CC_NACIONAL!A990="","",MOV_CC_NACIONAL!A990)</f>
        <v/>
      </c>
      <c r="B990" s="22" t="str">
        <f>IF(MOV_CC_NACIONAL!B990="","",MOV_CC_NACIONAL!B990)</f>
        <v/>
      </c>
      <c r="C990" s="21" t="str">
        <f>IF(MOV_CC_NACIONAL!C990="","",MOV_CC_NACIONAL!C990)</f>
        <v/>
      </c>
      <c r="D990" s="22" t="str">
        <f t="shared" si="1"/>
        <v>Other</v>
      </c>
    </row>
    <row r="991" ht="15.75" customHeight="1">
      <c r="A991" s="22" t="str">
        <f>IF(MOV_CC_NACIONAL!A991="","",MOV_CC_NACIONAL!A991)</f>
        <v/>
      </c>
      <c r="B991" s="22" t="str">
        <f>IF(MOV_CC_NACIONAL!B991="","",MOV_CC_NACIONAL!B991)</f>
        <v/>
      </c>
      <c r="C991" s="21" t="str">
        <f>IF(MOV_CC_NACIONAL!C991="","",MOV_CC_NACIONAL!C991)</f>
        <v/>
      </c>
      <c r="D991" s="22" t="str">
        <f t="shared" si="1"/>
        <v>Other</v>
      </c>
    </row>
    <row r="992" ht="15.75" customHeight="1">
      <c r="A992" s="22" t="str">
        <f>IF(MOV_CC_NACIONAL!A992="","",MOV_CC_NACIONAL!A992)</f>
        <v/>
      </c>
      <c r="B992" s="22" t="str">
        <f>IF(MOV_CC_NACIONAL!B992="","",MOV_CC_NACIONAL!B992)</f>
        <v/>
      </c>
      <c r="C992" s="21" t="str">
        <f>IF(MOV_CC_NACIONAL!C992="","",MOV_CC_NACIONAL!C992)</f>
        <v/>
      </c>
      <c r="D992" s="22" t="str">
        <f t="shared" si="1"/>
        <v>Other</v>
      </c>
    </row>
    <row r="993" ht="15.75" customHeight="1">
      <c r="A993" s="22" t="str">
        <f>IF(MOV_CC_NACIONAL!A993="","",MOV_CC_NACIONAL!A993)</f>
        <v/>
      </c>
      <c r="B993" s="22" t="str">
        <f>IF(MOV_CC_NACIONAL!B993="","",MOV_CC_NACIONAL!B993)</f>
        <v/>
      </c>
      <c r="C993" s="21" t="str">
        <f>IF(MOV_CC_NACIONAL!C993="","",MOV_CC_NACIONAL!C993)</f>
        <v/>
      </c>
      <c r="D993" s="22" t="str">
        <f t="shared" si="1"/>
        <v>Other</v>
      </c>
    </row>
    <row r="994" ht="15.75" customHeight="1">
      <c r="A994" s="22" t="str">
        <f>IF(MOV_CC_NACIONAL!A994="","",MOV_CC_NACIONAL!A994)</f>
        <v/>
      </c>
      <c r="B994" s="22" t="str">
        <f>IF(MOV_CC_NACIONAL!B994="","",MOV_CC_NACIONAL!B994)</f>
        <v/>
      </c>
      <c r="C994" s="21" t="str">
        <f>IF(MOV_CC_NACIONAL!C994="","",MOV_CC_NACIONAL!C994)</f>
        <v/>
      </c>
      <c r="D994" s="22" t="str">
        <f t="shared" si="1"/>
        <v>Other</v>
      </c>
    </row>
    <row r="995" ht="15.75" customHeight="1">
      <c r="A995" s="22" t="str">
        <f>IF(MOV_CC_NACIONAL!A995="","",MOV_CC_NACIONAL!A995)</f>
        <v/>
      </c>
      <c r="B995" s="22" t="str">
        <f>IF(MOV_CC_NACIONAL!B995="","",MOV_CC_NACIONAL!B995)</f>
        <v/>
      </c>
      <c r="C995" s="21" t="str">
        <f>IF(MOV_CC_NACIONAL!C995="","",MOV_CC_NACIONAL!C995)</f>
        <v/>
      </c>
      <c r="D995" s="22" t="str">
        <f t="shared" si="1"/>
        <v>Other</v>
      </c>
    </row>
    <row r="996" ht="15.75" customHeight="1">
      <c r="A996" s="22" t="str">
        <f>IF(MOV_CC_NACIONAL!A996="","",MOV_CC_NACIONAL!A996)</f>
        <v/>
      </c>
      <c r="B996" s="22" t="str">
        <f>IF(MOV_CC_NACIONAL!B996="","",MOV_CC_NACIONAL!B996)</f>
        <v/>
      </c>
      <c r="C996" s="21" t="str">
        <f>IF(MOV_CC_NACIONAL!C996="","",MOV_CC_NACIONAL!C996)</f>
        <v/>
      </c>
      <c r="D996" s="22" t="str">
        <f t="shared" si="1"/>
        <v>Other</v>
      </c>
    </row>
    <row r="997" ht="15.75" customHeight="1">
      <c r="A997" s="22" t="str">
        <f>IF(MOV_CC_NACIONAL!A997="","",MOV_CC_NACIONAL!A997)</f>
        <v/>
      </c>
      <c r="B997" s="22" t="str">
        <f>IF(MOV_CC_NACIONAL!B997="","",MOV_CC_NACIONAL!B997)</f>
        <v/>
      </c>
      <c r="C997" s="21" t="str">
        <f>IF(MOV_CC_NACIONAL!C997="","",MOV_CC_NACIONAL!C997)</f>
        <v/>
      </c>
      <c r="D997" s="22" t="str">
        <f t="shared" si="1"/>
        <v>Other</v>
      </c>
    </row>
    <row r="998" ht="15.75" customHeight="1">
      <c r="A998" s="22" t="str">
        <f>IF(MOV_CC_NACIONAL!A998="","",MOV_CC_NACIONAL!A998)</f>
        <v/>
      </c>
      <c r="B998" s="22" t="str">
        <f>IF(MOV_CC_NACIONAL!B998="","",MOV_CC_NACIONAL!B998)</f>
        <v/>
      </c>
      <c r="C998" s="21" t="str">
        <f>IF(MOV_CC_NACIONAL!C998="","",MOV_CC_NACIONAL!C998)</f>
        <v/>
      </c>
      <c r="D998" s="22" t="str">
        <f t="shared" si="1"/>
        <v>Other</v>
      </c>
    </row>
    <row r="999" ht="15.75" customHeight="1">
      <c r="A999" s="22" t="str">
        <f>IF(MOV_CC_NACIONAL!A999="","",MOV_CC_NACIONAL!A999)</f>
        <v/>
      </c>
      <c r="B999" s="22" t="str">
        <f>IF(MOV_CC_NACIONAL!B999="","",MOV_CC_NACIONAL!B999)</f>
        <v/>
      </c>
      <c r="C999" s="21" t="str">
        <f>IF(MOV_CC_NACIONAL!C999="","",MOV_CC_NACIONAL!C999)</f>
        <v/>
      </c>
      <c r="D999" s="22" t="str">
        <f t="shared" si="1"/>
        <v>Other</v>
      </c>
    </row>
    <row r="1000" ht="15.75" customHeight="1">
      <c r="A1000" s="22" t="str">
        <f>IF(MOV_CC_NACIONAL!A1000="","",MOV_CC_NACIONAL!A1000)</f>
        <v/>
      </c>
      <c r="B1000" s="22" t="str">
        <f>IF(MOV_CC_NACIONAL!B1000="","",MOV_CC_NACIONAL!B1000)</f>
        <v/>
      </c>
      <c r="C1000" s="21" t="str">
        <f>IF(MOV_CC_NACIONAL!C1000="","",MOV_CC_NACIONAL!C1000)</f>
        <v/>
      </c>
      <c r="D1000" s="22" t="str">
        <f t="shared" si="1"/>
        <v>Other</v>
      </c>
    </row>
    <row r="1001" ht="15.75" customHeight="1">
      <c r="A1001" s="22" t="str">
        <f>IF(MOV_CC_NACIONAL!A1001="","",MOV_CC_NACIONAL!A1001)</f>
        <v/>
      </c>
      <c r="B1001" s="22" t="str">
        <f>IF(MOV_CC_NACIONAL!B1001="","",MOV_CC_NACIONAL!B1001)</f>
        <v/>
      </c>
      <c r="C1001" s="21" t="str">
        <f>IF(MOV_CC_NACIONAL!C1001="","",MOV_CC_NACIONAL!C1001)</f>
        <v/>
      </c>
      <c r="D1001" s="22" t="str">
        <f t="shared" si="1"/>
        <v>Other</v>
      </c>
    </row>
    <row r="1002" ht="15.75" customHeight="1">
      <c r="A1002" s="22" t="str">
        <f>IF(MOV_CC_NACIONAL!A1002="","",MOV_CC_NACIONAL!A1002)</f>
        <v/>
      </c>
      <c r="B1002" s="22" t="str">
        <f>IF(MOV_CC_NACIONAL!B1002="","",MOV_CC_NACIONAL!B1002)</f>
        <v/>
      </c>
      <c r="C1002" s="21" t="str">
        <f>IF(MOV_CC_NACIONAL!C1002="","",MOV_CC_NACIONAL!C1002)</f>
        <v/>
      </c>
      <c r="D1002" s="22" t="str">
        <f t="shared" si="1"/>
        <v>Other</v>
      </c>
    </row>
    <row r="1003" ht="15.75" customHeight="1">
      <c r="A1003" s="22" t="str">
        <f>IF(MOV_CC_NACIONAL!A1003="","",MOV_CC_NACIONAL!A1003)</f>
        <v/>
      </c>
      <c r="B1003" s="22" t="str">
        <f>IF(MOV_CC_NACIONAL!B1003="","",MOV_CC_NACIONAL!B1003)</f>
        <v/>
      </c>
      <c r="C1003" s="21" t="str">
        <f>IF(MOV_CC_NACIONAL!C1003="","",MOV_CC_NACIONAL!C1003)</f>
        <v/>
      </c>
      <c r="D1003" s="22" t="str">
        <f t="shared" si="1"/>
        <v>Other</v>
      </c>
    </row>
    <row r="1004" ht="15.75" customHeight="1">
      <c r="A1004" s="22" t="str">
        <f>IF(MOV_CC_NACIONAL!A1004="","",MOV_CC_NACIONAL!A1004)</f>
        <v/>
      </c>
      <c r="B1004" s="22" t="str">
        <f>IF(MOV_CC_NACIONAL!B1004="","",MOV_CC_NACIONAL!B1004)</f>
        <v/>
      </c>
      <c r="C1004" s="21" t="str">
        <f>IF(MOV_CC_NACIONAL!C1004="","",MOV_CC_NACIONAL!C1004)</f>
        <v/>
      </c>
      <c r="D1004" s="22" t="str">
        <f t="shared" si="1"/>
        <v>Other</v>
      </c>
    </row>
    <row r="1005" ht="15.75" customHeight="1">
      <c r="A1005" s="22" t="str">
        <f>IF(MOV_CC_NACIONAL!A1005="","",MOV_CC_NACIONAL!A1005)</f>
        <v/>
      </c>
      <c r="B1005" s="22" t="str">
        <f>IF(MOV_CC_NACIONAL!B1005="","",MOV_CC_NACIONAL!B1005)</f>
        <v/>
      </c>
      <c r="C1005" s="21" t="str">
        <f>IF(MOV_CC_NACIONAL!C1005="","",MOV_CC_NACIONAL!C1005)</f>
        <v/>
      </c>
      <c r="D1005" s="22" t="str">
        <f t="shared" si="1"/>
        <v>Other</v>
      </c>
    </row>
    <row r="1006" ht="15.75" customHeight="1">
      <c r="A1006" s="22" t="str">
        <f>IF(MOV_CC_NACIONAL!A1006="","",MOV_CC_NACIONAL!A1006)</f>
        <v/>
      </c>
      <c r="B1006" s="22" t="str">
        <f>IF(MOV_CC_NACIONAL!B1006="","",MOV_CC_NACIONAL!B1006)</f>
        <v/>
      </c>
      <c r="C1006" s="21" t="str">
        <f>IF(MOV_CC_NACIONAL!C1006="","",MOV_CC_NACIONAL!C1006)</f>
        <v/>
      </c>
      <c r="D1006" s="22" t="str">
        <f t="shared" si="1"/>
        <v>Other</v>
      </c>
    </row>
    <row r="1007" ht="15.75" customHeight="1">
      <c r="A1007" s="22" t="str">
        <f>IF(MOV_CC_NACIONAL!A1007="","",MOV_CC_NACIONAL!A1007)</f>
        <v/>
      </c>
      <c r="B1007" s="22" t="str">
        <f>IF(MOV_CC_NACIONAL!B1007="","",MOV_CC_NACIONAL!B1007)</f>
        <v/>
      </c>
      <c r="C1007" s="21" t="str">
        <f>IF(MOV_CC_NACIONAL!C1007="","",MOV_CC_NACIONAL!C1007)</f>
        <v/>
      </c>
      <c r="D1007" s="22" t="str">
        <f t="shared" si="1"/>
        <v>Other</v>
      </c>
    </row>
    <row r="1008" ht="15.75" customHeight="1">
      <c r="A1008" s="22" t="str">
        <f>IF(MOV_CC_NACIONAL!A1008="","",MOV_CC_NACIONAL!A1008)</f>
        <v/>
      </c>
      <c r="B1008" s="22" t="str">
        <f>IF(MOV_CC_NACIONAL!B1008="","",MOV_CC_NACIONAL!B1008)</f>
        <v/>
      </c>
      <c r="C1008" s="21" t="str">
        <f>IF(MOV_CC_NACIONAL!C1008="","",MOV_CC_NACIONAL!C1008)</f>
        <v/>
      </c>
      <c r="D1008" s="22" t="str">
        <f t="shared" si="1"/>
        <v>Other</v>
      </c>
    </row>
    <row r="1009" ht="15.75" customHeight="1">
      <c r="A1009" s="22" t="str">
        <f>IF(MOV_CC_NACIONAL!A1009="","",MOV_CC_NACIONAL!A1009)</f>
        <v/>
      </c>
      <c r="B1009" s="22" t="str">
        <f>IF(MOV_CC_NACIONAL!B1009="","",MOV_CC_NACIONAL!B1009)</f>
        <v/>
      </c>
      <c r="C1009" s="21" t="str">
        <f>IF(MOV_CC_NACIONAL!C1009="","",MOV_CC_NACIONAL!C1009)</f>
        <v/>
      </c>
      <c r="D1009" s="22" t="str">
        <f t="shared" si="1"/>
        <v>Other</v>
      </c>
    </row>
    <row r="1010" ht="15.75" customHeight="1">
      <c r="A1010" s="22" t="str">
        <f>IF(MOV_CC_NACIONAL!A1010="","",MOV_CC_NACIONAL!A1010)</f>
        <v/>
      </c>
      <c r="B1010" s="22" t="str">
        <f>IF(MOV_CC_NACIONAL!B1010="","",MOV_CC_NACIONAL!B1010)</f>
        <v/>
      </c>
      <c r="C1010" s="21" t="str">
        <f>IF(MOV_CC_NACIONAL!C1010="","",MOV_CC_NACIONAL!C1010)</f>
        <v/>
      </c>
      <c r="D1010" s="22" t="str">
        <f t="shared" si="1"/>
        <v>Other</v>
      </c>
    </row>
    <row r="1011" ht="15.75" customHeight="1">
      <c r="A1011" s="22" t="str">
        <f>IF(MOV_CC_NACIONAL!A1011="","",MOV_CC_NACIONAL!A1011)</f>
        <v/>
      </c>
      <c r="B1011" s="22" t="str">
        <f>IF(MOV_CC_NACIONAL!B1011="","",MOV_CC_NACIONAL!B1011)</f>
        <v/>
      </c>
      <c r="C1011" s="21" t="str">
        <f>IF(MOV_CC_NACIONAL!C1011="","",MOV_CC_NACIONAL!C1011)</f>
        <v/>
      </c>
      <c r="D1011" s="22" t="str">
        <f t="shared" si="1"/>
        <v>Other</v>
      </c>
    </row>
    <row r="1012" ht="15.75" customHeight="1">
      <c r="A1012" s="22" t="str">
        <f>IF(MOV_CC_NACIONAL!A1012="","",MOV_CC_NACIONAL!A1012)</f>
        <v/>
      </c>
      <c r="B1012" s="22" t="str">
        <f>IF(MOV_CC_NACIONAL!B1012="","",MOV_CC_NACIONAL!B1012)</f>
        <v/>
      </c>
      <c r="C1012" s="21" t="str">
        <f>IF(MOV_CC_NACIONAL!C1012="","",MOV_CC_NACIONAL!C1012)</f>
        <v/>
      </c>
      <c r="D1012" s="22" t="str">
        <f t="shared" si="1"/>
        <v>Other</v>
      </c>
    </row>
    <row r="1013" ht="15.75" customHeight="1">
      <c r="A1013" s="22" t="str">
        <f>IF(MOV_CC_NACIONAL!A1013="","",MOV_CC_NACIONAL!A1013)</f>
        <v/>
      </c>
      <c r="B1013" s="22" t="str">
        <f>IF(MOV_CC_NACIONAL!B1013="","",MOV_CC_NACIONAL!B1013)</f>
        <v/>
      </c>
      <c r="C1013" s="21" t="str">
        <f>IF(MOV_CC_NACIONAL!C1013="","",MOV_CC_NACIONAL!C1013)</f>
        <v/>
      </c>
      <c r="D1013" s="22" t="str">
        <f t="shared" si="1"/>
        <v>Other</v>
      </c>
    </row>
    <row r="1014" ht="15.75" customHeight="1">
      <c r="A1014" s="22" t="str">
        <f>IF(MOV_CC_NACIONAL!A1014="","",MOV_CC_NACIONAL!A1014)</f>
        <v/>
      </c>
      <c r="B1014" s="22" t="str">
        <f>IF(MOV_CC_NACIONAL!B1014="","",MOV_CC_NACIONAL!B1014)</f>
        <v/>
      </c>
      <c r="C1014" s="21" t="str">
        <f>IF(MOV_CC_NACIONAL!C1014="","",MOV_CC_NACIONAL!C1014)</f>
        <v/>
      </c>
      <c r="D1014" s="22" t="str">
        <f t="shared" si="1"/>
        <v>Other</v>
      </c>
    </row>
    <row r="1015" ht="15.75" customHeight="1">
      <c r="A1015" s="22" t="str">
        <f>IF(MOV_CC_NACIONAL!A1015="","",MOV_CC_NACIONAL!A1015)</f>
        <v/>
      </c>
      <c r="B1015" s="22" t="str">
        <f>IF(MOV_CC_NACIONAL!B1015="","",MOV_CC_NACIONAL!B1015)</f>
        <v/>
      </c>
      <c r="C1015" s="21" t="str">
        <f>IF(MOV_CC_NACIONAL!C1015="","",MOV_CC_NACIONAL!C1015)</f>
        <v/>
      </c>
      <c r="D1015" s="22" t="str">
        <f t="shared" si="1"/>
        <v>Other</v>
      </c>
    </row>
    <row r="1016" ht="15.75" customHeight="1">
      <c r="A1016" s="22" t="str">
        <f>IF(MOV_CC_NACIONAL!A1016="","",MOV_CC_NACIONAL!A1016)</f>
        <v/>
      </c>
      <c r="B1016" s="22" t="str">
        <f>IF(MOV_CC_NACIONAL!B1016="","",MOV_CC_NACIONAL!B1016)</f>
        <v/>
      </c>
      <c r="C1016" s="21" t="str">
        <f>IF(MOV_CC_NACIONAL!C1016="","",MOV_CC_NACIONAL!C1016)</f>
        <v/>
      </c>
      <c r="D1016" s="22" t="str">
        <f t="shared" si="1"/>
        <v>Other</v>
      </c>
    </row>
    <row r="1017" ht="15.75" customHeight="1">
      <c r="A1017" s="22" t="str">
        <f>IF(MOV_CC_NACIONAL!A1017="","",MOV_CC_NACIONAL!A1017)</f>
        <v/>
      </c>
      <c r="B1017" s="22" t="str">
        <f>IF(MOV_CC_NACIONAL!B1017="","",MOV_CC_NACIONAL!B1017)</f>
        <v/>
      </c>
      <c r="C1017" s="21" t="str">
        <f>IF(MOV_CC_NACIONAL!C1017="","",MOV_CC_NACIONAL!C1017)</f>
        <v/>
      </c>
      <c r="D1017" s="22" t="str">
        <f t="shared" si="1"/>
        <v>Other</v>
      </c>
    </row>
    <row r="1018" ht="15.75" customHeight="1">
      <c r="A1018" s="22" t="str">
        <f>IF(MOV_CC_NACIONAL!A1018="","",MOV_CC_NACIONAL!A1018)</f>
        <v/>
      </c>
      <c r="B1018" s="22" t="str">
        <f>IF(MOV_CC_NACIONAL!B1018="","",MOV_CC_NACIONAL!B1018)</f>
        <v/>
      </c>
      <c r="C1018" s="21" t="str">
        <f>IF(MOV_CC_NACIONAL!C1018="","",MOV_CC_NACIONAL!C1018)</f>
        <v/>
      </c>
      <c r="D1018" s="22" t="str">
        <f t="shared" si="1"/>
        <v>Other</v>
      </c>
    </row>
    <row r="1019" ht="15.75" customHeight="1">
      <c r="A1019" s="22" t="str">
        <f>IF(MOV_CC_NACIONAL!A1019="","",MOV_CC_NACIONAL!A1019)</f>
        <v/>
      </c>
      <c r="B1019" s="22" t="str">
        <f>IF(MOV_CC_NACIONAL!B1019="","",MOV_CC_NACIONAL!B1019)</f>
        <v/>
      </c>
      <c r="C1019" s="21" t="str">
        <f>IF(MOV_CC_NACIONAL!C1019="","",MOV_CC_NACIONAL!C1019)</f>
        <v/>
      </c>
      <c r="D1019" s="22" t="str">
        <f t="shared" si="1"/>
        <v>Other</v>
      </c>
    </row>
    <row r="1020" ht="15.75" customHeight="1">
      <c r="A1020" s="22" t="str">
        <f>IF(MOV_CC_NACIONAL!A1020="","",MOV_CC_NACIONAL!A1020)</f>
        <v/>
      </c>
      <c r="B1020" s="22" t="str">
        <f>IF(MOV_CC_NACIONAL!B1020="","",MOV_CC_NACIONAL!B1020)</f>
        <v/>
      </c>
      <c r="C1020" s="21" t="str">
        <f>IF(MOV_CC_NACIONAL!C1020="","",MOV_CC_NACIONAL!C1020)</f>
        <v/>
      </c>
      <c r="D1020" s="22" t="str">
        <f t="shared" si="1"/>
        <v>Other</v>
      </c>
    </row>
    <row r="1021" ht="15.75" customHeight="1">
      <c r="A1021" s="22" t="str">
        <f>IF(MOV_CC_NACIONAL!A1021="","",MOV_CC_NACIONAL!A1021)</f>
        <v/>
      </c>
      <c r="B1021" s="22" t="str">
        <f>IF(MOV_CC_NACIONAL!B1021="","",MOV_CC_NACIONAL!B1021)</f>
        <v/>
      </c>
      <c r="C1021" s="21" t="str">
        <f>IF(MOV_CC_NACIONAL!C1021="","",MOV_CC_NACIONAL!C1021)</f>
        <v/>
      </c>
      <c r="D1021" s="22" t="str">
        <f t="shared" si="1"/>
        <v>Other</v>
      </c>
    </row>
    <row r="1022" ht="15.75" customHeight="1">
      <c r="A1022" s="22" t="str">
        <f>IF(MOV_CC_NACIONAL!A1022="","",MOV_CC_NACIONAL!A1022)</f>
        <v/>
      </c>
      <c r="B1022" s="22" t="str">
        <f>IF(MOV_CC_NACIONAL!B1022="","",MOV_CC_NACIONAL!B1022)</f>
        <v/>
      </c>
      <c r="C1022" s="21" t="str">
        <f>IF(MOV_CC_NACIONAL!C1022="","",MOV_CC_NACIONAL!C1022)</f>
        <v/>
      </c>
      <c r="D1022" s="22" t="str">
        <f t="shared" si="1"/>
        <v>Other</v>
      </c>
    </row>
    <row r="1023" ht="15.75" customHeight="1">
      <c r="A1023" s="22" t="str">
        <f>IF(MOV_CC_NACIONAL!A1023="","",MOV_CC_NACIONAL!A1023)</f>
        <v/>
      </c>
      <c r="B1023" s="22" t="str">
        <f>IF(MOV_CC_NACIONAL!B1023="","",MOV_CC_NACIONAL!B1023)</f>
        <v/>
      </c>
      <c r="C1023" s="21" t="str">
        <f>IF(MOV_CC_NACIONAL!C1023="","",MOV_CC_NACIONAL!C1023)</f>
        <v/>
      </c>
      <c r="D1023" s="22" t="str">
        <f t="shared" si="1"/>
        <v>Other</v>
      </c>
    </row>
    <row r="1024" ht="15.75" customHeight="1">
      <c r="A1024" s="22" t="str">
        <f>IF(MOV_CC_NACIONAL!A1024="","",MOV_CC_NACIONAL!A1024)</f>
        <v/>
      </c>
      <c r="B1024" s="22" t="str">
        <f>IF(MOV_CC_NACIONAL!B1024="","",MOV_CC_NACIONAL!B1024)</f>
        <v/>
      </c>
      <c r="C1024" s="21" t="str">
        <f>IF(MOV_CC_NACIONAL!C1024="","",MOV_CC_NACIONAL!C1024)</f>
        <v/>
      </c>
      <c r="D1024" s="22" t="str">
        <f t="shared" si="1"/>
        <v>Other</v>
      </c>
    </row>
    <row r="1025" ht="15.75" customHeight="1">
      <c r="A1025" s="22" t="str">
        <f>IF(MOV_CC_NACIONAL!A1025="","",MOV_CC_NACIONAL!A1025)</f>
        <v/>
      </c>
      <c r="B1025" s="22" t="str">
        <f>IF(MOV_CC_NACIONAL!B1025="","",MOV_CC_NACIONAL!B1025)</f>
        <v/>
      </c>
      <c r="C1025" s="21" t="str">
        <f>IF(MOV_CC_NACIONAL!C1025="","",MOV_CC_NACIONAL!C1025)</f>
        <v/>
      </c>
      <c r="D1025" s="22" t="str">
        <f t="shared" si="1"/>
        <v>Other</v>
      </c>
    </row>
    <row r="1026" ht="15.75" customHeight="1">
      <c r="A1026" s="22" t="str">
        <f>IF(MOV_CC_NACIONAL!A1026="","",MOV_CC_NACIONAL!A1026)</f>
        <v/>
      </c>
      <c r="B1026" s="22" t="str">
        <f>IF(MOV_CC_NACIONAL!B1026="","",MOV_CC_NACIONAL!B1026)</f>
        <v/>
      </c>
      <c r="C1026" s="21" t="str">
        <f>IF(MOV_CC_NACIONAL!C1026="","",MOV_CC_NACIONAL!C1026)</f>
        <v/>
      </c>
      <c r="D1026" s="22" t="str">
        <f t="shared" si="1"/>
        <v>Other</v>
      </c>
    </row>
    <row r="1027" ht="15.75" customHeight="1">
      <c r="A1027" s="22" t="str">
        <f>IF(MOV_CC_NACIONAL!A1027="","",MOV_CC_NACIONAL!A1027)</f>
        <v/>
      </c>
      <c r="B1027" s="22" t="str">
        <f>IF(MOV_CC_NACIONAL!B1027="","",MOV_CC_NACIONAL!B1027)</f>
        <v/>
      </c>
      <c r="C1027" s="21" t="str">
        <f>IF(MOV_CC_NACIONAL!C1027="","",MOV_CC_NACIONAL!C1027)</f>
        <v/>
      </c>
      <c r="D1027" s="22" t="str">
        <f t="shared" si="1"/>
        <v>Other</v>
      </c>
    </row>
    <row r="1028" ht="15.75" customHeight="1">
      <c r="A1028" s="22" t="str">
        <f>IF(MOV_CC_NACIONAL!A1028="","",MOV_CC_NACIONAL!A1028)</f>
        <v/>
      </c>
      <c r="B1028" s="22" t="str">
        <f>IF(MOV_CC_NACIONAL!B1028="","",MOV_CC_NACIONAL!B1028)</f>
        <v/>
      </c>
      <c r="C1028" s="21" t="str">
        <f>IF(MOV_CC_NACIONAL!C1028="","",MOV_CC_NACIONAL!C1028)</f>
        <v/>
      </c>
      <c r="D1028" s="22" t="str">
        <f t="shared" si="1"/>
        <v>Other</v>
      </c>
    </row>
    <row r="1029" ht="15.75" customHeight="1">
      <c r="A1029" s="22" t="str">
        <f>IF(MOV_CC_NACIONAL!A1029="","",MOV_CC_NACIONAL!A1029)</f>
        <v/>
      </c>
      <c r="B1029" s="22" t="str">
        <f>IF(MOV_CC_NACIONAL!B1029="","",MOV_CC_NACIONAL!B1029)</f>
        <v/>
      </c>
      <c r="C1029" s="21" t="str">
        <f>IF(MOV_CC_NACIONAL!C1029="","",MOV_CC_NACIONAL!C1029)</f>
        <v/>
      </c>
      <c r="D1029" s="22" t="str">
        <f t="shared" si="1"/>
        <v>Other</v>
      </c>
    </row>
    <row r="1030" ht="15.75" customHeight="1">
      <c r="A1030" s="22" t="str">
        <f>IF(MOV_CC_NACIONAL!A1030="","",MOV_CC_NACIONAL!A1030)</f>
        <v/>
      </c>
      <c r="B1030" s="22" t="str">
        <f>IF(MOV_CC_NACIONAL!B1030="","",MOV_CC_NACIONAL!B1030)</f>
        <v/>
      </c>
      <c r="C1030" s="21" t="str">
        <f>IF(MOV_CC_NACIONAL!C1030="","",MOV_CC_NACIONAL!C1030)</f>
        <v/>
      </c>
      <c r="D1030" s="22" t="str">
        <f t="shared" si="1"/>
        <v>Other</v>
      </c>
    </row>
    <row r="1031" ht="15.75" customHeight="1">
      <c r="A1031" s="22" t="str">
        <f>IF(MOV_CC_NACIONAL!A1031="","",MOV_CC_NACIONAL!A1031)</f>
        <v/>
      </c>
      <c r="B1031" s="22" t="str">
        <f>IF(MOV_CC_NACIONAL!B1031="","",MOV_CC_NACIONAL!B1031)</f>
        <v/>
      </c>
      <c r="C1031" s="21" t="str">
        <f>IF(MOV_CC_NACIONAL!C1031="","",MOV_CC_NACIONAL!C1031)</f>
        <v/>
      </c>
      <c r="D1031" s="22" t="str">
        <f t="shared" si="1"/>
        <v>Other</v>
      </c>
    </row>
    <row r="1032" ht="15.75" customHeight="1">
      <c r="A1032" s="22" t="str">
        <f>IF(MOV_CC_NACIONAL!A1032="","",MOV_CC_NACIONAL!A1032)</f>
        <v/>
      </c>
      <c r="B1032" s="22" t="str">
        <f>IF(MOV_CC_NACIONAL!B1032="","",MOV_CC_NACIONAL!B1032)</f>
        <v/>
      </c>
      <c r="C1032" s="21" t="str">
        <f>IF(MOV_CC_NACIONAL!C1032="","",MOV_CC_NACIONAL!C1032)</f>
        <v/>
      </c>
      <c r="D1032" s="22" t="str">
        <f t="shared" si="1"/>
        <v>Other</v>
      </c>
    </row>
    <row r="1033" ht="15.75" customHeight="1">
      <c r="A1033" s="22" t="str">
        <f>IF(MOV_CC_NACIONAL!A1033="","",MOV_CC_NACIONAL!A1033)</f>
        <v/>
      </c>
      <c r="B1033" s="22" t="str">
        <f>IF(MOV_CC_NACIONAL!B1033="","",MOV_CC_NACIONAL!B1033)</f>
        <v/>
      </c>
      <c r="C1033" s="21" t="str">
        <f>IF(MOV_CC_NACIONAL!C1033="","",MOV_CC_NACIONAL!C1033)</f>
        <v/>
      </c>
      <c r="D1033" s="22" t="str">
        <f t="shared" si="1"/>
        <v>Other</v>
      </c>
    </row>
    <row r="1034" ht="15.75" customHeight="1">
      <c r="A1034" s="22" t="str">
        <f>IF(MOV_CC_NACIONAL!A1034="","",MOV_CC_NACIONAL!A1034)</f>
        <v/>
      </c>
      <c r="B1034" s="22" t="str">
        <f>IF(MOV_CC_NACIONAL!B1034="","",MOV_CC_NACIONAL!B1034)</f>
        <v/>
      </c>
      <c r="C1034" s="21" t="str">
        <f>IF(MOV_CC_NACIONAL!C1034="","",MOV_CC_NACIONAL!C1034)</f>
        <v/>
      </c>
      <c r="D1034" s="22" t="str">
        <f t="shared" si="1"/>
        <v>Other</v>
      </c>
    </row>
    <row r="1035" ht="15.75" customHeight="1">
      <c r="A1035" s="22" t="str">
        <f>IF(MOV_CC_NACIONAL!A1035="","",MOV_CC_NACIONAL!A1035)</f>
        <v/>
      </c>
      <c r="B1035" s="22" t="str">
        <f>IF(MOV_CC_NACIONAL!B1035="","",MOV_CC_NACIONAL!B1035)</f>
        <v/>
      </c>
      <c r="C1035" s="21" t="str">
        <f>IF(MOV_CC_NACIONAL!C1035="","",MOV_CC_NACIONAL!C1035)</f>
        <v/>
      </c>
      <c r="D1035" s="22" t="str">
        <f t="shared" si="1"/>
        <v>Other</v>
      </c>
    </row>
    <row r="1036" ht="15.75" customHeight="1">
      <c r="A1036" s="22" t="str">
        <f>IF(MOV_CC_NACIONAL!A1036="","",MOV_CC_NACIONAL!A1036)</f>
        <v/>
      </c>
      <c r="B1036" s="22" t="str">
        <f>IF(MOV_CC_NACIONAL!B1036="","",MOV_CC_NACIONAL!B1036)</f>
        <v/>
      </c>
      <c r="C1036" s="21" t="str">
        <f>IF(MOV_CC_NACIONAL!C1036="","",MOV_CC_NACIONAL!C1036)</f>
        <v/>
      </c>
      <c r="D1036" s="22" t="str">
        <f t="shared" si="1"/>
        <v>Other</v>
      </c>
    </row>
    <row r="1037" ht="15.75" customHeight="1">
      <c r="A1037" s="22" t="str">
        <f>IF(MOV_CC_NACIONAL!A1037="","",MOV_CC_NACIONAL!A1037)</f>
        <v/>
      </c>
      <c r="B1037" s="22" t="str">
        <f>IF(MOV_CC_NACIONAL!B1037="","",MOV_CC_NACIONAL!B1037)</f>
        <v/>
      </c>
      <c r="C1037" s="21" t="str">
        <f>IF(MOV_CC_NACIONAL!C1037="","",MOV_CC_NACIONAL!C1037)</f>
        <v/>
      </c>
      <c r="D1037" s="22" t="str">
        <f t="shared" si="1"/>
        <v>Other</v>
      </c>
    </row>
    <row r="1038" ht="15.75" customHeight="1">
      <c r="A1038" s="22" t="str">
        <f>IF(MOV_CC_NACIONAL!A1038="","",MOV_CC_NACIONAL!A1038)</f>
        <v/>
      </c>
      <c r="B1038" s="22" t="str">
        <f>IF(MOV_CC_NACIONAL!B1038="","",MOV_CC_NACIONAL!B1038)</f>
        <v/>
      </c>
      <c r="C1038" s="21" t="str">
        <f>IF(MOV_CC_NACIONAL!C1038="","",MOV_CC_NACIONAL!C1038)</f>
        <v/>
      </c>
      <c r="D1038" s="22" t="str">
        <f t="shared" si="1"/>
        <v>Other</v>
      </c>
    </row>
    <row r="1039" ht="15.75" customHeight="1">
      <c r="A1039" s="22" t="str">
        <f>IF(MOV_CC_NACIONAL!A1039="","",MOV_CC_NACIONAL!A1039)</f>
        <v/>
      </c>
      <c r="B1039" s="22" t="str">
        <f>IF(MOV_CC_NACIONAL!B1039="","",MOV_CC_NACIONAL!B1039)</f>
        <v/>
      </c>
      <c r="C1039" s="21" t="str">
        <f>IF(MOV_CC_NACIONAL!C1039="","",MOV_CC_NACIONAL!C1039)</f>
        <v/>
      </c>
      <c r="D1039" s="22" t="str">
        <f t="shared" si="1"/>
        <v>Other</v>
      </c>
    </row>
    <row r="1040" ht="15.75" customHeight="1">
      <c r="A1040" s="22" t="str">
        <f>IF(MOV_CC_NACIONAL!A1040="","",MOV_CC_NACIONAL!A1040)</f>
        <v/>
      </c>
      <c r="B1040" s="22" t="str">
        <f>IF(MOV_CC_NACIONAL!B1040="","",MOV_CC_NACIONAL!B1040)</f>
        <v/>
      </c>
      <c r="C1040" s="21" t="str">
        <f>IF(MOV_CC_NACIONAL!C1040="","",MOV_CC_NACIONAL!C1040)</f>
        <v/>
      </c>
      <c r="D1040" s="22" t="str">
        <f t="shared" si="1"/>
        <v>Other</v>
      </c>
    </row>
    <row r="1041" ht="15.75" customHeight="1">
      <c r="A1041" s="22" t="str">
        <f>IF(MOV_CC_NACIONAL!A1041="","",MOV_CC_NACIONAL!A1041)</f>
        <v/>
      </c>
      <c r="B1041" s="22" t="str">
        <f>IF(MOV_CC_NACIONAL!B1041="","",MOV_CC_NACIONAL!B1041)</f>
        <v/>
      </c>
      <c r="C1041" s="21" t="str">
        <f>IF(MOV_CC_NACIONAL!C1041="","",MOV_CC_NACIONAL!C1041)</f>
        <v/>
      </c>
      <c r="D1041" s="22" t="str">
        <f t="shared" si="1"/>
        <v>Other</v>
      </c>
    </row>
    <row r="1042" ht="15.75" customHeight="1">
      <c r="A1042" s="22" t="str">
        <f>IF(MOV_CC_NACIONAL!A1042="","",MOV_CC_NACIONAL!A1042)</f>
        <v/>
      </c>
      <c r="B1042" s="22" t="str">
        <f>IF(MOV_CC_NACIONAL!B1042="","",MOV_CC_NACIONAL!B1042)</f>
        <v/>
      </c>
      <c r="C1042" s="21" t="str">
        <f>IF(MOV_CC_NACIONAL!C1042="","",MOV_CC_NACIONAL!C1042)</f>
        <v/>
      </c>
      <c r="D1042" s="22" t="str">
        <f t="shared" si="1"/>
        <v>Other</v>
      </c>
    </row>
    <row r="1043" ht="15.75" customHeight="1">
      <c r="A1043" s="22" t="str">
        <f>IF(MOV_CC_NACIONAL!A1043="","",MOV_CC_NACIONAL!A1043)</f>
        <v/>
      </c>
      <c r="B1043" s="22" t="str">
        <f>IF(MOV_CC_NACIONAL!B1043="","",MOV_CC_NACIONAL!B1043)</f>
        <v/>
      </c>
      <c r="C1043" s="21" t="str">
        <f>IF(MOV_CC_NACIONAL!C1043="","",MOV_CC_NACIONAL!C1043)</f>
        <v/>
      </c>
      <c r="D1043" s="22" t="str">
        <f t="shared" si="1"/>
        <v>Other</v>
      </c>
    </row>
    <row r="1044" ht="15.75" customHeight="1">
      <c r="A1044" s="22" t="str">
        <f>IF(MOV_CC_NACIONAL!A1044="","",MOV_CC_NACIONAL!A1044)</f>
        <v/>
      </c>
      <c r="B1044" s="22" t="str">
        <f>IF(MOV_CC_NACIONAL!B1044="","",MOV_CC_NACIONAL!B1044)</f>
        <v/>
      </c>
      <c r="C1044" s="21" t="str">
        <f>IF(MOV_CC_NACIONAL!C1044="","",MOV_CC_NACIONAL!C1044)</f>
        <v/>
      </c>
      <c r="D1044" s="22" t="str">
        <f t="shared" si="1"/>
        <v>Other</v>
      </c>
    </row>
    <row r="1045" ht="15.75" customHeight="1">
      <c r="A1045" s="22" t="str">
        <f>IF(MOV_CC_NACIONAL!A1045="","",MOV_CC_NACIONAL!A1045)</f>
        <v/>
      </c>
      <c r="B1045" s="22" t="str">
        <f>IF(MOV_CC_NACIONAL!B1045="","",MOV_CC_NACIONAL!B1045)</f>
        <v/>
      </c>
      <c r="C1045" s="21" t="str">
        <f>IF(MOV_CC_NACIONAL!C1045="","",MOV_CC_NACIONAL!C1045)</f>
        <v/>
      </c>
      <c r="D1045" s="22" t="str">
        <f t="shared" si="1"/>
        <v>Other</v>
      </c>
    </row>
    <row r="1046" ht="15.75" customHeight="1">
      <c r="A1046" s="22" t="str">
        <f>IF(MOV_CC_NACIONAL!A1046="","",MOV_CC_NACIONAL!A1046)</f>
        <v/>
      </c>
      <c r="B1046" s="22" t="str">
        <f>IF(MOV_CC_NACIONAL!B1046="","",MOV_CC_NACIONAL!B1046)</f>
        <v/>
      </c>
      <c r="C1046" s="21" t="str">
        <f>IF(MOV_CC_NACIONAL!C1046="","",MOV_CC_NACIONAL!C1046)</f>
        <v/>
      </c>
      <c r="D1046" s="22" t="str">
        <f t="shared" si="1"/>
        <v>Other</v>
      </c>
    </row>
    <row r="1047" ht="15.75" customHeight="1">
      <c r="A1047" s="22" t="str">
        <f>IF(MOV_CC_NACIONAL!A1047="","",MOV_CC_NACIONAL!A1047)</f>
        <v/>
      </c>
      <c r="B1047" s="22" t="str">
        <f>IF(MOV_CC_NACIONAL!B1047="","",MOV_CC_NACIONAL!B1047)</f>
        <v/>
      </c>
      <c r="C1047" s="21" t="str">
        <f>IF(MOV_CC_NACIONAL!C1047="","",MOV_CC_NACIONAL!C1047)</f>
        <v/>
      </c>
      <c r="D1047" s="22" t="str">
        <f t="shared" si="1"/>
        <v>Other</v>
      </c>
    </row>
    <row r="1048" ht="15.75" customHeight="1">
      <c r="A1048" s="22" t="str">
        <f>IF(MOV_CC_NACIONAL!A1048="","",MOV_CC_NACIONAL!A1048)</f>
        <v/>
      </c>
      <c r="B1048" s="22" t="str">
        <f>IF(MOV_CC_NACIONAL!B1048="","",MOV_CC_NACIONAL!B1048)</f>
        <v/>
      </c>
      <c r="C1048" s="21" t="str">
        <f>IF(MOV_CC_NACIONAL!C1048="","",MOV_CC_NACIONAL!C1048)</f>
        <v/>
      </c>
      <c r="D1048" s="22" t="str">
        <f t="shared" si="1"/>
        <v>Other</v>
      </c>
    </row>
    <row r="1049" ht="15.75" customHeight="1">
      <c r="A1049" s="22" t="str">
        <f>IF(MOV_CC_NACIONAL!A1049="","",MOV_CC_NACIONAL!A1049)</f>
        <v/>
      </c>
      <c r="B1049" s="22" t="str">
        <f>IF(MOV_CC_NACIONAL!B1049="","",MOV_CC_NACIONAL!B1049)</f>
        <v/>
      </c>
      <c r="C1049" s="21" t="str">
        <f>IF(MOV_CC_NACIONAL!C1049="","",MOV_CC_NACIONAL!C1049)</f>
        <v/>
      </c>
      <c r="D1049" s="22" t="str">
        <f t="shared" si="1"/>
        <v>Other</v>
      </c>
    </row>
    <row r="1050" ht="15.75" customHeight="1">
      <c r="A1050" s="22" t="str">
        <f>IF(MOV_CC_NACIONAL!A1050="","",MOV_CC_NACIONAL!A1050)</f>
        <v/>
      </c>
      <c r="B1050" s="22" t="str">
        <f>IF(MOV_CC_NACIONAL!B1050="","",MOV_CC_NACIONAL!B1050)</f>
        <v/>
      </c>
      <c r="C1050" s="21" t="str">
        <f>IF(MOV_CC_NACIONAL!C1050="","",MOV_CC_NACIONAL!C1050)</f>
        <v/>
      </c>
      <c r="D1050" s="22" t="str">
        <f t="shared" si="1"/>
        <v>Other</v>
      </c>
    </row>
    <row r="1051" ht="15.75" customHeight="1">
      <c r="A1051" s="22" t="str">
        <f>IF(MOV_CC_NACIONAL!A1051="","",MOV_CC_NACIONAL!A1051)</f>
        <v/>
      </c>
      <c r="B1051" s="22" t="str">
        <f>IF(MOV_CC_NACIONAL!B1051="","",MOV_CC_NACIONAL!B1051)</f>
        <v/>
      </c>
      <c r="C1051" s="21" t="str">
        <f>IF(MOV_CC_NACIONAL!C1051="","",MOV_CC_NACIONAL!C1051)</f>
        <v/>
      </c>
      <c r="D1051" s="22" t="str">
        <f t="shared" si="1"/>
        <v>Other</v>
      </c>
    </row>
    <row r="1052" ht="15.75" customHeight="1">
      <c r="A1052" s="22" t="str">
        <f>IF(MOV_CC_NACIONAL!A1052="","",MOV_CC_NACIONAL!A1052)</f>
        <v/>
      </c>
      <c r="B1052" s="22" t="str">
        <f>IF(MOV_CC_NACIONAL!B1052="","",MOV_CC_NACIONAL!B1052)</f>
        <v/>
      </c>
      <c r="C1052" s="21" t="str">
        <f>IF(MOV_CC_NACIONAL!C1052="","",MOV_CC_NACIONAL!C1052)</f>
        <v/>
      </c>
      <c r="D1052" s="22" t="str">
        <f t="shared" si="1"/>
        <v>Other</v>
      </c>
    </row>
    <row r="1053" ht="15.75" customHeight="1">
      <c r="A1053" s="22" t="str">
        <f>IF(MOV_CC_NACIONAL!A1053="","",MOV_CC_NACIONAL!A1053)</f>
        <v/>
      </c>
      <c r="B1053" s="22" t="str">
        <f>IF(MOV_CC_NACIONAL!B1053="","",MOV_CC_NACIONAL!B1053)</f>
        <v/>
      </c>
      <c r="C1053" s="21" t="str">
        <f>IF(MOV_CC_NACIONAL!C1053="","",MOV_CC_NACIONAL!C1053)</f>
        <v/>
      </c>
      <c r="D1053" s="22" t="str">
        <f t="shared" si="1"/>
        <v>Other</v>
      </c>
    </row>
    <row r="1054" ht="15.75" customHeight="1">
      <c r="A1054" s="22" t="str">
        <f>IF(MOV_CC_NACIONAL!A1054="","",MOV_CC_NACIONAL!A1054)</f>
        <v/>
      </c>
      <c r="B1054" s="22" t="str">
        <f>IF(MOV_CC_NACIONAL!B1054="","",MOV_CC_NACIONAL!B1054)</f>
        <v/>
      </c>
      <c r="C1054" s="21" t="str">
        <f>IF(MOV_CC_NACIONAL!C1054="","",MOV_CC_NACIONAL!C1054)</f>
        <v/>
      </c>
      <c r="D1054" s="22" t="str">
        <f t="shared" si="1"/>
        <v>Other</v>
      </c>
    </row>
    <row r="1055" ht="15.75" customHeight="1">
      <c r="A1055" s="22" t="str">
        <f>IF(MOV_CC_NACIONAL!A1055="","",MOV_CC_NACIONAL!A1055)</f>
        <v/>
      </c>
      <c r="B1055" s="22" t="str">
        <f>IF(MOV_CC_NACIONAL!B1055="","",MOV_CC_NACIONAL!B1055)</f>
        <v/>
      </c>
      <c r="C1055" s="21" t="str">
        <f>IF(MOV_CC_NACIONAL!C1055="","",MOV_CC_NACIONAL!C1055)</f>
        <v/>
      </c>
      <c r="D1055" s="22" t="str">
        <f t="shared" si="1"/>
        <v>Other</v>
      </c>
    </row>
    <row r="1056" ht="15.75" customHeight="1">
      <c r="A1056" s="22" t="str">
        <f>IF(MOV_CC_NACIONAL!A1056="","",MOV_CC_NACIONAL!A1056)</f>
        <v/>
      </c>
      <c r="B1056" s="22" t="str">
        <f>IF(MOV_CC_NACIONAL!B1056="","",MOV_CC_NACIONAL!B1056)</f>
        <v/>
      </c>
      <c r="C1056" s="21" t="str">
        <f>IF(MOV_CC_NACIONAL!C1056="","",MOV_CC_NACIONAL!C1056)</f>
        <v/>
      </c>
      <c r="D1056" s="22" t="str">
        <f t="shared" si="1"/>
        <v>Other</v>
      </c>
    </row>
    <row r="1057" ht="15.75" customHeight="1">
      <c r="A1057" s="22" t="str">
        <f>IF(MOV_CC_NACIONAL!A1057="","",MOV_CC_NACIONAL!A1057)</f>
        <v/>
      </c>
      <c r="B1057" s="22" t="str">
        <f>IF(MOV_CC_NACIONAL!B1057="","",MOV_CC_NACIONAL!B1057)</f>
        <v/>
      </c>
      <c r="C1057" s="21" t="str">
        <f>IF(MOV_CC_NACIONAL!C1057="","",MOV_CC_NACIONAL!C1057)</f>
        <v/>
      </c>
      <c r="D1057" s="22" t="str">
        <f t="shared" si="1"/>
        <v>Other</v>
      </c>
    </row>
    <row r="1058" ht="15.75" customHeight="1">
      <c r="A1058" s="22" t="str">
        <f>IF(MOV_CC_NACIONAL!A1058="","",MOV_CC_NACIONAL!A1058)</f>
        <v/>
      </c>
      <c r="B1058" s="22" t="str">
        <f>IF(MOV_CC_NACIONAL!B1058="","",MOV_CC_NACIONAL!B1058)</f>
        <v/>
      </c>
      <c r="C1058" s="21" t="str">
        <f>IF(MOV_CC_NACIONAL!C1058="","",MOV_CC_NACIONAL!C1058)</f>
        <v/>
      </c>
      <c r="D1058" s="22" t="str">
        <f t="shared" si="1"/>
        <v>Other</v>
      </c>
    </row>
    <row r="1059" ht="15.75" customHeight="1">
      <c r="A1059" s="22" t="str">
        <f>IF(MOV_CC_NACIONAL!A1059="","",MOV_CC_NACIONAL!A1059)</f>
        <v/>
      </c>
      <c r="B1059" s="22" t="str">
        <f>IF(MOV_CC_NACIONAL!B1059="","",MOV_CC_NACIONAL!B1059)</f>
        <v/>
      </c>
      <c r="C1059" s="21" t="str">
        <f>IF(MOV_CC_NACIONAL!C1059="","",MOV_CC_NACIONAL!C1059)</f>
        <v/>
      </c>
      <c r="D1059" s="22" t="str">
        <f t="shared" si="1"/>
        <v>Other</v>
      </c>
    </row>
    <row r="1060" ht="15.75" customHeight="1">
      <c r="A1060" s="22" t="str">
        <f>IF(MOV_CC_NACIONAL!A1060="","",MOV_CC_NACIONAL!A1060)</f>
        <v/>
      </c>
      <c r="B1060" s="22" t="str">
        <f>IF(MOV_CC_NACIONAL!B1060="","",MOV_CC_NACIONAL!B1060)</f>
        <v/>
      </c>
      <c r="C1060" s="21" t="str">
        <f>IF(MOV_CC_NACIONAL!C1060="","",MOV_CC_NACIONAL!C1060)</f>
        <v/>
      </c>
      <c r="D1060" s="22" t="str">
        <f t="shared" si="1"/>
        <v>Other</v>
      </c>
    </row>
    <row r="1061" ht="15.75" customHeight="1">
      <c r="A1061" s="22" t="str">
        <f>IF(MOV_CC_NACIONAL!A1061="","",MOV_CC_NACIONAL!A1061)</f>
        <v/>
      </c>
      <c r="B1061" s="22" t="str">
        <f>IF(MOV_CC_NACIONAL!B1061="","",MOV_CC_NACIONAL!B1061)</f>
        <v/>
      </c>
      <c r="C1061" s="21" t="str">
        <f>IF(MOV_CC_NACIONAL!C1061="","",MOV_CC_NACIONAL!C1061)</f>
        <v/>
      </c>
      <c r="D1061" s="22" t="str">
        <f t="shared" si="1"/>
        <v>Other</v>
      </c>
    </row>
    <row r="1062" ht="15.75" customHeight="1">
      <c r="A1062" s="22" t="str">
        <f>IF(MOV_CC_NACIONAL!A1062="","",MOV_CC_NACIONAL!A1062)</f>
        <v/>
      </c>
      <c r="B1062" s="22" t="str">
        <f>IF(MOV_CC_NACIONAL!B1062="","",MOV_CC_NACIONAL!B1062)</f>
        <v/>
      </c>
      <c r="C1062" s="21" t="str">
        <f>IF(MOV_CC_NACIONAL!C1062="","",MOV_CC_NACIONAL!C1062)</f>
        <v/>
      </c>
      <c r="D1062" s="22" t="str">
        <f t="shared" si="1"/>
        <v>Other</v>
      </c>
    </row>
    <row r="1063" ht="15.75" customHeight="1">
      <c r="A1063" s="22" t="str">
        <f>IF(MOV_CC_NACIONAL!A1063="","",MOV_CC_NACIONAL!A1063)</f>
        <v/>
      </c>
      <c r="B1063" s="22" t="str">
        <f>IF(MOV_CC_NACIONAL!B1063="","",MOV_CC_NACIONAL!B1063)</f>
        <v/>
      </c>
      <c r="C1063" s="21" t="str">
        <f>IF(MOV_CC_NACIONAL!C1063="","",MOV_CC_NACIONAL!C1063)</f>
        <v/>
      </c>
      <c r="D1063" s="22" t="str">
        <f t="shared" si="1"/>
        <v>Other</v>
      </c>
    </row>
    <row r="1064" ht="15.75" customHeight="1">
      <c r="A1064" s="22" t="str">
        <f>IF(MOV_CC_NACIONAL!A1064="","",MOV_CC_NACIONAL!A1064)</f>
        <v/>
      </c>
      <c r="B1064" s="22" t="str">
        <f>IF(MOV_CC_NACIONAL!B1064="","",MOV_CC_NACIONAL!B1064)</f>
        <v/>
      </c>
      <c r="C1064" s="21" t="str">
        <f>IF(MOV_CC_NACIONAL!C1064="","",MOV_CC_NACIONAL!C1064)</f>
        <v/>
      </c>
      <c r="D1064" s="22" t="str">
        <f t="shared" si="1"/>
        <v>Other</v>
      </c>
    </row>
    <row r="1065" ht="15.75" customHeight="1">
      <c r="A1065" s="22" t="str">
        <f>IF(MOV_CC_NACIONAL!A1065="","",MOV_CC_NACIONAL!A1065)</f>
        <v/>
      </c>
      <c r="B1065" s="22" t="str">
        <f>IF(MOV_CC_NACIONAL!B1065="","",MOV_CC_NACIONAL!B1065)</f>
        <v/>
      </c>
      <c r="C1065" s="21" t="str">
        <f>IF(MOV_CC_NACIONAL!C1065="","",MOV_CC_NACIONAL!C1065)</f>
        <v/>
      </c>
      <c r="D1065" s="22" t="str">
        <f t="shared" si="1"/>
        <v>Other</v>
      </c>
    </row>
    <row r="1066" ht="15.75" customHeight="1">
      <c r="A1066" s="22" t="str">
        <f>IF(MOV_CC_NACIONAL!A1066="","",MOV_CC_NACIONAL!A1066)</f>
        <v/>
      </c>
      <c r="B1066" s="22" t="str">
        <f>IF(MOV_CC_NACIONAL!B1066="","",MOV_CC_NACIONAL!B1066)</f>
        <v/>
      </c>
      <c r="C1066" s="21" t="str">
        <f>IF(MOV_CC_NACIONAL!C1066="","",MOV_CC_NACIONAL!C1066)</f>
        <v/>
      </c>
      <c r="D1066" s="22" t="str">
        <f t="shared" si="1"/>
        <v>Other</v>
      </c>
    </row>
    <row r="1067" ht="15.75" customHeight="1">
      <c r="A1067" s="22" t="str">
        <f>IF(MOV_CC_NACIONAL!A1067="","",MOV_CC_NACIONAL!A1067)</f>
        <v/>
      </c>
      <c r="B1067" s="22" t="str">
        <f>IF(MOV_CC_NACIONAL!B1067="","",MOV_CC_NACIONAL!B1067)</f>
        <v/>
      </c>
      <c r="C1067" s="21" t="str">
        <f>IF(MOV_CC_NACIONAL!C1067="","",MOV_CC_NACIONAL!C1067)</f>
        <v/>
      </c>
      <c r="D1067" s="22" t="str">
        <f t="shared" si="1"/>
        <v>Other</v>
      </c>
    </row>
    <row r="1068" ht="15.75" customHeight="1">
      <c r="A1068" s="22" t="str">
        <f>IF(MOV_CC_NACIONAL!A1068="","",MOV_CC_NACIONAL!A1068)</f>
        <v/>
      </c>
      <c r="B1068" s="22" t="str">
        <f>IF(MOV_CC_NACIONAL!B1068="","",MOV_CC_NACIONAL!B1068)</f>
        <v/>
      </c>
      <c r="C1068" s="21" t="str">
        <f>IF(MOV_CC_NACIONAL!C1068="","",MOV_CC_NACIONAL!C1068)</f>
        <v/>
      </c>
      <c r="D1068" s="22" t="str">
        <f t="shared" si="1"/>
        <v>Other</v>
      </c>
    </row>
    <row r="1069" ht="15.75" customHeight="1">
      <c r="A1069" s="22" t="str">
        <f>IF(MOV_CC_NACIONAL!A1069="","",MOV_CC_NACIONAL!A1069)</f>
        <v/>
      </c>
      <c r="B1069" s="22" t="str">
        <f>IF(MOV_CC_NACIONAL!B1069="","",MOV_CC_NACIONAL!B1069)</f>
        <v/>
      </c>
      <c r="C1069" s="21" t="str">
        <f>IF(MOV_CC_NACIONAL!C1069="","",MOV_CC_NACIONAL!C1069)</f>
        <v/>
      </c>
      <c r="D1069" s="22" t="str">
        <f t="shared" si="1"/>
        <v>Other</v>
      </c>
    </row>
    <row r="1070" ht="15.75" customHeight="1">
      <c r="A1070" s="22" t="str">
        <f>IF(MOV_CC_NACIONAL!A1070="","",MOV_CC_NACIONAL!A1070)</f>
        <v/>
      </c>
      <c r="B1070" s="22" t="str">
        <f>IF(MOV_CC_NACIONAL!B1070="","",MOV_CC_NACIONAL!B1070)</f>
        <v/>
      </c>
      <c r="C1070" s="21" t="str">
        <f>IF(MOV_CC_NACIONAL!C1070="","",MOV_CC_NACIONAL!C1070)</f>
        <v/>
      </c>
      <c r="D1070" s="22" t="str">
        <f t="shared" si="1"/>
        <v>Other</v>
      </c>
    </row>
    <row r="1071" ht="15.75" customHeight="1">
      <c r="A1071" s="22" t="str">
        <f>IF(MOV_CC_NACIONAL!A1071="","",MOV_CC_NACIONAL!A1071)</f>
        <v/>
      </c>
      <c r="B1071" s="22" t="str">
        <f>IF(MOV_CC_NACIONAL!B1071="","",MOV_CC_NACIONAL!B1071)</f>
        <v/>
      </c>
      <c r="C1071" s="21" t="str">
        <f>IF(MOV_CC_NACIONAL!C1071="","",MOV_CC_NACIONAL!C1071)</f>
        <v/>
      </c>
      <c r="D1071" s="22" t="str">
        <f t="shared" si="1"/>
        <v>Other</v>
      </c>
    </row>
    <row r="1072" ht="15.75" customHeight="1">
      <c r="A1072" s="22" t="str">
        <f>IF(MOV_CC_NACIONAL!A1072="","",MOV_CC_NACIONAL!A1072)</f>
        <v/>
      </c>
      <c r="B1072" s="22" t="str">
        <f>IF(MOV_CC_NACIONAL!B1072="","",MOV_CC_NACIONAL!B1072)</f>
        <v/>
      </c>
      <c r="C1072" s="21" t="str">
        <f>IF(MOV_CC_NACIONAL!C1072="","",MOV_CC_NACIONAL!C1072)</f>
        <v/>
      </c>
      <c r="D1072" s="22" t="str">
        <f t="shared" si="1"/>
        <v>Other</v>
      </c>
    </row>
    <row r="1073" ht="15.75" customHeight="1">
      <c r="A1073" s="22" t="str">
        <f>IF(MOV_CC_NACIONAL!A1073="","",MOV_CC_NACIONAL!A1073)</f>
        <v/>
      </c>
      <c r="B1073" s="22" t="str">
        <f>IF(MOV_CC_NACIONAL!B1073="","",MOV_CC_NACIONAL!B1073)</f>
        <v/>
      </c>
      <c r="C1073" s="21" t="str">
        <f>IF(MOV_CC_NACIONAL!C1073="","",MOV_CC_NACIONAL!C1073)</f>
        <v/>
      </c>
      <c r="D1073" s="22" t="str">
        <f t="shared" si="1"/>
        <v>Other</v>
      </c>
    </row>
    <row r="1074" ht="15.75" customHeight="1">
      <c r="A1074" s="22" t="str">
        <f>IF(MOV_CC_NACIONAL!A1074="","",MOV_CC_NACIONAL!A1074)</f>
        <v/>
      </c>
      <c r="B1074" s="22" t="str">
        <f>IF(MOV_CC_NACIONAL!B1074="","",MOV_CC_NACIONAL!B1074)</f>
        <v/>
      </c>
      <c r="C1074" s="21" t="str">
        <f>IF(MOV_CC_NACIONAL!C1074="","",MOV_CC_NACIONAL!C1074)</f>
        <v/>
      </c>
      <c r="D1074" s="22" t="str">
        <f t="shared" si="1"/>
        <v>Other</v>
      </c>
    </row>
    <row r="1075" ht="15.75" customHeight="1">
      <c r="A1075" s="22" t="str">
        <f>IF(MOV_CC_NACIONAL!A1075="","",MOV_CC_NACIONAL!A1075)</f>
        <v/>
      </c>
      <c r="B1075" s="22" t="str">
        <f>IF(MOV_CC_NACIONAL!B1075="","",MOV_CC_NACIONAL!B1075)</f>
        <v/>
      </c>
      <c r="C1075" s="21" t="str">
        <f>IF(MOV_CC_NACIONAL!C1075="","",MOV_CC_NACIONAL!C1075)</f>
        <v/>
      </c>
      <c r="D1075" s="22" t="str">
        <f t="shared" si="1"/>
        <v>Other</v>
      </c>
    </row>
    <row r="1076" ht="15.75" customHeight="1">
      <c r="A1076" s="22" t="str">
        <f>IF(MOV_CC_NACIONAL!A1076="","",MOV_CC_NACIONAL!A1076)</f>
        <v/>
      </c>
      <c r="B1076" s="22" t="str">
        <f>IF(MOV_CC_NACIONAL!B1076="","",MOV_CC_NACIONAL!B1076)</f>
        <v/>
      </c>
      <c r="C1076" s="21" t="str">
        <f>IF(MOV_CC_NACIONAL!C1076="","",MOV_CC_NACIONAL!C1076)</f>
        <v/>
      </c>
      <c r="D1076" s="22" t="str">
        <f t="shared" si="1"/>
        <v>Other</v>
      </c>
    </row>
    <row r="1077" ht="15.75" customHeight="1">
      <c r="A1077" s="22" t="str">
        <f>IF(MOV_CC_NACIONAL!A1077="","",MOV_CC_NACIONAL!A1077)</f>
        <v/>
      </c>
      <c r="B1077" s="22" t="str">
        <f>IF(MOV_CC_NACIONAL!B1077="","",MOV_CC_NACIONAL!B1077)</f>
        <v/>
      </c>
      <c r="C1077" s="21" t="str">
        <f>IF(MOV_CC_NACIONAL!C1077="","",MOV_CC_NACIONAL!C1077)</f>
        <v/>
      </c>
      <c r="D1077" s="22" t="str">
        <f t="shared" si="1"/>
        <v>Other</v>
      </c>
    </row>
    <row r="1078" ht="15.75" customHeight="1">
      <c r="A1078" s="22" t="str">
        <f>IF(MOV_CC_NACIONAL!A1078="","",MOV_CC_NACIONAL!A1078)</f>
        <v/>
      </c>
      <c r="B1078" s="22" t="str">
        <f>IF(MOV_CC_NACIONAL!B1078="","",MOV_CC_NACIONAL!B1078)</f>
        <v/>
      </c>
      <c r="C1078" s="21" t="str">
        <f>IF(MOV_CC_NACIONAL!C1078="","",MOV_CC_NACIONAL!C1078)</f>
        <v/>
      </c>
      <c r="D1078" s="22" t="str">
        <f t="shared" si="1"/>
        <v>Other</v>
      </c>
    </row>
    <row r="1079" ht="15.75" customHeight="1">
      <c r="A1079" s="22" t="str">
        <f>IF(MOV_CC_NACIONAL!A1079="","",MOV_CC_NACIONAL!A1079)</f>
        <v/>
      </c>
      <c r="B1079" s="22" t="str">
        <f>IF(MOV_CC_NACIONAL!B1079="","",MOV_CC_NACIONAL!B1079)</f>
        <v/>
      </c>
      <c r="C1079" s="21" t="str">
        <f>IF(MOV_CC_NACIONAL!C1079="","",MOV_CC_NACIONAL!C1079)</f>
        <v/>
      </c>
      <c r="D1079" s="22" t="str">
        <f t="shared" si="1"/>
        <v>Other</v>
      </c>
    </row>
    <row r="1080" ht="15.75" customHeight="1">
      <c r="A1080" s="22" t="str">
        <f>IF(MOV_CC_NACIONAL!A1080="","",MOV_CC_NACIONAL!A1080)</f>
        <v/>
      </c>
      <c r="B1080" s="22" t="str">
        <f>IF(MOV_CC_NACIONAL!B1080="","",MOV_CC_NACIONAL!B1080)</f>
        <v/>
      </c>
      <c r="C1080" s="21" t="str">
        <f>IF(MOV_CC_NACIONAL!C1080="","",MOV_CC_NACIONAL!C1080)</f>
        <v/>
      </c>
      <c r="D1080" s="22" t="str">
        <f t="shared" si="1"/>
        <v>Other</v>
      </c>
    </row>
    <row r="1081" ht="15.75" customHeight="1">
      <c r="A1081" s="22" t="str">
        <f>IF(MOV_CC_NACIONAL!A1081="","",MOV_CC_NACIONAL!A1081)</f>
        <v/>
      </c>
      <c r="B1081" s="22" t="str">
        <f>IF(MOV_CC_NACIONAL!B1081="","",MOV_CC_NACIONAL!B1081)</f>
        <v/>
      </c>
      <c r="C1081" s="21" t="str">
        <f>IF(MOV_CC_NACIONAL!C1081="","",MOV_CC_NACIONAL!C1081)</f>
        <v/>
      </c>
      <c r="D1081" s="22" t="str">
        <f t="shared" si="1"/>
        <v>Other</v>
      </c>
    </row>
    <row r="1082" ht="15.75" customHeight="1">
      <c r="A1082" s="22" t="str">
        <f>IF(MOV_CC_NACIONAL!A1082="","",MOV_CC_NACIONAL!A1082)</f>
        <v/>
      </c>
      <c r="B1082" s="22" t="str">
        <f>IF(MOV_CC_NACIONAL!B1082="","",MOV_CC_NACIONAL!B1082)</f>
        <v/>
      </c>
      <c r="C1082" s="21" t="str">
        <f>IF(MOV_CC_NACIONAL!C1082="","",MOV_CC_NACIONAL!C1082)</f>
        <v/>
      </c>
      <c r="D1082" s="22" t="str">
        <f t="shared" si="1"/>
        <v>Other</v>
      </c>
    </row>
    <row r="1083" ht="15.75" customHeight="1">
      <c r="A1083" s="22" t="str">
        <f>IF(MOV_CC_NACIONAL!A1083="","",MOV_CC_NACIONAL!A1083)</f>
        <v/>
      </c>
      <c r="B1083" s="22" t="str">
        <f>IF(MOV_CC_NACIONAL!B1083="","",MOV_CC_NACIONAL!B1083)</f>
        <v/>
      </c>
      <c r="C1083" s="21" t="str">
        <f>IF(MOV_CC_NACIONAL!C1083="","",MOV_CC_NACIONAL!C1083)</f>
        <v/>
      </c>
      <c r="D1083" s="22" t="str">
        <f t="shared" si="1"/>
        <v>Other</v>
      </c>
    </row>
    <row r="1084" ht="15.75" customHeight="1">
      <c r="A1084" s="22" t="str">
        <f>IF(MOV_CC_NACIONAL!A1084="","",MOV_CC_NACIONAL!A1084)</f>
        <v/>
      </c>
      <c r="B1084" s="22" t="str">
        <f>IF(MOV_CC_NACIONAL!B1084="","",MOV_CC_NACIONAL!B1084)</f>
        <v/>
      </c>
      <c r="C1084" s="21" t="str">
        <f>IF(MOV_CC_NACIONAL!C1084="","",MOV_CC_NACIONAL!C1084)</f>
        <v/>
      </c>
      <c r="D1084" s="22" t="str">
        <f t="shared" si="1"/>
        <v>Other</v>
      </c>
    </row>
    <row r="1085" ht="15.75" customHeight="1">
      <c r="A1085" s="22" t="str">
        <f>IF(MOV_CC_NACIONAL!A1085="","",MOV_CC_NACIONAL!A1085)</f>
        <v/>
      </c>
      <c r="B1085" s="22" t="str">
        <f>IF(MOV_CC_NACIONAL!B1085="","",MOV_CC_NACIONAL!B1085)</f>
        <v/>
      </c>
      <c r="C1085" s="21" t="str">
        <f>IF(MOV_CC_NACIONAL!C1085="","",MOV_CC_NACIONAL!C1085)</f>
        <v/>
      </c>
      <c r="D1085" s="22" t="str">
        <f t="shared" si="1"/>
        <v>Other</v>
      </c>
    </row>
    <row r="1086" ht="15.75" customHeight="1">
      <c r="A1086" s="22" t="str">
        <f>IF(MOV_CC_NACIONAL!A1086="","",MOV_CC_NACIONAL!A1086)</f>
        <v/>
      </c>
      <c r="B1086" s="22" t="str">
        <f>IF(MOV_CC_NACIONAL!B1086="","",MOV_CC_NACIONAL!B1086)</f>
        <v/>
      </c>
      <c r="C1086" s="21" t="str">
        <f>IF(MOV_CC_NACIONAL!C1086="","",MOV_CC_NACIONAL!C1086)</f>
        <v/>
      </c>
      <c r="D1086" s="22" t="str">
        <f t="shared" si="1"/>
        <v>Other</v>
      </c>
    </row>
    <row r="1087" ht="15.75" customHeight="1">
      <c r="A1087" s="22" t="str">
        <f>IF(MOV_CC_NACIONAL!A1087="","",MOV_CC_NACIONAL!A1087)</f>
        <v/>
      </c>
      <c r="B1087" s="22" t="str">
        <f>IF(MOV_CC_NACIONAL!B1087="","",MOV_CC_NACIONAL!B1087)</f>
        <v/>
      </c>
      <c r="C1087" s="21" t="str">
        <f>IF(MOV_CC_NACIONAL!C1087="","",MOV_CC_NACIONAL!C1087)</f>
        <v/>
      </c>
      <c r="D1087" s="22" t="str">
        <f t="shared" si="1"/>
        <v>Other</v>
      </c>
    </row>
    <row r="1088" ht="15.75" customHeight="1">
      <c r="A1088" s="22" t="str">
        <f>IF(MOV_CC_NACIONAL!A1088="","",MOV_CC_NACIONAL!A1088)</f>
        <v/>
      </c>
      <c r="B1088" s="22" t="str">
        <f>IF(MOV_CC_NACIONAL!B1088="","",MOV_CC_NACIONAL!B1088)</f>
        <v/>
      </c>
      <c r="C1088" s="21" t="str">
        <f>IF(MOV_CC_NACIONAL!C1088="","",MOV_CC_NACIONAL!C1088)</f>
        <v/>
      </c>
      <c r="D1088" s="22" t="str">
        <f t="shared" si="1"/>
        <v>Other</v>
      </c>
    </row>
    <row r="1089" ht="15.75" customHeight="1">
      <c r="A1089" s="22" t="str">
        <f>IF(MOV_CC_NACIONAL!A1089="","",MOV_CC_NACIONAL!A1089)</f>
        <v/>
      </c>
      <c r="B1089" s="22" t="str">
        <f>IF(MOV_CC_NACIONAL!B1089="","",MOV_CC_NACIONAL!B1089)</f>
        <v/>
      </c>
      <c r="C1089" s="21" t="str">
        <f>IF(MOV_CC_NACIONAL!C1089="","",MOV_CC_NACIONAL!C1089)</f>
        <v/>
      </c>
      <c r="D1089" s="22" t="str">
        <f t="shared" si="1"/>
        <v>Other</v>
      </c>
    </row>
    <row r="1090" ht="15.75" customHeight="1">
      <c r="A1090" s="22" t="str">
        <f>IF(MOV_CC_NACIONAL!A1090="","",MOV_CC_NACIONAL!A1090)</f>
        <v/>
      </c>
      <c r="B1090" s="22" t="str">
        <f>IF(MOV_CC_NACIONAL!B1090="","",MOV_CC_NACIONAL!B1090)</f>
        <v/>
      </c>
      <c r="C1090" s="21" t="str">
        <f>IF(MOV_CC_NACIONAL!C1090="","",MOV_CC_NACIONAL!C1090)</f>
        <v/>
      </c>
      <c r="D1090" s="22" t="str">
        <f t="shared" si="1"/>
        <v>Other</v>
      </c>
    </row>
    <row r="1091" ht="15.75" customHeight="1">
      <c r="A1091" s="22" t="str">
        <f>IF(MOV_CC_NACIONAL!A1091="","",MOV_CC_NACIONAL!A1091)</f>
        <v/>
      </c>
      <c r="B1091" s="22" t="str">
        <f>IF(MOV_CC_NACIONAL!B1091="","",MOV_CC_NACIONAL!B1091)</f>
        <v/>
      </c>
      <c r="C1091" s="21" t="str">
        <f>IF(MOV_CC_NACIONAL!C1091="","",MOV_CC_NACIONAL!C1091)</f>
        <v/>
      </c>
      <c r="D1091" s="22" t="str">
        <f t="shared" si="1"/>
        <v>Other</v>
      </c>
    </row>
    <row r="1092" ht="15.75" customHeight="1">
      <c r="A1092" s="22" t="str">
        <f>IF(MOV_CC_NACIONAL!A1092="","",MOV_CC_NACIONAL!A1092)</f>
        <v/>
      </c>
      <c r="B1092" s="22" t="str">
        <f>IF(MOV_CC_NACIONAL!B1092="","",MOV_CC_NACIONAL!B1092)</f>
        <v/>
      </c>
      <c r="C1092" s="21" t="str">
        <f>IF(MOV_CC_NACIONAL!C1092="","",MOV_CC_NACIONAL!C1092)</f>
        <v/>
      </c>
      <c r="D1092" s="22" t="str">
        <f t="shared" si="1"/>
        <v>Other</v>
      </c>
    </row>
    <row r="1093" ht="15.75" customHeight="1">
      <c r="A1093" s="22" t="str">
        <f>IF(MOV_CC_NACIONAL!A1093="","",MOV_CC_NACIONAL!A1093)</f>
        <v/>
      </c>
      <c r="B1093" s="22" t="str">
        <f>IF(MOV_CC_NACIONAL!B1093="","",MOV_CC_NACIONAL!B1093)</f>
        <v/>
      </c>
      <c r="C1093" s="21" t="str">
        <f>IF(MOV_CC_NACIONAL!C1093="","",MOV_CC_NACIONAL!C1093)</f>
        <v/>
      </c>
      <c r="D1093" s="22" t="str">
        <f t="shared" si="1"/>
        <v>Other</v>
      </c>
    </row>
    <row r="1094" ht="15.75" customHeight="1">
      <c r="A1094" s="22" t="str">
        <f>IF(MOV_CC_NACIONAL!A1094="","",MOV_CC_NACIONAL!A1094)</f>
        <v/>
      </c>
      <c r="B1094" s="22" t="str">
        <f>IF(MOV_CC_NACIONAL!B1094="","",MOV_CC_NACIONAL!B1094)</f>
        <v/>
      </c>
      <c r="C1094" s="21" t="str">
        <f>IF(MOV_CC_NACIONAL!C1094="","",MOV_CC_NACIONAL!C1094)</f>
        <v/>
      </c>
      <c r="D1094" s="22" t="str">
        <f t="shared" si="1"/>
        <v>Other</v>
      </c>
    </row>
    <row r="1095" ht="15.75" customHeight="1">
      <c r="A1095" s="22" t="str">
        <f>IF(MOV_CC_NACIONAL!A1095="","",MOV_CC_NACIONAL!A1095)</f>
        <v/>
      </c>
      <c r="B1095" s="22" t="str">
        <f>IF(MOV_CC_NACIONAL!B1095="","",MOV_CC_NACIONAL!B1095)</f>
        <v/>
      </c>
      <c r="C1095" s="21" t="str">
        <f>IF(MOV_CC_NACIONAL!C1095="","",MOV_CC_NACIONAL!C1095)</f>
        <v/>
      </c>
      <c r="D1095" s="22" t="str">
        <f t="shared" si="1"/>
        <v>Other</v>
      </c>
    </row>
    <row r="1096" ht="15.75" customHeight="1">
      <c r="A1096" s="22" t="str">
        <f>IF(MOV_CC_NACIONAL!A1096="","",MOV_CC_NACIONAL!A1096)</f>
        <v/>
      </c>
      <c r="B1096" s="22" t="str">
        <f>IF(MOV_CC_NACIONAL!B1096="","",MOV_CC_NACIONAL!B1096)</f>
        <v/>
      </c>
      <c r="C1096" s="21" t="str">
        <f>IF(MOV_CC_NACIONAL!C1096="","",MOV_CC_NACIONAL!C1096)</f>
        <v/>
      </c>
      <c r="D1096" s="22" t="str">
        <f t="shared" si="1"/>
        <v>Other</v>
      </c>
    </row>
    <row r="1097" ht="15.75" customHeight="1">
      <c r="A1097" s="22" t="str">
        <f>IF(MOV_CC_NACIONAL!A1097="","",MOV_CC_NACIONAL!A1097)</f>
        <v/>
      </c>
      <c r="B1097" s="22" t="str">
        <f>IF(MOV_CC_NACIONAL!B1097="","",MOV_CC_NACIONAL!B1097)</f>
        <v/>
      </c>
      <c r="C1097" s="21" t="str">
        <f>IF(MOV_CC_NACIONAL!C1097="","",MOV_CC_NACIONAL!C1097)</f>
        <v/>
      </c>
      <c r="D1097" s="22" t="str">
        <f t="shared" si="1"/>
        <v>Other</v>
      </c>
    </row>
    <row r="1098" ht="15.75" customHeight="1">
      <c r="A1098" s="22" t="str">
        <f>IF(MOV_CC_NACIONAL!A1098="","",MOV_CC_NACIONAL!A1098)</f>
        <v/>
      </c>
      <c r="B1098" s="22" t="str">
        <f>IF(MOV_CC_NACIONAL!B1098="","",MOV_CC_NACIONAL!B1098)</f>
        <v/>
      </c>
      <c r="C1098" s="21" t="str">
        <f>IF(MOV_CC_NACIONAL!C1098="","",MOV_CC_NACIONAL!C1098)</f>
        <v/>
      </c>
      <c r="D1098" s="22" t="str">
        <f t="shared" si="1"/>
        <v>Other</v>
      </c>
    </row>
    <row r="1099" ht="15.75" customHeight="1">
      <c r="A1099" s="22" t="str">
        <f>IF(MOV_CC_NACIONAL!A1099="","",MOV_CC_NACIONAL!A1099)</f>
        <v/>
      </c>
      <c r="B1099" s="22" t="str">
        <f>IF(MOV_CC_NACIONAL!B1099="","",MOV_CC_NACIONAL!B1099)</f>
        <v/>
      </c>
      <c r="C1099" s="21" t="str">
        <f>IF(MOV_CC_NACIONAL!C1099="","",MOV_CC_NACIONAL!C1099)</f>
        <v/>
      </c>
      <c r="D1099" s="22" t="str">
        <f t="shared" si="1"/>
        <v>Other</v>
      </c>
    </row>
    <row r="1100" ht="15.75" customHeight="1">
      <c r="A1100" s="22" t="str">
        <f>IF(MOV_CC_NACIONAL!A1100="","",MOV_CC_NACIONAL!A1100)</f>
        <v/>
      </c>
      <c r="B1100" s="22" t="str">
        <f>IF(MOV_CC_NACIONAL!B1100="","",MOV_CC_NACIONAL!B1100)</f>
        <v/>
      </c>
      <c r="C1100" s="21" t="str">
        <f>IF(MOV_CC_NACIONAL!C1100="","",MOV_CC_NACIONAL!C1100)</f>
        <v/>
      </c>
      <c r="D1100" s="22" t="str">
        <f t="shared" si="1"/>
        <v>Other</v>
      </c>
    </row>
    <row r="1101" ht="15.75" customHeight="1">
      <c r="A1101" s="22" t="str">
        <f>IF(MOV_CC_NACIONAL!A1101="","",MOV_CC_NACIONAL!A1101)</f>
        <v/>
      </c>
      <c r="B1101" s="22" t="str">
        <f>IF(MOV_CC_NACIONAL!B1101="","",MOV_CC_NACIONAL!B1101)</f>
        <v/>
      </c>
      <c r="C1101" s="21" t="str">
        <f>IF(MOV_CC_NACIONAL!C1101="","",MOV_CC_NACIONAL!C1101)</f>
        <v/>
      </c>
      <c r="D1101" s="22" t="str">
        <f t="shared" si="1"/>
        <v>Other</v>
      </c>
    </row>
    <row r="1102" ht="15.75" customHeight="1">
      <c r="A1102" s="22" t="str">
        <f>IF(MOV_CC_NACIONAL!A1102="","",MOV_CC_NACIONAL!A1102)</f>
        <v/>
      </c>
      <c r="B1102" s="22" t="str">
        <f>IF(MOV_CC_NACIONAL!B1102="","",MOV_CC_NACIONAL!B1102)</f>
        <v/>
      </c>
      <c r="C1102" s="21" t="str">
        <f>IF(MOV_CC_NACIONAL!C1102="","",MOV_CC_NACIONAL!C1102)</f>
        <v/>
      </c>
      <c r="D1102" s="22" t="str">
        <f t="shared" si="1"/>
        <v>Other</v>
      </c>
    </row>
    <row r="1103" ht="15.75" customHeight="1">
      <c r="A1103" s="22" t="str">
        <f>IF(MOV_CC_NACIONAL!A1103="","",MOV_CC_NACIONAL!A1103)</f>
        <v/>
      </c>
      <c r="B1103" s="22" t="str">
        <f>IF(MOV_CC_NACIONAL!B1103="","",MOV_CC_NACIONAL!B1103)</f>
        <v/>
      </c>
      <c r="C1103" s="21" t="str">
        <f>IF(MOV_CC_NACIONAL!C1103="","",MOV_CC_NACIONAL!C1103)</f>
        <v/>
      </c>
      <c r="D1103" s="22" t="str">
        <f t="shared" si="1"/>
        <v>Other</v>
      </c>
    </row>
    <row r="1104" ht="15.75" customHeight="1">
      <c r="A1104" s="22" t="str">
        <f>IF(MOV_CC_NACIONAL!A1104="","",MOV_CC_NACIONAL!A1104)</f>
        <v/>
      </c>
      <c r="B1104" s="22" t="str">
        <f>IF(MOV_CC_NACIONAL!B1104="","",MOV_CC_NACIONAL!B1104)</f>
        <v/>
      </c>
      <c r="C1104" s="21" t="str">
        <f>IF(MOV_CC_NACIONAL!C1104="","",MOV_CC_NACIONAL!C1104)</f>
        <v/>
      </c>
      <c r="D1104" s="22" t="str">
        <f t="shared" si="1"/>
        <v>Other</v>
      </c>
    </row>
    <row r="1105" ht="15.75" customHeight="1">
      <c r="A1105" s="22" t="str">
        <f>IF(MOV_CC_NACIONAL!A1105="","",MOV_CC_NACIONAL!A1105)</f>
        <v/>
      </c>
      <c r="B1105" s="22" t="str">
        <f>IF(MOV_CC_NACIONAL!B1105="","",MOV_CC_NACIONAL!B1105)</f>
        <v/>
      </c>
      <c r="C1105" s="21" t="str">
        <f>IF(MOV_CC_NACIONAL!C1105="","",MOV_CC_NACIONAL!C1105)</f>
        <v/>
      </c>
      <c r="D1105" s="22" t="str">
        <f t="shared" si="1"/>
        <v>Other</v>
      </c>
    </row>
    <row r="1106" ht="15.75" customHeight="1">
      <c r="A1106" s="22" t="str">
        <f>IF(MOV_CC_NACIONAL!A1106="","",MOV_CC_NACIONAL!A1106)</f>
        <v/>
      </c>
      <c r="B1106" s="22" t="str">
        <f>IF(MOV_CC_NACIONAL!B1106="","",MOV_CC_NACIONAL!B1106)</f>
        <v/>
      </c>
      <c r="C1106" s="21" t="str">
        <f>IF(MOV_CC_NACIONAL!C1106="","",MOV_CC_NACIONAL!C1106)</f>
        <v/>
      </c>
      <c r="D1106" s="22" t="str">
        <f t="shared" si="1"/>
        <v>Other</v>
      </c>
    </row>
    <row r="1107" ht="15.75" customHeight="1">
      <c r="A1107" s="22" t="str">
        <f>IF(MOV_CC_NACIONAL!A1107="","",MOV_CC_NACIONAL!A1107)</f>
        <v/>
      </c>
      <c r="B1107" s="22" t="str">
        <f>IF(MOV_CC_NACIONAL!B1107="","",MOV_CC_NACIONAL!B1107)</f>
        <v/>
      </c>
      <c r="C1107" s="21" t="str">
        <f>IF(MOV_CC_NACIONAL!C1107="","",MOV_CC_NACIONAL!C1107)</f>
        <v/>
      </c>
      <c r="D1107" s="22" t="str">
        <f t="shared" si="1"/>
        <v>Other</v>
      </c>
    </row>
    <row r="1108" ht="15.75" customHeight="1">
      <c r="A1108" s="22" t="str">
        <f>IF(MOV_CC_NACIONAL!A1108="","",MOV_CC_NACIONAL!A1108)</f>
        <v/>
      </c>
      <c r="B1108" s="22" t="str">
        <f>IF(MOV_CC_NACIONAL!B1108="","",MOV_CC_NACIONAL!B1108)</f>
        <v/>
      </c>
      <c r="C1108" s="21" t="str">
        <f>IF(MOV_CC_NACIONAL!C1108="","",MOV_CC_NACIONAL!C1108)</f>
        <v/>
      </c>
      <c r="D1108" s="22" t="str">
        <f t="shared" si="1"/>
        <v>Other</v>
      </c>
    </row>
    <row r="1109" ht="15.75" customHeight="1">
      <c r="A1109" s="22" t="str">
        <f>IF(MOV_CC_NACIONAL!A1109="","",MOV_CC_NACIONAL!A1109)</f>
        <v/>
      </c>
      <c r="B1109" s="22" t="str">
        <f>IF(MOV_CC_NACIONAL!B1109="","",MOV_CC_NACIONAL!B1109)</f>
        <v/>
      </c>
      <c r="C1109" s="21" t="str">
        <f>IF(MOV_CC_NACIONAL!C1109="","",MOV_CC_NACIONAL!C1109)</f>
        <v/>
      </c>
      <c r="D1109" s="22" t="str">
        <f t="shared" si="1"/>
        <v>Other</v>
      </c>
    </row>
    <row r="1110" ht="15.75" customHeight="1">
      <c r="A1110" s="22" t="str">
        <f>IF(MOV_CC_NACIONAL!A1110="","",MOV_CC_NACIONAL!A1110)</f>
        <v/>
      </c>
      <c r="B1110" s="22" t="str">
        <f>IF(MOV_CC_NACIONAL!B1110="","",MOV_CC_NACIONAL!B1110)</f>
        <v/>
      </c>
      <c r="C1110" s="21" t="str">
        <f>IF(MOV_CC_NACIONAL!C1110="","",MOV_CC_NACIONAL!C1110)</f>
        <v/>
      </c>
      <c r="D1110" s="22" t="str">
        <f t="shared" si="1"/>
        <v>Other</v>
      </c>
    </row>
    <row r="1111" ht="15.75" customHeight="1">
      <c r="A1111" s="22" t="str">
        <f>IF(MOV_CC_NACIONAL!A1111="","",MOV_CC_NACIONAL!A1111)</f>
        <v/>
      </c>
      <c r="B1111" s="22" t="str">
        <f>IF(MOV_CC_NACIONAL!B1111="","",MOV_CC_NACIONAL!B1111)</f>
        <v/>
      </c>
      <c r="C1111" s="21" t="str">
        <f>IF(MOV_CC_NACIONAL!C1111="","",MOV_CC_NACIONAL!C1111)</f>
        <v/>
      </c>
      <c r="D1111" s="22" t="str">
        <f t="shared" si="1"/>
        <v>Other</v>
      </c>
    </row>
    <row r="1112" ht="15.75" customHeight="1">
      <c r="A1112" s="22" t="str">
        <f>IF(MOV_CC_NACIONAL!A1112="","",MOV_CC_NACIONAL!A1112)</f>
        <v/>
      </c>
      <c r="B1112" s="22" t="str">
        <f>IF(MOV_CC_NACIONAL!B1112="","",MOV_CC_NACIONAL!B1112)</f>
        <v/>
      </c>
      <c r="C1112" s="21" t="str">
        <f>IF(MOV_CC_NACIONAL!C1112="","",MOV_CC_NACIONAL!C1112)</f>
        <v/>
      </c>
      <c r="D1112" s="22" t="str">
        <f t="shared" si="1"/>
        <v>Other</v>
      </c>
    </row>
    <row r="1113" ht="15.75" customHeight="1">
      <c r="A1113" s="22" t="str">
        <f>IF(MOV_CC_NACIONAL!A1113="","",MOV_CC_NACIONAL!A1113)</f>
        <v/>
      </c>
      <c r="B1113" s="22" t="str">
        <f>IF(MOV_CC_NACIONAL!B1113="","",MOV_CC_NACIONAL!B1113)</f>
        <v/>
      </c>
      <c r="C1113" s="21" t="str">
        <f>IF(MOV_CC_NACIONAL!C1113="","",MOV_CC_NACIONAL!C1113)</f>
        <v/>
      </c>
      <c r="D1113" s="22" t="str">
        <f t="shared" si="1"/>
        <v>Other</v>
      </c>
    </row>
    <row r="1114" ht="15.75" customHeight="1">
      <c r="A1114" s="22" t="str">
        <f>IF(MOV_CC_NACIONAL!A1114="","",MOV_CC_NACIONAL!A1114)</f>
        <v/>
      </c>
      <c r="B1114" s="22" t="str">
        <f>IF(MOV_CC_NACIONAL!B1114="","",MOV_CC_NACIONAL!B1114)</f>
        <v/>
      </c>
      <c r="C1114" s="21" t="str">
        <f>IF(MOV_CC_NACIONAL!C1114="","",MOV_CC_NACIONAL!C1114)</f>
        <v/>
      </c>
      <c r="D1114" s="22" t="str">
        <f t="shared" si="1"/>
        <v>Other</v>
      </c>
    </row>
    <row r="1115" ht="15.75" customHeight="1">
      <c r="A1115" s="22" t="str">
        <f>IF(MOV_CC_NACIONAL!A1115="","",MOV_CC_NACIONAL!A1115)</f>
        <v/>
      </c>
      <c r="B1115" s="22" t="str">
        <f>IF(MOV_CC_NACIONAL!B1115="","",MOV_CC_NACIONAL!B1115)</f>
        <v/>
      </c>
      <c r="C1115" s="21" t="str">
        <f>IF(MOV_CC_NACIONAL!C1115="","",MOV_CC_NACIONAL!C1115)</f>
        <v/>
      </c>
      <c r="D1115" s="22" t="str">
        <f t="shared" si="1"/>
        <v>Other</v>
      </c>
    </row>
    <row r="1116" ht="15.75" customHeight="1">
      <c r="A1116" s="22" t="str">
        <f>IF(MOV_CC_NACIONAL!A1116="","",MOV_CC_NACIONAL!A1116)</f>
        <v/>
      </c>
      <c r="B1116" s="22" t="str">
        <f>IF(MOV_CC_NACIONAL!B1116="","",MOV_CC_NACIONAL!B1116)</f>
        <v/>
      </c>
      <c r="C1116" s="21" t="str">
        <f>IF(MOV_CC_NACIONAL!C1116="","",MOV_CC_NACIONAL!C1116)</f>
        <v/>
      </c>
      <c r="D1116" s="22" t="str">
        <f t="shared" si="1"/>
        <v>Other</v>
      </c>
    </row>
    <row r="1117" ht="15.75" customHeight="1">
      <c r="A1117" s="22" t="str">
        <f>IF(MOV_CC_NACIONAL!A1117="","",MOV_CC_NACIONAL!A1117)</f>
        <v/>
      </c>
      <c r="B1117" s="22" t="str">
        <f>IF(MOV_CC_NACIONAL!B1117="","",MOV_CC_NACIONAL!B1117)</f>
        <v/>
      </c>
      <c r="C1117" s="21" t="str">
        <f>IF(MOV_CC_NACIONAL!C1117="","",MOV_CC_NACIONAL!C1117)</f>
        <v/>
      </c>
      <c r="D1117" s="22" t="str">
        <f t="shared" si="1"/>
        <v>Other</v>
      </c>
    </row>
    <row r="1118" ht="15.75" customHeight="1">
      <c r="A1118" s="22" t="str">
        <f>IF(MOV_CC_NACIONAL!A1118="","",MOV_CC_NACIONAL!A1118)</f>
        <v/>
      </c>
      <c r="B1118" s="22" t="str">
        <f>IF(MOV_CC_NACIONAL!B1118="","",MOV_CC_NACIONAL!B1118)</f>
        <v/>
      </c>
      <c r="C1118" s="21" t="str">
        <f>IF(MOV_CC_NACIONAL!C1118="","",MOV_CC_NACIONAL!C1118)</f>
        <v/>
      </c>
      <c r="D1118" s="22" t="str">
        <f t="shared" si="1"/>
        <v>Other</v>
      </c>
    </row>
    <row r="1119" ht="15.75" customHeight="1">
      <c r="A1119" s="22" t="str">
        <f>IF(MOV_CC_NACIONAL!A1119="","",MOV_CC_NACIONAL!A1119)</f>
        <v/>
      </c>
      <c r="B1119" s="22" t="str">
        <f>IF(MOV_CC_NACIONAL!B1119="","",MOV_CC_NACIONAL!B1119)</f>
        <v/>
      </c>
      <c r="C1119" s="21" t="str">
        <f>IF(MOV_CC_NACIONAL!C1119="","",MOV_CC_NACIONAL!C1119)</f>
        <v/>
      </c>
      <c r="D1119" s="22" t="str">
        <f t="shared" si="1"/>
        <v>Other</v>
      </c>
    </row>
    <row r="1120" ht="15.75" customHeight="1">
      <c r="A1120" s="22" t="str">
        <f>IF(MOV_CC_NACIONAL!A1120="","",MOV_CC_NACIONAL!A1120)</f>
        <v/>
      </c>
      <c r="B1120" s="22" t="str">
        <f>IF(MOV_CC_NACIONAL!B1120="","",MOV_CC_NACIONAL!B1120)</f>
        <v/>
      </c>
      <c r="C1120" s="21" t="str">
        <f>IF(MOV_CC_NACIONAL!C1120="","",MOV_CC_NACIONAL!C1120)</f>
        <v/>
      </c>
      <c r="D1120" s="22" t="str">
        <f t="shared" si="1"/>
        <v>Other</v>
      </c>
    </row>
    <row r="1121" ht="15.75" customHeight="1">
      <c r="A1121" s="22" t="str">
        <f>IF(MOV_CC_NACIONAL!A1121="","",MOV_CC_NACIONAL!A1121)</f>
        <v/>
      </c>
      <c r="B1121" s="22" t="str">
        <f>IF(MOV_CC_NACIONAL!B1121="","",MOV_CC_NACIONAL!B1121)</f>
        <v/>
      </c>
      <c r="C1121" s="21" t="str">
        <f>IF(MOV_CC_NACIONAL!C1121="","",MOV_CC_NACIONAL!C1121)</f>
        <v/>
      </c>
      <c r="D1121" s="22" t="str">
        <f t="shared" si="1"/>
        <v>Other</v>
      </c>
    </row>
    <row r="1122" ht="15.75" customHeight="1">
      <c r="A1122" s="22" t="str">
        <f>IF(MOV_CC_NACIONAL!A1122="","",MOV_CC_NACIONAL!A1122)</f>
        <v/>
      </c>
      <c r="B1122" s="22" t="str">
        <f>IF(MOV_CC_NACIONAL!B1122="","",MOV_CC_NACIONAL!B1122)</f>
        <v/>
      </c>
      <c r="C1122" s="21" t="str">
        <f>IF(MOV_CC_NACIONAL!C1122="","",MOV_CC_NACIONAL!C1122)</f>
        <v/>
      </c>
      <c r="D1122" s="22" t="str">
        <f t="shared" si="1"/>
        <v>Other</v>
      </c>
    </row>
    <row r="1123" ht="15.75" customHeight="1">
      <c r="A1123" s="22" t="str">
        <f>IF(MOV_CC_NACIONAL!A1123="","",MOV_CC_NACIONAL!A1123)</f>
        <v/>
      </c>
      <c r="B1123" s="22" t="str">
        <f>IF(MOV_CC_NACIONAL!B1123="","",MOV_CC_NACIONAL!B1123)</f>
        <v/>
      </c>
      <c r="C1123" s="21" t="str">
        <f>IF(MOV_CC_NACIONAL!C1123="","",MOV_CC_NACIONAL!C1123)</f>
        <v/>
      </c>
      <c r="D1123" s="22" t="str">
        <f t="shared" si="1"/>
        <v>Other</v>
      </c>
    </row>
    <row r="1124" ht="15.75" customHeight="1">
      <c r="A1124" s="22" t="str">
        <f>IF(MOV_CC_NACIONAL!A1124="","",MOV_CC_NACIONAL!A1124)</f>
        <v/>
      </c>
      <c r="B1124" s="22" t="str">
        <f>IF(MOV_CC_NACIONAL!B1124="","",MOV_CC_NACIONAL!B1124)</f>
        <v/>
      </c>
      <c r="C1124" s="21" t="str">
        <f>IF(MOV_CC_NACIONAL!C1124="","",MOV_CC_NACIONAL!C1124)</f>
        <v/>
      </c>
      <c r="D1124" s="22" t="str">
        <f t="shared" si="1"/>
        <v>Other</v>
      </c>
    </row>
    <row r="1125" ht="15.75" customHeight="1">
      <c r="A1125" s="22" t="str">
        <f>IF(MOV_CC_NACIONAL!A1125="","",MOV_CC_NACIONAL!A1125)</f>
        <v/>
      </c>
      <c r="B1125" s="22" t="str">
        <f>IF(MOV_CC_NACIONAL!B1125="","",MOV_CC_NACIONAL!B1125)</f>
        <v/>
      </c>
      <c r="C1125" s="21" t="str">
        <f>IF(MOV_CC_NACIONAL!C1125="","",MOV_CC_NACIONAL!C1125)</f>
        <v/>
      </c>
      <c r="D1125" s="22" t="str">
        <f t="shared" si="1"/>
        <v>Other</v>
      </c>
    </row>
    <row r="1126" ht="15.75" customHeight="1">
      <c r="A1126" s="22" t="str">
        <f>IF(MOV_CC_NACIONAL!A1126="","",MOV_CC_NACIONAL!A1126)</f>
        <v/>
      </c>
      <c r="B1126" s="22" t="str">
        <f>IF(MOV_CC_NACIONAL!B1126="","",MOV_CC_NACIONAL!B1126)</f>
        <v/>
      </c>
      <c r="C1126" s="21" t="str">
        <f>IF(MOV_CC_NACIONAL!C1126="","",MOV_CC_NACIONAL!C1126)</f>
        <v/>
      </c>
      <c r="D1126" s="22" t="str">
        <f t="shared" si="1"/>
        <v>Other</v>
      </c>
    </row>
    <row r="1127" ht="15.75" customHeight="1">
      <c r="A1127" s="22" t="str">
        <f>IF(MOV_CC_NACIONAL!A1127="","",MOV_CC_NACIONAL!A1127)</f>
        <v/>
      </c>
      <c r="B1127" s="22" t="str">
        <f>IF(MOV_CC_NACIONAL!B1127="","",MOV_CC_NACIONAL!B1127)</f>
        <v/>
      </c>
      <c r="C1127" s="21" t="str">
        <f>IF(MOV_CC_NACIONAL!C1127="","",MOV_CC_NACIONAL!C1127)</f>
        <v/>
      </c>
      <c r="D1127" s="22" t="str">
        <f t="shared" si="1"/>
        <v>Other</v>
      </c>
    </row>
    <row r="1128" ht="15.75" customHeight="1">
      <c r="A1128" s="22" t="str">
        <f>IF(MOV_CC_NACIONAL!A1128="","",MOV_CC_NACIONAL!A1128)</f>
        <v/>
      </c>
      <c r="B1128" s="22" t="str">
        <f>IF(MOV_CC_NACIONAL!B1128="","",MOV_CC_NACIONAL!B1128)</f>
        <v/>
      </c>
      <c r="C1128" s="21" t="str">
        <f>IF(MOV_CC_NACIONAL!C1128="","",MOV_CC_NACIONAL!C1128)</f>
        <v/>
      </c>
      <c r="D1128" s="22" t="str">
        <f t="shared" si="1"/>
        <v>Other</v>
      </c>
    </row>
    <row r="1129" ht="15.75" customHeight="1">
      <c r="A1129" s="22" t="str">
        <f>IF(MOV_CC_NACIONAL!A1129="","",MOV_CC_NACIONAL!A1129)</f>
        <v/>
      </c>
      <c r="B1129" s="22" t="str">
        <f>IF(MOV_CC_NACIONAL!B1129="","",MOV_CC_NACIONAL!B1129)</f>
        <v/>
      </c>
      <c r="C1129" s="21" t="str">
        <f>IF(MOV_CC_NACIONAL!C1129="","",MOV_CC_NACIONAL!C1129)</f>
        <v/>
      </c>
      <c r="D1129" s="22" t="str">
        <f t="shared" si="1"/>
        <v>Other</v>
      </c>
    </row>
    <row r="1130" ht="15.75" customHeight="1">
      <c r="A1130" s="22" t="str">
        <f>IF(MOV_CC_NACIONAL!A1130="","",MOV_CC_NACIONAL!A1130)</f>
        <v/>
      </c>
      <c r="B1130" s="22" t="str">
        <f>IF(MOV_CC_NACIONAL!B1130="","",MOV_CC_NACIONAL!B1130)</f>
        <v/>
      </c>
      <c r="C1130" s="21" t="str">
        <f>IF(MOV_CC_NACIONAL!C1130="","",MOV_CC_NACIONAL!C1130)</f>
        <v/>
      </c>
      <c r="D1130" s="22" t="str">
        <f t="shared" si="1"/>
        <v>Other</v>
      </c>
    </row>
    <row r="1131" ht="15.75" customHeight="1">
      <c r="A1131" s="22" t="str">
        <f>IF(MOV_CC_NACIONAL!A1131="","",MOV_CC_NACIONAL!A1131)</f>
        <v/>
      </c>
      <c r="B1131" s="22" t="str">
        <f>IF(MOV_CC_NACIONAL!B1131="","",MOV_CC_NACIONAL!B1131)</f>
        <v/>
      </c>
      <c r="C1131" s="21" t="str">
        <f>IF(MOV_CC_NACIONAL!C1131="","",MOV_CC_NACIONAL!C1131)</f>
        <v/>
      </c>
      <c r="D1131" s="22" t="str">
        <f t="shared" si="1"/>
        <v>Other</v>
      </c>
    </row>
    <row r="1132" ht="15.75" customHeight="1">
      <c r="A1132" s="22" t="str">
        <f>IF(MOV_CC_NACIONAL!A1132="","",MOV_CC_NACIONAL!A1132)</f>
        <v/>
      </c>
      <c r="B1132" s="22" t="str">
        <f>IF(MOV_CC_NACIONAL!B1132="","",MOV_CC_NACIONAL!B1132)</f>
        <v/>
      </c>
      <c r="C1132" s="21" t="str">
        <f>IF(MOV_CC_NACIONAL!C1132="","",MOV_CC_NACIONAL!C1132)</f>
        <v/>
      </c>
      <c r="D1132" s="22" t="str">
        <f t="shared" si="1"/>
        <v>Other</v>
      </c>
    </row>
    <row r="1133" ht="15.75" customHeight="1">
      <c r="A1133" s="22" t="str">
        <f>IF(MOV_CC_NACIONAL!A1133="","",MOV_CC_NACIONAL!A1133)</f>
        <v/>
      </c>
      <c r="B1133" s="22" t="str">
        <f>IF(MOV_CC_NACIONAL!B1133="","",MOV_CC_NACIONAL!B1133)</f>
        <v/>
      </c>
      <c r="C1133" s="21" t="str">
        <f>IF(MOV_CC_NACIONAL!C1133="","",MOV_CC_NACIONAL!C1133)</f>
        <v/>
      </c>
      <c r="D1133" s="22" t="str">
        <f t="shared" si="1"/>
        <v>Other</v>
      </c>
    </row>
    <row r="1134" ht="15.75" customHeight="1">
      <c r="A1134" s="22" t="str">
        <f>IF(MOV_CC_NACIONAL!A1134="","",MOV_CC_NACIONAL!A1134)</f>
        <v/>
      </c>
      <c r="B1134" s="22" t="str">
        <f>IF(MOV_CC_NACIONAL!B1134="","",MOV_CC_NACIONAL!B1134)</f>
        <v/>
      </c>
      <c r="C1134" s="21" t="str">
        <f>IF(MOV_CC_NACIONAL!C1134="","",MOV_CC_NACIONAL!C1134)</f>
        <v/>
      </c>
      <c r="D1134" s="22" t="str">
        <f t="shared" si="1"/>
        <v>Other</v>
      </c>
    </row>
    <row r="1135" ht="15.75" customHeight="1">
      <c r="A1135" s="22" t="str">
        <f>IF(MOV_CC_NACIONAL!A1135="","",MOV_CC_NACIONAL!A1135)</f>
        <v/>
      </c>
      <c r="B1135" s="22" t="str">
        <f>IF(MOV_CC_NACIONAL!B1135="","",MOV_CC_NACIONAL!B1135)</f>
        <v/>
      </c>
      <c r="C1135" s="21" t="str">
        <f>IF(MOV_CC_NACIONAL!C1135="","",MOV_CC_NACIONAL!C1135)</f>
        <v/>
      </c>
      <c r="D1135" s="22" t="str">
        <f t="shared" si="1"/>
        <v>Other</v>
      </c>
    </row>
    <row r="1136" ht="15.75" customHeight="1">
      <c r="A1136" s="22" t="str">
        <f>IF(MOV_CC_NACIONAL!A1136="","",MOV_CC_NACIONAL!A1136)</f>
        <v/>
      </c>
      <c r="B1136" s="22" t="str">
        <f>IF(MOV_CC_NACIONAL!B1136="","",MOV_CC_NACIONAL!B1136)</f>
        <v/>
      </c>
      <c r="C1136" s="21" t="str">
        <f>IF(MOV_CC_NACIONAL!C1136="","",MOV_CC_NACIONAL!C1136)</f>
        <v/>
      </c>
      <c r="D1136" s="22" t="str">
        <f t="shared" si="1"/>
        <v>Other</v>
      </c>
    </row>
    <row r="1137" ht="15.75" customHeight="1">
      <c r="A1137" s="22" t="str">
        <f>IF(MOV_CC_NACIONAL!A1137="","",MOV_CC_NACIONAL!A1137)</f>
        <v/>
      </c>
      <c r="B1137" s="22" t="str">
        <f>IF(MOV_CC_NACIONAL!B1137="","",MOV_CC_NACIONAL!B1137)</f>
        <v/>
      </c>
      <c r="C1137" s="21" t="str">
        <f>IF(MOV_CC_NACIONAL!C1137="","",MOV_CC_NACIONAL!C1137)</f>
        <v/>
      </c>
      <c r="D1137" s="22" t="str">
        <f t="shared" si="1"/>
        <v>Other</v>
      </c>
    </row>
    <row r="1138" ht="15.75" customHeight="1">
      <c r="A1138" s="22" t="str">
        <f>IF(MOV_CC_NACIONAL!A1138="","",MOV_CC_NACIONAL!A1138)</f>
        <v/>
      </c>
      <c r="B1138" s="22" t="str">
        <f>IF(MOV_CC_NACIONAL!B1138="","",MOV_CC_NACIONAL!B1138)</f>
        <v/>
      </c>
      <c r="C1138" s="21" t="str">
        <f>IF(MOV_CC_NACIONAL!C1138="","",MOV_CC_NACIONAL!C1138)</f>
        <v/>
      </c>
      <c r="D1138" s="22" t="str">
        <f t="shared" si="1"/>
        <v>Other</v>
      </c>
    </row>
    <row r="1139" ht="15.75" customHeight="1">
      <c r="A1139" s="22" t="str">
        <f>IF(MOV_CC_NACIONAL!A1139="","",MOV_CC_NACIONAL!A1139)</f>
        <v/>
      </c>
      <c r="B1139" s="22" t="str">
        <f>IF(MOV_CC_NACIONAL!B1139="","",MOV_CC_NACIONAL!B1139)</f>
        <v/>
      </c>
      <c r="C1139" s="21" t="str">
        <f>IF(MOV_CC_NACIONAL!C1139="","",MOV_CC_NACIONAL!C1139)</f>
        <v/>
      </c>
      <c r="D1139" s="22" t="str">
        <f t="shared" si="1"/>
        <v>Other</v>
      </c>
    </row>
    <row r="1140" ht="15.75" customHeight="1">
      <c r="A1140" s="22" t="str">
        <f>IF(MOV_CC_NACIONAL!A1140="","",MOV_CC_NACIONAL!A1140)</f>
        <v/>
      </c>
      <c r="B1140" s="22" t="str">
        <f>IF(MOV_CC_NACIONAL!B1140="","",MOV_CC_NACIONAL!B1140)</f>
        <v/>
      </c>
      <c r="C1140" s="21" t="str">
        <f>IF(MOV_CC_NACIONAL!C1140="","",MOV_CC_NACIONAL!C1140)</f>
        <v/>
      </c>
      <c r="D1140" s="22" t="str">
        <f t="shared" si="1"/>
        <v>Other</v>
      </c>
    </row>
    <row r="1141" ht="15.75" customHeight="1">
      <c r="A1141" s="22" t="str">
        <f>IF(MOV_CC_NACIONAL!A1141="","",MOV_CC_NACIONAL!A1141)</f>
        <v/>
      </c>
      <c r="B1141" s="22" t="str">
        <f>IF(MOV_CC_NACIONAL!B1141="","",MOV_CC_NACIONAL!B1141)</f>
        <v/>
      </c>
      <c r="C1141" s="21" t="str">
        <f>IF(MOV_CC_NACIONAL!C1141="","",MOV_CC_NACIONAL!C1141)</f>
        <v/>
      </c>
      <c r="D1141" s="22" t="str">
        <f t="shared" si="1"/>
        <v>Other</v>
      </c>
    </row>
    <row r="1142" ht="15.75" customHeight="1">
      <c r="A1142" s="22" t="str">
        <f>IF(MOV_CC_NACIONAL!A1142="","",MOV_CC_NACIONAL!A1142)</f>
        <v/>
      </c>
      <c r="B1142" s="22" t="str">
        <f>IF(MOV_CC_NACIONAL!B1142="","",MOV_CC_NACIONAL!B1142)</f>
        <v/>
      </c>
      <c r="C1142" s="21" t="str">
        <f>IF(MOV_CC_NACIONAL!C1142="","",MOV_CC_NACIONAL!C1142)</f>
        <v/>
      </c>
      <c r="D1142" s="22" t="str">
        <f t="shared" si="1"/>
        <v>Other</v>
      </c>
    </row>
    <row r="1143" ht="15.75" customHeight="1">
      <c r="A1143" s="22" t="str">
        <f>IF(MOV_CC_NACIONAL!A1143="","",MOV_CC_NACIONAL!A1143)</f>
        <v/>
      </c>
      <c r="B1143" s="22" t="str">
        <f>IF(MOV_CC_NACIONAL!B1143="","",MOV_CC_NACIONAL!B1143)</f>
        <v/>
      </c>
      <c r="C1143" s="21" t="str">
        <f>IF(MOV_CC_NACIONAL!C1143="","",MOV_CC_NACIONAL!C1143)</f>
        <v/>
      </c>
      <c r="D1143" s="22" t="str">
        <f t="shared" si="1"/>
        <v>Other</v>
      </c>
    </row>
    <row r="1144" ht="15.75" customHeight="1">
      <c r="A1144" s="22" t="str">
        <f>IF(MOV_CC_NACIONAL!A1144="","",MOV_CC_NACIONAL!A1144)</f>
        <v/>
      </c>
      <c r="B1144" s="22" t="str">
        <f>IF(MOV_CC_NACIONAL!B1144="","",MOV_CC_NACIONAL!B1144)</f>
        <v/>
      </c>
      <c r="C1144" s="21" t="str">
        <f>IF(MOV_CC_NACIONAL!C1144="","",MOV_CC_NACIONAL!C1144)</f>
        <v/>
      </c>
      <c r="D1144" s="22" t="str">
        <f t="shared" si="1"/>
        <v>Other</v>
      </c>
    </row>
    <row r="1145" ht="15.75" customHeight="1">
      <c r="A1145" s="22" t="str">
        <f>IF(MOV_CC_NACIONAL!A1145="","",MOV_CC_NACIONAL!A1145)</f>
        <v/>
      </c>
      <c r="B1145" s="22" t="str">
        <f>IF(MOV_CC_NACIONAL!B1145="","",MOV_CC_NACIONAL!B1145)</f>
        <v/>
      </c>
      <c r="C1145" s="21" t="str">
        <f>IF(MOV_CC_NACIONAL!C1145="","",MOV_CC_NACIONAL!C1145)</f>
        <v/>
      </c>
      <c r="D1145" s="22" t="str">
        <f t="shared" si="1"/>
        <v>Other</v>
      </c>
    </row>
    <row r="1146" ht="15.75" customHeight="1">
      <c r="A1146" s="22" t="str">
        <f>IF(MOV_CC_NACIONAL!A1146="","",MOV_CC_NACIONAL!A1146)</f>
        <v/>
      </c>
      <c r="B1146" s="22" t="str">
        <f>IF(MOV_CC_NACIONAL!B1146="","",MOV_CC_NACIONAL!B1146)</f>
        <v/>
      </c>
      <c r="C1146" s="21" t="str">
        <f>IF(MOV_CC_NACIONAL!C1146="","",MOV_CC_NACIONAL!C1146)</f>
        <v/>
      </c>
      <c r="D1146" s="22" t="str">
        <f t="shared" si="1"/>
        <v>Other</v>
      </c>
    </row>
    <row r="1147" ht="15.75" customHeight="1">
      <c r="A1147" s="22" t="str">
        <f>IF(MOV_CC_NACIONAL!A1147="","",MOV_CC_NACIONAL!A1147)</f>
        <v/>
      </c>
      <c r="B1147" s="22" t="str">
        <f>IF(MOV_CC_NACIONAL!B1147="","",MOV_CC_NACIONAL!B1147)</f>
        <v/>
      </c>
      <c r="C1147" s="21" t="str">
        <f>IF(MOV_CC_NACIONAL!C1147="","",MOV_CC_NACIONAL!C1147)</f>
        <v/>
      </c>
      <c r="D1147" s="22" t="str">
        <f t="shared" si="1"/>
        <v>Other</v>
      </c>
    </row>
    <row r="1148" ht="15.75" customHeight="1">
      <c r="A1148" s="22" t="str">
        <f>IF(MOV_CC_NACIONAL!A1148="","",MOV_CC_NACIONAL!A1148)</f>
        <v/>
      </c>
      <c r="B1148" s="22" t="str">
        <f>IF(MOV_CC_NACIONAL!B1148="","",MOV_CC_NACIONAL!B1148)</f>
        <v/>
      </c>
      <c r="C1148" s="21" t="str">
        <f>IF(MOV_CC_NACIONAL!C1148="","",MOV_CC_NACIONAL!C1148)</f>
        <v/>
      </c>
      <c r="D1148" s="22" t="str">
        <f t="shared" si="1"/>
        <v>Other</v>
      </c>
    </row>
    <row r="1149" ht="15.75" customHeight="1">
      <c r="A1149" s="22" t="str">
        <f>IF(MOV_CC_NACIONAL!A1149="","",MOV_CC_NACIONAL!A1149)</f>
        <v/>
      </c>
      <c r="B1149" s="22" t="str">
        <f>IF(MOV_CC_NACIONAL!B1149="","",MOV_CC_NACIONAL!B1149)</f>
        <v/>
      </c>
      <c r="C1149" s="21" t="str">
        <f>IF(MOV_CC_NACIONAL!C1149="","",MOV_CC_NACIONAL!C1149)</f>
        <v/>
      </c>
      <c r="D1149" s="22" t="str">
        <f t="shared" si="1"/>
        <v>Other</v>
      </c>
    </row>
    <row r="1150" ht="15.75" customHeight="1">
      <c r="A1150" s="22" t="str">
        <f>IF(MOV_CC_NACIONAL!A1150="","",MOV_CC_NACIONAL!A1150)</f>
        <v/>
      </c>
      <c r="B1150" s="22" t="str">
        <f>IF(MOV_CC_NACIONAL!B1150="","",MOV_CC_NACIONAL!B1150)</f>
        <v/>
      </c>
      <c r="C1150" s="21" t="str">
        <f>IF(MOV_CC_NACIONAL!C1150="","",MOV_CC_NACIONAL!C1150)</f>
        <v/>
      </c>
      <c r="D1150" s="22" t="str">
        <f t="shared" si="1"/>
        <v>Other</v>
      </c>
    </row>
    <row r="1151" ht="15.75" customHeight="1">
      <c r="A1151" s="22" t="str">
        <f>IF(MOV_CC_NACIONAL!A1151="","",MOV_CC_NACIONAL!A1151)</f>
        <v/>
      </c>
      <c r="B1151" s="22" t="str">
        <f>IF(MOV_CC_NACIONAL!B1151="","",MOV_CC_NACIONAL!B1151)</f>
        <v/>
      </c>
      <c r="C1151" s="21" t="str">
        <f>IF(MOV_CC_NACIONAL!C1151="","",MOV_CC_NACIONAL!C1151)</f>
        <v/>
      </c>
      <c r="D1151" s="22" t="str">
        <f t="shared" si="1"/>
        <v>Other</v>
      </c>
    </row>
    <row r="1152" ht="15.75" customHeight="1">
      <c r="A1152" s="22" t="str">
        <f>IF(MOV_CC_NACIONAL!A1152="","",MOV_CC_NACIONAL!A1152)</f>
        <v/>
      </c>
      <c r="B1152" s="22" t="str">
        <f>IF(MOV_CC_NACIONAL!B1152="","",MOV_CC_NACIONAL!B1152)</f>
        <v/>
      </c>
      <c r="C1152" s="21" t="str">
        <f>IF(MOV_CC_NACIONAL!C1152="","",MOV_CC_NACIONAL!C1152)</f>
        <v/>
      </c>
      <c r="D1152" s="22" t="str">
        <f t="shared" si="1"/>
        <v>Other</v>
      </c>
    </row>
    <row r="1153" ht="15.75" customHeight="1">
      <c r="A1153" s="22" t="str">
        <f>IF(MOV_CC_NACIONAL!A1153="","",MOV_CC_NACIONAL!A1153)</f>
        <v/>
      </c>
      <c r="B1153" s="22" t="str">
        <f>IF(MOV_CC_NACIONAL!B1153="","",MOV_CC_NACIONAL!B1153)</f>
        <v/>
      </c>
      <c r="C1153" s="21" t="str">
        <f>IF(MOV_CC_NACIONAL!C1153="","",MOV_CC_NACIONAL!C1153)</f>
        <v/>
      </c>
      <c r="D1153" s="22" t="str">
        <f t="shared" si="1"/>
        <v>Other</v>
      </c>
    </row>
    <row r="1154" ht="15.75" customHeight="1">
      <c r="A1154" s="22" t="str">
        <f>IF(MOV_CC_NACIONAL!A1154="","",MOV_CC_NACIONAL!A1154)</f>
        <v/>
      </c>
      <c r="B1154" s="22" t="str">
        <f>IF(MOV_CC_NACIONAL!B1154="","",MOV_CC_NACIONAL!B1154)</f>
        <v/>
      </c>
      <c r="C1154" s="21" t="str">
        <f>IF(MOV_CC_NACIONAL!C1154="","",MOV_CC_NACIONAL!C1154)</f>
        <v/>
      </c>
      <c r="D1154" s="22" t="str">
        <f t="shared" si="1"/>
        <v>Other</v>
      </c>
    </row>
    <row r="1155" ht="15.75" customHeight="1">
      <c r="A1155" s="22" t="str">
        <f>IF(MOV_CC_NACIONAL!A1155="","",MOV_CC_NACIONAL!A1155)</f>
        <v/>
      </c>
      <c r="B1155" s="22" t="str">
        <f>IF(MOV_CC_NACIONAL!B1155="","",MOV_CC_NACIONAL!B1155)</f>
        <v/>
      </c>
      <c r="C1155" s="21" t="str">
        <f>IF(MOV_CC_NACIONAL!C1155="","",MOV_CC_NACIONAL!C1155)</f>
        <v/>
      </c>
      <c r="D1155" s="22" t="str">
        <f t="shared" si="1"/>
        <v>Other</v>
      </c>
    </row>
    <row r="1156" ht="15.75" customHeight="1">
      <c r="A1156" s="22" t="str">
        <f>IF(MOV_CC_NACIONAL!A1156="","",MOV_CC_NACIONAL!A1156)</f>
        <v/>
      </c>
      <c r="B1156" s="22" t="str">
        <f>IF(MOV_CC_NACIONAL!B1156="","",MOV_CC_NACIONAL!B1156)</f>
        <v/>
      </c>
      <c r="C1156" s="21" t="str">
        <f>IF(MOV_CC_NACIONAL!C1156="","",MOV_CC_NACIONAL!C1156)</f>
        <v/>
      </c>
      <c r="D1156" s="22" t="str">
        <f t="shared" si="1"/>
        <v>Other</v>
      </c>
    </row>
    <row r="1157" ht="15.75" customHeight="1">
      <c r="A1157" s="22" t="str">
        <f>IF(MOV_CC_NACIONAL!A1157="","",MOV_CC_NACIONAL!A1157)</f>
        <v/>
      </c>
      <c r="B1157" s="22" t="str">
        <f>IF(MOV_CC_NACIONAL!B1157="","",MOV_CC_NACIONAL!B1157)</f>
        <v/>
      </c>
      <c r="C1157" s="21" t="str">
        <f>IF(MOV_CC_NACIONAL!C1157="","",MOV_CC_NACIONAL!C1157)</f>
        <v/>
      </c>
      <c r="D1157" s="22" t="str">
        <f t="shared" si="1"/>
        <v>Other</v>
      </c>
    </row>
    <row r="1158" ht="15.75" customHeight="1">
      <c r="A1158" s="22" t="str">
        <f>IF(MOV_CC_NACIONAL!A1158="","",MOV_CC_NACIONAL!A1158)</f>
        <v/>
      </c>
      <c r="B1158" s="22" t="str">
        <f>IF(MOV_CC_NACIONAL!B1158="","",MOV_CC_NACIONAL!B1158)</f>
        <v/>
      </c>
      <c r="C1158" s="21" t="str">
        <f>IF(MOV_CC_NACIONAL!C1158="","",MOV_CC_NACIONAL!C1158)</f>
        <v/>
      </c>
      <c r="D1158" s="22" t="str">
        <f t="shared" si="1"/>
        <v>Other</v>
      </c>
    </row>
    <row r="1159" ht="15.75" customHeight="1">
      <c r="A1159" s="22" t="str">
        <f>IF(MOV_CC_NACIONAL!A1159="","",MOV_CC_NACIONAL!A1159)</f>
        <v/>
      </c>
      <c r="B1159" s="22" t="str">
        <f>IF(MOV_CC_NACIONAL!B1159="","",MOV_CC_NACIONAL!B1159)</f>
        <v/>
      </c>
      <c r="C1159" s="21" t="str">
        <f>IF(MOV_CC_NACIONAL!C1159="","",MOV_CC_NACIONAL!C1159)</f>
        <v/>
      </c>
      <c r="D1159" s="22" t="str">
        <f t="shared" si="1"/>
        <v>Other</v>
      </c>
    </row>
    <row r="1160" ht="15.75" customHeight="1">
      <c r="A1160" s="22" t="str">
        <f>IF(MOV_CC_NACIONAL!A1160="","",MOV_CC_NACIONAL!A1160)</f>
        <v/>
      </c>
      <c r="B1160" s="22" t="str">
        <f>IF(MOV_CC_NACIONAL!B1160="","",MOV_CC_NACIONAL!B1160)</f>
        <v/>
      </c>
      <c r="C1160" s="21" t="str">
        <f>IF(MOV_CC_NACIONAL!C1160="","",MOV_CC_NACIONAL!C1160)</f>
        <v/>
      </c>
      <c r="D1160" s="22" t="str">
        <f t="shared" si="1"/>
        <v>Other</v>
      </c>
    </row>
    <row r="1161" ht="15.75" customHeight="1">
      <c r="A1161" s="22" t="str">
        <f>IF(MOV_CC_NACIONAL!A1161="","",MOV_CC_NACIONAL!A1161)</f>
        <v/>
      </c>
      <c r="B1161" s="22" t="str">
        <f>IF(MOV_CC_NACIONAL!B1161="","",MOV_CC_NACIONAL!B1161)</f>
        <v/>
      </c>
      <c r="C1161" s="21" t="str">
        <f>IF(MOV_CC_NACIONAL!C1161="","",MOV_CC_NACIONAL!C1161)</f>
        <v/>
      </c>
      <c r="D1161" s="22" t="str">
        <f t="shared" si="1"/>
        <v>Other</v>
      </c>
    </row>
    <row r="1162" ht="15.75" customHeight="1">
      <c r="A1162" s="22" t="str">
        <f>IF(MOV_CC_NACIONAL!A1162="","",MOV_CC_NACIONAL!A1162)</f>
        <v/>
      </c>
      <c r="B1162" s="22" t="str">
        <f>IF(MOV_CC_NACIONAL!B1162="","",MOV_CC_NACIONAL!B1162)</f>
        <v/>
      </c>
      <c r="C1162" s="21" t="str">
        <f>IF(MOV_CC_NACIONAL!C1162="","",MOV_CC_NACIONAL!C1162)</f>
        <v/>
      </c>
      <c r="D1162" s="22" t="str">
        <f t="shared" si="1"/>
        <v>Other</v>
      </c>
    </row>
    <row r="1163" ht="15.75" customHeight="1">
      <c r="A1163" s="22" t="str">
        <f>IF(MOV_CC_NACIONAL!A1163="","",MOV_CC_NACIONAL!A1163)</f>
        <v/>
      </c>
      <c r="B1163" s="22" t="str">
        <f>IF(MOV_CC_NACIONAL!B1163="","",MOV_CC_NACIONAL!B1163)</f>
        <v/>
      </c>
      <c r="C1163" s="21" t="str">
        <f>IF(MOV_CC_NACIONAL!C1163="","",MOV_CC_NACIONAL!C1163)</f>
        <v/>
      </c>
      <c r="D1163" s="22" t="str">
        <f t="shared" si="1"/>
        <v>Other</v>
      </c>
    </row>
    <row r="1164" ht="15.75" customHeight="1">
      <c r="A1164" s="22" t="str">
        <f>IF(MOV_CC_NACIONAL!A1164="","",MOV_CC_NACIONAL!A1164)</f>
        <v/>
      </c>
      <c r="B1164" s="22" t="str">
        <f>IF(MOV_CC_NACIONAL!B1164="","",MOV_CC_NACIONAL!B1164)</f>
        <v/>
      </c>
      <c r="C1164" s="21" t="str">
        <f>IF(MOV_CC_NACIONAL!C1164="","",MOV_CC_NACIONAL!C1164)</f>
        <v/>
      </c>
      <c r="D1164" s="22" t="str">
        <f t="shared" si="1"/>
        <v>Other</v>
      </c>
    </row>
    <row r="1165" ht="15.75" customHeight="1">
      <c r="A1165" s="22" t="str">
        <f>IF(MOV_CC_NACIONAL!A1165="","",MOV_CC_NACIONAL!A1165)</f>
        <v/>
      </c>
      <c r="B1165" s="22" t="str">
        <f>IF(MOV_CC_NACIONAL!B1165="","",MOV_CC_NACIONAL!B1165)</f>
        <v/>
      </c>
      <c r="C1165" s="21" t="str">
        <f>IF(MOV_CC_NACIONAL!C1165="","",MOV_CC_NACIONAL!C1165)</f>
        <v/>
      </c>
      <c r="D1165" s="22" t="str">
        <f t="shared" si="1"/>
        <v>Other</v>
      </c>
    </row>
    <row r="1166" ht="15.75" customHeight="1">
      <c r="A1166" s="22" t="str">
        <f>IF(MOV_CC_NACIONAL!A1166="","",MOV_CC_NACIONAL!A1166)</f>
        <v/>
      </c>
      <c r="B1166" s="22" t="str">
        <f>IF(MOV_CC_NACIONAL!B1166="","",MOV_CC_NACIONAL!B1166)</f>
        <v/>
      </c>
      <c r="C1166" s="21" t="str">
        <f>IF(MOV_CC_NACIONAL!C1166="","",MOV_CC_NACIONAL!C1166)</f>
        <v/>
      </c>
      <c r="D1166" s="22" t="str">
        <f t="shared" si="1"/>
        <v>Other</v>
      </c>
    </row>
    <row r="1167" ht="15.75" customHeight="1">
      <c r="A1167" s="22" t="str">
        <f>IF(MOV_CC_NACIONAL!A1167="","",MOV_CC_NACIONAL!A1167)</f>
        <v/>
      </c>
      <c r="B1167" s="22" t="str">
        <f>IF(MOV_CC_NACIONAL!B1167="","",MOV_CC_NACIONAL!B1167)</f>
        <v/>
      </c>
      <c r="C1167" s="21" t="str">
        <f>IF(MOV_CC_NACIONAL!C1167="","",MOV_CC_NACIONAL!C1167)</f>
        <v/>
      </c>
      <c r="D1167" s="22" t="str">
        <f t="shared" si="1"/>
        <v>Other</v>
      </c>
    </row>
    <row r="1168" ht="15.75" customHeight="1">
      <c r="A1168" s="22" t="str">
        <f>IF(MOV_CC_NACIONAL!A1168="","",MOV_CC_NACIONAL!A1168)</f>
        <v/>
      </c>
      <c r="B1168" s="22" t="str">
        <f>IF(MOV_CC_NACIONAL!B1168="","",MOV_CC_NACIONAL!B1168)</f>
        <v/>
      </c>
      <c r="C1168" s="21" t="str">
        <f>IF(MOV_CC_NACIONAL!C1168="","",MOV_CC_NACIONAL!C1168)</f>
        <v/>
      </c>
      <c r="D1168" s="22" t="str">
        <f t="shared" si="1"/>
        <v>Other</v>
      </c>
    </row>
    <row r="1169" ht="15.75" customHeight="1">
      <c r="A1169" s="22" t="str">
        <f>IF(MOV_CC_NACIONAL!A1169="","",MOV_CC_NACIONAL!A1169)</f>
        <v/>
      </c>
      <c r="B1169" s="22" t="str">
        <f>IF(MOV_CC_NACIONAL!B1169="","",MOV_CC_NACIONAL!B1169)</f>
        <v/>
      </c>
      <c r="C1169" s="21" t="str">
        <f>IF(MOV_CC_NACIONAL!C1169="","",MOV_CC_NACIONAL!C1169)</f>
        <v/>
      </c>
      <c r="D1169" s="22" t="str">
        <f t="shared" si="1"/>
        <v>Other</v>
      </c>
    </row>
    <row r="1170" ht="15.75" customHeight="1">
      <c r="A1170" s="22" t="str">
        <f>IF(MOV_CC_NACIONAL!A1170="","",MOV_CC_NACIONAL!A1170)</f>
        <v/>
      </c>
      <c r="B1170" s="22" t="str">
        <f>IF(MOV_CC_NACIONAL!B1170="","",MOV_CC_NACIONAL!B1170)</f>
        <v/>
      </c>
      <c r="C1170" s="21" t="str">
        <f>IF(MOV_CC_NACIONAL!C1170="","",MOV_CC_NACIONAL!C1170)</f>
        <v/>
      </c>
      <c r="D1170" s="22" t="str">
        <f t="shared" si="1"/>
        <v>Other</v>
      </c>
    </row>
    <row r="1171" ht="15.75" customHeight="1">
      <c r="A1171" s="22" t="str">
        <f>IF(MOV_CC_NACIONAL!A1171="","",MOV_CC_NACIONAL!A1171)</f>
        <v/>
      </c>
      <c r="B1171" s="22" t="str">
        <f>IF(MOV_CC_NACIONAL!B1171="","",MOV_CC_NACIONAL!B1171)</f>
        <v/>
      </c>
      <c r="C1171" s="21" t="str">
        <f>IF(MOV_CC_NACIONAL!C1171="","",MOV_CC_NACIONAL!C1171)</f>
        <v/>
      </c>
      <c r="D1171" s="22" t="str">
        <f t="shared" si="1"/>
        <v>Other</v>
      </c>
    </row>
    <row r="1172" ht="15.75" customHeight="1">
      <c r="A1172" s="22" t="str">
        <f>IF(MOV_CC_NACIONAL!A1172="","",MOV_CC_NACIONAL!A1172)</f>
        <v/>
      </c>
      <c r="B1172" s="22" t="str">
        <f>IF(MOV_CC_NACIONAL!B1172="","",MOV_CC_NACIONAL!B1172)</f>
        <v/>
      </c>
      <c r="C1172" s="21" t="str">
        <f>IF(MOV_CC_NACIONAL!C1172="","",MOV_CC_NACIONAL!C1172)</f>
        <v/>
      </c>
      <c r="D1172" s="22" t="str">
        <f t="shared" si="1"/>
        <v>Other</v>
      </c>
    </row>
    <row r="1173" ht="15.75" customHeight="1">
      <c r="A1173" s="22" t="str">
        <f>IF(MOV_CC_NACIONAL!A1173="","",MOV_CC_NACIONAL!A1173)</f>
        <v/>
      </c>
      <c r="B1173" s="22" t="str">
        <f>IF(MOV_CC_NACIONAL!B1173="","",MOV_CC_NACIONAL!B1173)</f>
        <v/>
      </c>
      <c r="C1173" s="21" t="str">
        <f>IF(MOV_CC_NACIONAL!C1173="","",MOV_CC_NACIONAL!C1173)</f>
        <v/>
      </c>
      <c r="D1173" s="22" t="str">
        <f t="shared" si="1"/>
        <v>Other</v>
      </c>
    </row>
    <row r="1174" ht="15.75" customHeight="1">
      <c r="A1174" s="22" t="str">
        <f>IF(MOV_CC_NACIONAL!A1174="","",MOV_CC_NACIONAL!A1174)</f>
        <v/>
      </c>
      <c r="B1174" s="22" t="str">
        <f>IF(MOV_CC_NACIONAL!B1174="","",MOV_CC_NACIONAL!B1174)</f>
        <v/>
      </c>
      <c r="C1174" s="21" t="str">
        <f>IF(MOV_CC_NACIONAL!C1174="","",MOV_CC_NACIONAL!C1174)</f>
        <v/>
      </c>
      <c r="D1174" s="22" t="str">
        <f t="shared" si="1"/>
        <v>Other</v>
      </c>
    </row>
    <row r="1175" ht="15.75" customHeight="1">
      <c r="A1175" s="22" t="str">
        <f>IF(MOV_CC_NACIONAL!A1175="","",MOV_CC_NACIONAL!A1175)</f>
        <v/>
      </c>
      <c r="B1175" s="22" t="str">
        <f>IF(MOV_CC_NACIONAL!B1175="","",MOV_CC_NACIONAL!B1175)</f>
        <v/>
      </c>
      <c r="C1175" s="21" t="str">
        <f>IF(MOV_CC_NACIONAL!C1175="","",MOV_CC_NACIONAL!C1175)</f>
        <v/>
      </c>
      <c r="D1175" s="22" t="str">
        <f t="shared" si="1"/>
        <v>Other</v>
      </c>
    </row>
    <row r="1176" ht="15.75" customHeight="1">
      <c r="A1176" s="22" t="str">
        <f>IF(MOV_CC_NACIONAL!A1176="","",MOV_CC_NACIONAL!A1176)</f>
        <v/>
      </c>
      <c r="B1176" s="22" t="str">
        <f>IF(MOV_CC_NACIONAL!B1176="","",MOV_CC_NACIONAL!B1176)</f>
        <v/>
      </c>
      <c r="C1176" s="21" t="str">
        <f>IF(MOV_CC_NACIONAL!C1176="","",MOV_CC_NACIONAL!C1176)</f>
        <v/>
      </c>
      <c r="D1176" s="22" t="str">
        <f t="shared" si="1"/>
        <v>Other</v>
      </c>
    </row>
    <row r="1177" ht="15.75" customHeight="1">
      <c r="A1177" s="22" t="str">
        <f>IF(MOV_CC_NACIONAL!A1177="","",MOV_CC_NACIONAL!A1177)</f>
        <v/>
      </c>
      <c r="B1177" s="22" t="str">
        <f>IF(MOV_CC_NACIONAL!B1177="","",MOV_CC_NACIONAL!B1177)</f>
        <v/>
      </c>
      <c r="C1177" s="21" t="str">
        <f>IF(MOV_CC_NACIONAL!C1177="","",MOV_CC_NACIONAL!C1177)</f>
        <v/>
      </c>
      <c r="D1177" s="22" t="str">
        <f t="shared" si="1"/>
        <v>Other</v>
      </c>
    </row>
    <row r="1178" ht="15.75" customHeight="1">
      <c r="A1178" s="22" t="str">
        <f>IF(MOV_CC_NACIONAL!A1178="","",MOV_CC_NACIONAL!A1178)</f>
        <v/>
      </c>
      <c r="B1178" s="22" t="str">
        <f>IF(MOV_CC_NACIONAL!B1178="","",MOV_CC_NACIONAL!B1178)</f>
        <v/>
      </c>
      <c r="C1178" s="21" t="str">
        <f>IF(MOV_CC_NACIONAL!C1178="","",MOV_CC_NACIONAL!C1178)</f>
        <v/>
      </c>
      <c r="D1178" s="22" t="str">
        <f t="shared" si="1"/>
        <v>Other</v>
      </c>
    </row>
    <row r="1179" ht="15.75" customHeight="1">
      <c r="A1179" s="22" t="str">
        <f>IF(MOV_CC_NACIONAL!A1179="","",MOV_CC_NACIONAL!A1179)</f>
        <v/>
      </c>
      <c r="B1179" s="22" t="str">
        <f>IF(MOV_CC_NACIONAL!B1179="","",MOV_CC_NACIONAL!B1179)</f>
        <v/>
      </c>
      <c r="C1179" s="21" t="str">
        <f>IF(MOV_CC_NACIONAL!C1179="","",MOV_CC_NACIONAL!C1179)</f>
        <v/>
      </c>
      <c r="D1179" s="22" t="str">
        <f t="shared" si="1"/>
        <v>Other</v>
      </c>
    </row>
    <row r="1180" ht="15.75" customHeight="1">
      <c r="A1180" s="22" t="str">
        <f>IF(MOV_CC_NACIONAL!A1180="","",MOV_CC_NACIONAL!A1180)</f>
        <v/>
      </c>
      <c r="B1180" s="22" t="str">
        <f>IF(MOV_CC_NACIONAL!B1180="","",MOV_CC_NACIONAL!B1180)</f>
        <v/>
      </c>
      <c r="C1180" s="21" t="str">
        <f>IF(MOV_CC_NACIONAL!C1180="","",MOV_CC_NACIONAL!C1180)</f>
        <v/>
      </c>
      <c r="D1180" s="22" t="str">
        <f t="shared" si="1"/>
        <v>Other</v>
      </c>
    </row>
    <row r="1181" ht="15.75" customHeight="1">
      <c r="A1181" s="22" t="str">
        <f>IF(MOV_CC_NACIONAL!A1181="","",MOV_CC_NACIONAL!A1181)</f>
        <v/>
      </c>
      <c r="B1181" s="22" t="str">
        <f>IF(MOV_CC_NACIONAL!B1181="","",MOV_CC_NACIONAL!B1181)</f>
        <v/>
      </c>
      <c r="C1181" s="21" t="str">
        <f>IF(MOV_CC_NACIONAL!C1181="","",MOV_CC_NACIONAL!C1181)</f>
        <v/>
      </c>
      <c r="D1181" s="22" t="str">
        <f t="shared" si="1"/>
        <v>Other</v>
      </c>
    </row>
    <row r="1182" ht="15.75" customHeight="1">
      <c r="A1182" s="22" t="str">
        <f>IF(MOV_CC_NACIONAL!A1182="","",MOV_CC_NACIONAL!A1182)</f>
        <v/>
      </c>
      <c r="B1182" s="22" t="str">
        <f>IF(MOV_CC_NACIONAL!B1182="","",MOV_CC_NACIONAL!B1182)</f>
        <v/>
      </c>
      <c r="C1182" s="21" t="str">
        <f>IF(MOV_CC_NACIONAL!C1182="","",MOV_CC_NACIONAL!C1182)</f>
        <v/>
      </c>
      <c r="D1182" s="22" t="str">
        <f t="shared" si="1"/>
        <v>Other</v>
      </c>
    </row>
    <row r="1183" ht="15.75" customHeight="1">
      <c r="A1183" s="22" t="str">
        <f>IF(MOV_CC_NACIONAL!A1183="","",MOV_CC_NACIONAL!A1183)</f>
        <v/>
      </c>
      <c r="B1183" s="22" t="str">
        <f>IF(MOV_CC_NACIONAL!B1183="","",MOV_CC_NACIONAL!B1183)</f>
        <v/>
      </c>
      <c r="C1183" s="21" t="str">
        <f>IF(MOV_CC_NACIONAL!C1183="","",MOV_CC_NACIONAL!C1183)</f>
        <v/>
      </c>
      <c r="D1183" s="22" t="str">
        <f t="shared" si="1"/>
        <v>Other</v>
      </c>
    </row>
    <row r="1184" ht="15.75" customHeight="1">
      <c r="A1184" s="22" t="str">
        <f>IF(MOV_CC_NACIONAL!A1184="","",MOV_CC_NACIONAL!A1184)</f>
        <v/>
      </c>
      <c r="B1184" s="22" t="str">
        <f>IF(MOV_CC_NACIONAL!B1184="","",MOV_CC_NACIONAL!B1184)</f>
        <v/>
      </c>
      <c r="C1184" s="21" t="str">
        <f>IF(MOV_CC_NACIONAL!C1184="","",MOV_CC_NACIONAL!C1184)</f>
        <v/>
      </c>
      <c r="D1184" s="22" t="str">
        <f t="shared" si="1"/>
        <v>Other</v>
      </c>
    </row>
    <row r="1185" ht="15.75" customHeight="1">
      <c r="A1185" s="22" t="str">
        <f>IF(MOV_CC_NACIONAL!A1185="","",MOV_CC_NACIONAL!A1185)</f>
        <v/>
      </c>
      <c r="B1185" s="22" t="str">
        <f>IF(MOV_CC_NACIONAL!B1185="","",MOV_CC_NACIONAL!B1185)</f>
        <v/>
      </c>
      <c r="C1185" s="21" t="str">
        <f>IF(MOV_CC_NACIONAL!C1185="","",MOV_CC_NACIONAL!C1185)</f>
        <v/>
      </c>
      <c r="D1185" s="22" t="str">
        <f t="shared" si="1"/>
        <v>Other</v>
      </c>
    </row>
    <row r="1186" ht="15.75" customHeight="1">
      <c r="A1186" s="22" t="str">
        <f>IF(MOV_CC_NACIONAL!A1186="","",MOV_CC_NACIONAL!A1186)</f>
        <v/>
      </c>
      <c r="B1186" s="22" t="str">
        <f>IF(MOV_CC_NACIONAL!B1186="","",MOV_CC_NACIONAL!B1186)</f>
        <v/>
      </c>
      <c r="C1186" s="21" t="str">
        <f>IF(MOV_CC_NACIONAL!C1186="","",MOV_CC_NACIONAL!C1186)</f>
        <v/>
      </c>
      <c r="D1186" s="22" t="str">
        <f t="shared" si="1"/>
        <v>Other</v>
      </c>
    </row>
    <row r="1187" ht="15.75" customHeight="1">
      <c r="A1187" s="22" t="str">
        <f>IF(MOV_CC_NACIONAL!A1187="","",MOV_CC_NACIONAL!A1187)</f>
        <v/>
      </c>
      <c r="B1187" s="22" t="str">
        <f>IF(MOV_CC_NACIONAL!B1187="","",MOV_CC_NACIONAL!B1187)</f>
        <v/>
      </c>
      <c r="C1187" s="21" t="str">
        <f>IF(MOV_CC_NACIONAL!C1187="","",MOV_CC_NACIONAL!C1187)</f>
        <v/>
      </c>
      <c r="D1187" s="22" t="str">
        <f t="shared" si="1"/>
        <v>Other</v>
      </c>
    </row>
    <row r="1188" ht="15.75" customHeight="1">
      <c r="A1188" s="22" t="str">
        <f>IF(MOV_CC_NACIONAL!A1188="","",MOV_CC_NACIONAL!A1188)</f>
        <v/>
      </c>
      <c r="B1188" s="22" t="str">
        <f>IF(MOV_CC_NACIONAL!B1188="","",MOV_CC_NACIONAL!B1188)</f>
        <v/>
      </c>
      <c r="C1188" s="21" t="str">
        <f>IF(MOV_CC_NACIONAL!C1188="","",MOV_CC_NACIONAL!C1188)</f>
        <v/>
      </c>
      <c r="D1188" s="22" t="str">
        <f t="shared" si="1"/>
        <v>Other</v>
      </c>
    </row>
    <row r="1189" ht="15.75" customHeight="1">
      <c r="A1189" s="22" t="str">
        <f>IF(MOV_CC_NACIONAL!A1189="","",MOV_CC_NACIONAL!A1189)</f>
        <v/>
      </c>
      <c r="B1189" s="22" t="str">
        <f>IF(MOV_CC_NACIONAL!B1189="","",MOV_CC_NACIONAL!B1189)</f>
        <v/>
      </c>
      <c r="C1189" s="21" t="str">
        <f>IF(MOV_CC_NACIONAL!C1189="","",MOV_CC_NACIONAL!C1189)</f>
        <v/>
      </c>
      <c r="D1189" s="22" t="str">
        <f t="shared" si="1"/>
        <v>Other</v>
      </c>
    </row>
    <row r="1190" ht="15.75" customHeight="1">
      <c r="A1190" s="22" t="str">
        <f>IF(MOV_CC_NACIONAL!A1190="","",MOV_CC_NACIONAL!A1190)</f>
        <v/>
      </c>
      <c r="B1190" s="22" t="str">
        <f>IF(MOV_CC_NACIONAL!B1190="","",MOV_CC_NACIONAL!B1190)</f>
        <v/>
      </c>
      <c r="C1190" s="21" t="str">
        <f>IF(MOV_CC_NACIONAL!C1190="","",MOV_CC_NACIONAL!C1190)</f>
        <v/>
      </c>
      <c r="D1190" s="22" t="str">
        <f t="shared" si="1"/>
        <v>Other</v>
      </c>
    </row>
    <row r="1191" ht="15.75" customHeight="1">
      <c r="A1191" s="22" t="str">
        <f>IF(MOV_CC_NACIONAL!A1191="","",MOV_CC_NACIONAL!A1191)</f>
        <v/>
      </c>
      <c r="B1191" s="22" t="str">
        <f>IF(MOV_CC_NACIONAL!B1191="","",MOV_CC_NACIONAL!B1191)</f>
        <v/>
      </c>
      <c r="C1191" s="21" t="str">
        <f>IF(MOV_CC_NACIONAL!C1191="","",MOV_CC_NACIONAL!C1191)</f>
        <v/>
      </c>
      <c r="D1191" s="22" t="str">
        <f t="shared" si="1"/>
        <v>Other</v>
      </c>
    </row>
    <row r="1192" ht="15.75" customHeight="1">
      <c r="A1192" s="22" t="str">
        <f>IF(MOV_CC_NACIONAL!A1192="","",MOV_CC_NACIONAL!A1192)</f>
        <v/>
      </c>
      <c r="B1192" s="22" t="str">
        <f>IF(MOV_CC_NACIONAL!B1192="","",MOV_CC_NACIONAL!B1192)</f>
        <v/>
      </c>
      <c r="C1192" s="21" t="str">
        <f>IF(MOV_CC_NACIONAL!C1192="","",MOV_CC_NACIONAL!C1192)</f>
        <v/>
      </c>
      <c r="D1192" s="22" t="str">
        <f t="shared" si="1"/>
        <v>Other</v>
      </c>
    </row>
    <row r="1193" ht="15.75" customHeight="1">
      <c r="A1193" s="22" t="str">
        <f>IF(MOV_CC_NACIONAL!A1193="","",MOV_CC_NACIONAL!A1193)</f>
        <v/>
      </c>
      <c r="B1193" s="22" t="str">
        <f>IF(MOV_CC_NACIONAL!B1193="","",MOV_CC_NACIONAL!B1193)</f>
        <v/>
      </c>
      <c r="C1193" s="21" t="str">
        <f>IF(MOV_CC_NACIONAL!C1193="","",MOV_CC_NACIONAL!C1193)</f>
        <v/>
      </c>
      <c r="D1193" s="22" t="str">
        <f t="shared" si="1"/>
        <v>Other</v>
      </c>
    </row>
    <row r="1194" ht="15.75" customHeight="1">
      <c r="A1194" s="22" t="str">
        <f>IF(MOV_CC_NACIONAL!A1194="","",MOV_CC_NACIONAL!A1194)</f>
        <v/>
      </c>
      <c r="B1194" s="22" t="str">
        <f>IF(MOV_CC_NACIONAL!B1194="","",MOV_CC_NACIONAL!B1194)</f>
        <v/>
      </c>
      <c r="C1194" s="21" t="str">
        <f>IF(MOV_CC_NACIONAL!C1194="","",MOV_CC_NACIONAL!C1194)</f>
        <v/>
      </c>
      <c r="D1194" s="22" t="str">
        <f t="shared" si="1"/>
        <v>Other</v>
      </c>
    </row>
    <row r="1195" ht="15.75" customHeight="1">
      <c r="A1195" s="22" t="str">
        <f>IF(MOV_CC_NACIONAL!A1195="","",MOV_CC_NACIONAL!A1195)</f>
        <v/>
      </c>
      <c r="B1195" s="22" t="str">
        <f>IF(MOV_CC_NACIONAL!B1195="","",MOV_CC_NACIONAL!B1195)</f>
        <v/>
      </c>
      <c r="C1195" s="21" t="str">
        <f>IF(MOV_CC_NACIONAL!C1195="","",MOV_CC_NACIONAL!C1195)</f>
        <v/>
      </c>
      <c r="D1195" s="22" t="str">
        <f t="shared" si="1"/>
        <v>Other</v>
      </c>
    </row>
    <row r="1196" ht="15.75" customHeight="1">
      <c r="A1196" s="22" t="str">
        <f>IF(MOV_CC_NACIONAL!A1196="","",MOV_CC_NACIONAL!A1196)</f>
        <v/>
      </c>
      <c r="B1196" s="22" t="str">
        <f>IF(MOV_CC_NACIONAL!B1196="","",MOV_CC_NACIONAL!B1196)</f>
        <v/>
      </c>
      <c r="C1196" s="21" t="str">
        <f>IF(MOV_CC_NACIONAL!C1196="","",MOV_CC_NACIONAL!C1196)</f>
        <v/>
      </c>
      <c r="D1196" s="22" t="str">
        <f t="shared" si="1"/>
        <v>Other</v>
      </c>
    </row>
    <row r="1197" ht="15.75" customHeight="1">
      <c r="A1197" s="22" t="str">
        <f>IF(MOV_CC_NACIONAL!A1197="","",MOV_CC_NACIONAL!A1197)</f>
        <v/>
      </c>
      <c r="B1197" s="22" t="str">
        <f>IF(MOV_CC_NACIONAL!B1197="","",MOV_CC_NACIONAL!B1197)</f>
        <v/>
      </c>
      <c r="C1197" s="21" t="str">
        <f>IF(MOV_CC_NACIONAL!C1197="","",MOV_CC_NACIONAL!C1197)</f>
        <v/>
      </c>
      <c r="D1197" s="22" t="str">
        <f t="shared" si="1"/>
        <v>Other</v>
      </c>
    </row>
    <row r="1198" ht="15.75" customHeight="1">
      <c r="A1198" s="22" t="str">
        <f>IF(MOV_CC_NACIONAL!A1198="","",MOV_CC_NACIONAL!A1198)</f>
        <v/>
      </c>
      <c r="B1198" s="22" t="str">
        <f>IF(MOV_CC_NACIONAL!B1198="","",MOV_CC_NACIONAL!B1198)</f>
        <v/>
      </c>
      <c r="C1198" s="21" t="str">
        <f>IF(MOV_CC_NACIONAL!C1198="","",MOV_CC_NACIONAL!C1198)</f>
        <v/>
      </c>
      <c r="D1198" s="22" t="str">
        <f t="shared" si="1"/>
        <v>Other</v>
      </c>
    </row>
    <row r="1199" ht="15.75" customHeight="1">
      <c r="A1199" s="22" t="str">
        <f>IF(MOV_CC_NACIONAL!A1199="","",MOV_CC_NACIONAL!A1199)</f>
        <v/>
      </c>
      <c r="B1199" s="22" t="str">
        <f>IF(MOV_CC_NACIONAL!B1199="","",MOV_CC_NACIONAL!B1199)</f>
        <v/>
      </c>
      <c r="C1199" s="21" t="str">
        <f>IF(MOV_CC_NACIONAL!C1199="","",MOV_CC_NACIONAL!C1199)</f>
        <v/>
      </c>
      <c r="D1199" s="22" t="str">
        <f t="shared" si="1"/>
        <v>Other</v>
      </c>
    </row>
    <row r="1200" ht="15.75" customHeight="1">
      <c r="A1200" s="22" t="str">
        <f>IF(MOV_CC_NACIONAL!A1200="","",MOV_CC_NACIONAL!A1200)</f>
        <v/>
      </c>
      <c r="B1200" s="22" t="str">
        <f>IF(MOV_CC_NACIONAL!B1200="","",MOV_CC_NACIONAL!B1200)</f>
        <v/>
      </c>
      <c r="C1200" s="21" t="str">
        <f>IF(MOV_CC_NACIONAL!C1200="","",MOV_CC_NACIONAL!C1200)</f>
        <v/>
      </c>
      <c r="D1200" s="22" t="str">
        <f t="shared" si="1"/>
        <v>Other</v>
      </c>
    </row>
    <row r="1201" ht="15.75" customHeight="1">
      <c r="A1201" s="22" t="str">
        <f>IF(MOV_CC_NACIONAL!A1201="","",MOV_CC_NACIONAL!A1201)</f>
        <v/>
      </c>
      <c r="B1201" s="22" t="str">
        <f>IF(MOV_CC_NACIONAL!B1201="","",MOV_CC_NACIONAL!B1201)</f>
        <v/>
      </c>
      <c r="C1201" s="21" t="str">
        <f>IF(MOV_CC_NACIONAL!C1201="","",MOV_CC_NACIONAL!C1201)</f>
        <v/>
      </c>
      <c r="D1201" s="22" t="str">
        <f t="shared" si="1"/>
        <v>Other</v>
      </c>
    </row>
    <row r="1202" ht="15.75" customHeight="1">
      <c r="A1202" s="22" t="str">
        <f>IF(MOV_CC_NACIONAL!A1202="","",MOV_CC_NACIONAL!A1202)</f>
        <v/>
      </c>
      <c r="B1202" s="22" t="str">
        <f>IF(MOV_CC_NACIONAL!B1202="","",MOV_CC_NACIONAL!B1202)</f>
        <v/>
      </c>
      <c r="C1202" s="21" t="str">
        <f>IF(MOV_CC_NACIONAL!C1202="","",MOV_CC_NACIONAL!C1202)</f>
        <v/>
      </c>
      <c r="D1202" s="22" t="str">
        <f t="shared" si="1"/>
        <v>Other</v>
      </c>
    </row>
    <row r="1203" ht="15.75" customHeight="1">
      <c r="A1203" s="22" t="str">
        <f>IF(MOV_CC_NACIONAL!A1203="","",MOV_CC_NACIONAL!A1203)</f>
        <v/>
      </c>
      <c r="B1203" s="22" t="str">
        <f>IF(MOV_CC_NACIONAL!B1203="","",MOV_CC_NACIONAL!B1203)</f>
        <v/>
      </c>
      <c r="C1203" s="21" t="str">
        <f>IF(MOV_CC_NACIONAL!C1203="","",MOV_CC_NACIONAL!C1203)</f>
        <v/>
      </c>
      <c r="D1203" s="22" t="str">
        <f t="shared" si="1"/>
        <v>Other</v>
      </c>
    </row>
    <row r="1204" ht="15.75" customHeight="1">
      <c r="A1204" s="22" t="str">
        <f>IF(MOV_CC_NACIONAL!A1204="","",MOV_CC_NACIONAL!A1204)</f>
        <v/>
      </c>
      <c r="B1204" s="22" t="str">
        <f>IF(MOV_CC_NACIONAL!B1204="","",MOV_CC_NACIONAL!B1204)</f>
        <v/>
      </c>
      <c r="C1204" s="21" t="str">
        <f>IF(MOV_CC_NACIONAL!C1204="","",MOV_CC_NACIONAL!C1204)</f>
        <v/>
      </c>
      <c r="D1204" s="22" t="str">
        <f t="shared" si="1"/>
        <v>Other</v>
      </c>
    </row>
    <row r="1205" ht="15.75" customHeight="1">
      <c r="A1205" s="22" t="str">
        <f>IF(MOV_CC_NACIONAL!A1205="","",MOV_CC_NACIONAL!A1205)</f>
        <v/>
      </c>
      <c r="B1205" s="22" t="str">
        <f>IF(MOV_CC_NACIONAL!B1205="","",MOV_CC_NACIONAL!B1205)</f>
        <v/>
      </c>
      <c r="C1205" s="21" t="str">
        <f>IF(MOV_CC_NACIONAL!C1205="","",MOV_CC_NACIONAL!C1205)</f>
        <v/>
      </c>
      <c r="D1205" s="22" t="str">
        <f t="shared" si="1"/>
        <v>Other</v>
      </c>
    </row>
    <row r="1206" ht="15.75" customHeight="1">
      <c r="A1206" s="22" t="str">
        <f>IF(MOV_CC_NACIONAL!A1206="","",MOV_CC_NACIONAL!A1206)</f>
        <v/>
      </c>
      <c r="B1206" s="22" t="str">
        <f>IF(MOV_CC_NACIONAL!B1206="","",MOV_CC_NACIONAL!B1206)</f>
        <v/>
      </c>
      <c r="C1206" s="21" t="str">
        <f>IF(MOV_CC_NACIONAL!C1206="","",MOV_CC_NACIONAL!C1206)</f>
        <v/>
      </c>
      <c r="D1206" s="22" t="str">
        <f t="shared" si="1"/>
        <v>Other</v>
      </c>
    </row>
    <row r="1207" ht="15.75" customHeight="1">
      <c r="A1207" s="22" t="str">
        <f>IF(MOV_CC_NACIONAL!A1207="","",MOV_CC_NACIONAL!A1207)</f>
        <v/>
      </c>
      <c r="B1207" s="22" t="str">
        <f>IF(MOV_CC_NACIONAL!B1207="","",MOV_CC_NACIONAL!B1207)</f>
        <v/>
      </c>
      <c r="C1207" s="21" t="str">
        <f>IF(MOV_CC_NACIONAL!C1207="","",MOV_CC_NACIONAL!C1207)</f>
        <v/>
      </c>
      <c r="D1207" s="22" t="str">
        <f t="shared" si="1"/>
        <v>Other</v>
      </c>
    </row>
    <row r="1208" ht="15.75" customHeight="1">
      <c r="A1208" s="22" t="str">
        <f>IF(MOV_CC_NACIONAL!A1208="","",MOV_CC_NACIONAL!A1208)</f>
        <v/>
      </c>
      <c r="B1208" s="22" t="str">
        <f>IF(MOV_CC_NACIONAL!B1208="","",MOV_CC_NACIONAL!B1208)</f>
        <v/>
      </c>
      <c r="C1208" s="21" t="str">
        <f>IF(MOV_CC_NACIONAL!C1208="","",MOV_CC_NACIONAL!C1208)</f>
        <v/>
      </c>
      <c r="D1208" s="22" t="str">
        <f t="shared" si="1"/>
        <v>Other</v>
      </c>
    </row>
    <row r="1209" ht="15.75" customHeight="1">
      <c r="A1209" s="22" t="str">
        <f>IF(MOV_CC_NACIONAL!A1209="","",MOV_CC_NACIONAL!A1209)</f>
        <v/>
      </c>
      <c r="B1209" s="22" t="str">
        <f>IF(MOV_CC_NACIONAL!B1209="","",MOV_CC_NACIONAL!B1209)</f>
        <v/>
      </c>
      <c r="C1209" s="21" t="str">
        <f>IF(MOV_CC_NACIONAL!C1209="","",MOV_CC_NACIONAL!C1209)</f>
        <v/>
      </c>
      <c r="D1209" s="22" t="str">
        <f t="shared" si="1"/>
        <v>Other</v>
      </c>
    </row>
    <row r="1210" ht="15.75" customHeight="1">
      <c r="A1210" s="22" t="str">
        <f>IF(MOV_CC_NACIONAL!A1210="","",MOV_CC_NACIONAL!A1210)</f>
        <v/>
      </c>
      <c r="B1210" s="22" t="str">
        <f>IF(MOV_CC_NACIONAL!B1210="","",MOV_CC_NACIONAL!B1210)</f>
        <v/>
      </c>
      <c r="C1210" s="21" t="str">
        <f>IF(MOV_CC_NACIONAL!C1210="","",MOV_CC_NACIONAL!C1210)</f>
        <v/>
      </c>
      <c r="D1210" s="22" t="str">
        <f t="shared" si="1"/>
        <v>Other</v>
      </c>
    </row>
    <row r="1211" ht="15.75" customHeight="1">
      <c r="A1211" s="22" t="str">
        <f>IF(MOV_CC_NACIONAL!A1211="","",MOV_CC_NACIONAL!A1211)</f>
        <v/>
      </c>
      <c r="B1211" s="22" t="str">
        <f>IF(MOV_CC_NACIONAL!B1211="","",MOV_CC_NACIONAL!B1211)</f>
        <v/>
      </c>
      <c r="C1211" s="21" t="str">
        <f>IF(MOV_CC_NACIONAL!C1211="","",MOV_CC_NACIONAL!C1211)</f>
        <v/>
      </c>
      <c r="D1211" s="22" t="str">
        <f t="shared" si="1"/>
        <v>Other</v>
      </c>
    </row>
    <row r="1212" ht="15.75" customHeight="1">
      <c r="A1212" s="22" t="str">
        <f>IF(MOV_CC_NACIONAL!A1212="","",MOV_CC_NACIONAL!A1212)</f>
        <v/>
      </c>
      <c r="B1212" s="22" t="str">
        <f>IF(MOV_CC_NACIONAL!B1212="","",MOV_CC_NACIONAL!B1212)</f>
        <v/>
      </c>
      <c r="C1212" s="21" t="str">
        <f>IF(MOV_CC_NACIONAL!C1212="","",MOV_CC_NACIONAL!C1212)</f>
        <v/>
      </c>
      <c r="D1212" s="22" t="str">
        <f t="shared" si="1"/>
        <v>Other</v>
      </c>
    </row>
    <row r="1213" ht="15.75" customHeight="1">
      <c r="A1213" s="22" t="str">
        <f>IF(MOV_CC_NACIONAL!A1213="","",MOV_CC_NACIONAL!A1213)</f>
        <v/>
      </c>
      <c r="B1213" s="22" t="str">
        <f>IF(MOV_CC_NACIONAL!B1213="","",MOV_CC_NACIONAL!B1213)</f>
        <v/>
      </c>
      <c r="C1213" s="21" t="str">
        <f>IF(MOV_CC_NACIONAL!C1213="","",MOV_CC_NACIONAL!C1213)</f>
        <v/>
      </c>
      <c r="D1213" s="22" t="str">
        <f t="shared" si="1"/>
        <v>Other</v>
      </c>
    </row>
    <row r="1214" ht="15.75" customHeight="1">
      <c r="A1214" s="22" t="str">
        <f>IF(MOV_CC_NACIONAL!A1214="","",MOV_CC_NACIONAL!A1214)</f>
        <v/>
      </c>
      <c r="B1214" s="22" t="str">
        <f>IF(MOV_CC_NACIONAL!B1214="","",MOV_CC_NACIONAL!B1214)</f>
        <v/>
      </c>
      <c r="C1214" s="21" t="str">
        <f>IF(MOV_CC_NACIONAL!C1214="","",MOV_CC_NACIONAL!C1214)</f>
        <v/>
      </c>
      <c r="D1214" s="22" t="str">
        <f t="shared" si="1"/>
        <v>Other</v>
      </c>
    </row>
    <row r="1215" ht="15.75" customHeight="1">
      <c r="A1215" s="22" t="str">
        <f>IF(MOV_CC_NACIONAL!A1215="","",MOV_CC_NACIONAL!A1215)</f>
        <v/>
      </c>
      <c r="B1215" s="22" t="str">
        <f>IF(MOV_CC_NACIONAL!B1215="","",MOV_CC_NACIONAL!B1215)</f>
        <v/>
      </c>
      <c r="C1215" s="21" t="str">
        <f>IF(MOV_CC_NACIONAL!C1215="","",MOV_CC_NACIONAL!C1215)</f>
        <v/>
      </c>
      <c r="D1215" s="22" t="str">
        <f t="shared" si="1"/>
        <v>Other</v>
      </c>
    </row>
    <row r="1216" ht="15.75" customHeight="1">
      <c r="A1216" s="22" t="str">
        <f>IF(MOV_CC_NACIONAL!A1216="","",MOV_CC_NACIONAL!A1216)</f>
        <v/>
      </c>
      <c r="B1216" s="22" t="str">
        <f>IF(MOV_CC_NACIONAL!B1216="","",MOV_CC_NACIONAL!B1216)</f>
        <v/>
      </c>
      <c r="C1216" s="21" t="str">
        <f>IF(MOV_CC_NACIONAL!C1216="","",MOV_CC_NACIONAL!C1216)</f>
        <v/>
      </c>
      <c r="D1216" s="22" t="str">
        <f t="shared" si="1"/>
        <v>Other</v>
      </c>
    </row>
    <row r="1217" ht="15.75" customHeight="1">
      <c r="A1217" s="22" t="str">
        <f>IF(MOV_CC_NACIONAL!A1217="","",MOV_CC_NACIONAL!A1217)</f>
        <v/>
      </c>
      <c r="B1217" s="22" t="str">
        <f>IF(MOV_CC_NACIONAL!B1217="","",MOV_CC_NACIONAL!B1217)</f>
        <v/>
      </c>
      <c r="C1217" s="21" t="str">
        <f>IF(MOV_CC_NACIONAL!C1217="","",MOV_CC_NACIONAL!C1217)</f>
        <v/>
      </c>
      <c r="D1217" s="22" t="str">
        <f t="shared" si="1"/>
        <v>Other</v>
      </c>
    </row>
    <row r="1218" ht="15.75" customHeight="1">
      <c r="A1218" s="22" t="str">
        <f>IF(MOV_CC_NACIONAL!A1218="","",MOV_CC_NACIONAL!A1218)</f>
        <v/>
      </c>
      <c r="B1218" s="22" t="str">
        <f>IF(MOV_CC_NACIONAL!B1218="","",MOV_CC_NACIONAL!B1218)</f>
        <v/>
      </c>
      <c r="C1218" s="21" t="str">
        <f>IF(MOV_CC_NACIONAL!C1218="","",MOV_CC_NACIONAL!C1218)</f>
        <v/>
      </c>
      <c r="D1218" s="22" t="str">
        <f t="shared" si="1"/>
        <v>Other</v>
      </c>
    </row>
    <row r="1219" ht="15.75" customHeight="1">
      <c r="A1219" s="22" t="str">
        <f>IF(MOV_CC_NACIONAL!A1219="","",MOV_CC_NACIONAL!A1219)</f>
        <v/>
      </c>
      <c r="B1219" s="22" t="str">
        <f>IF(MOV_CC_NACIONAL!B1219="","",MOV_CC_NACIONAL!B1219)</f>
        <v/>
      </c>
      <c r="C1219" s="21" t="str">
        <f>IF(MOV_CC_NACIONAL!C1219="","",MOV_CC_NACIONAL!C1219)</f>
        <v/>
      </c>
      <c r="D1219" s="22" t="str">
        <f t="shared" si="1"/>
        <v>Other</v>
      </c>
    </row>
    <row r="1220" ht="15.75" customHeight="1">
      <c r="A1220" s="22" t="str">
        <f>IF(MOV_CC_NACIONAL!A1220="","",MOV_CC_NACIONAL!A1220)</f>
        <v/>
      </c>
      <c r="B1220" s="22" t="str">
        <f>IF(MOV_CC_NACIONAL!B1220="","",MOV_CC_NACIONAL!B1220)</f>
        <v/>
      </c>
      <c r="C1220" s="21" t="str">
        <f>IF(MOV_CC_NACIONAL!C1220="","",MOV_CC_NACIONAL!C1220)</f>
        <v/>
      </c>
      <c r="D1220" s="22" t="str">
        <f t="shared" si="1"/>
        <v>Other</v>
      </c>
    </row>
    <row r="1221" ht="15.75" customHeight="1">
      <c r="A1221" s="22" t="str">
        <f>IF(MOV_CC_NACIONAL!A1221="","",MOV_CC_NACIONAL!A1221)</f>
        <v/>
      </c>
      <c r="B1221" s="22" t="str">
        <f>IF(MOV_CC_NACIONAL!B1221="","",MOV_CC_NACIONAL!B1221)</f>
        <v/>
      </c>
      <c r="C1221" s="21" t="str">
        <f>IF(MOV_CC_NACIONAL!C1221="","",MOV_CC_NACIONAL!C1221)</f>
        <v/>
      </c>
      <c r="D1221" s="22" t="str">
        <f t="shared" si="1"/>
        <v>Other</v>
      </c>
    </row>
    <row r="1222" ht="15.75" customHeight="1">
      <c r="A1222" s="22" t="str">
        <f>IF(MOV_CC_NACIONAL!A1222="","",MOV_CC_NACIONAL!A1222)</f>
        <v/>
      </c>
      <c r="B1222" s="22" t="str">
        <f>IF(MOV_CC_NACIONAL!B1222="","",MOV_CC_NACIONAL!B1222)</f>
        <v/>
      </c>
      <c r="C1222" s="21" t="str">
        <f>IF(MOV_CC_NACIONAL!C1222="","",MOV_CC_NACIONAL!C1222)</f>
        <v/>
      </c>
      <c r="D1222" s="22" t="str">
        <f t="shared" si="1"/>
        <v>Other</v>
      </c>
    </row>
    <row r="1223" ht="15.75" customHeight="1">
      <c r="A1223" s="22" t="str">
        <f>IF(MOV_CC_NACIONAL!A1223="","",MOV_CC_NACIONAL!A1223)</f>
        <v/>
      </c>
      <c r="B1223" s="22" t="str">
        <f>IF(MOV_CC_NACIONAL!B1223="","",MOV_CC_NACIONAL!B1223)</f>
        <v/>
      </c>
      <c r="C1223" s="21" t="str">
        <f>IF(MOV_CC_NACIONAL!C1223="","",MOV_CC_NACIONAL!C1223)</f>
        <v/>
      </c>
      <c r="D1223" s="22" t="str">
        <f t="shared" si="1"/>
        <v>Other</v>
      </c>
    </row>
    <row r="1224" ht="15.75" customHeight="1">
      <c r="A1224" s="22" t="str">
        <f>IF(MOV_CC_NACIONAL!A1224="","",MOV_CC_NACIONAL!A1224)</f>
        <v/>
      </c>
      <c r="B1224" s="22" t="str">
        <f>IF(MOV_CC_NACIONAL!B1224="","",MOV_CC_NACIONAL!B1224)</f>
        <v/>
      </c>
      <c r="C1224" s="21" t="str">
        <f>IF(MOV_CC_NACIONAL!C1224="","",MOV_CC_NACIONAL!C1224)</f>
        <v/>
      </c>
      <c r="D1224" s="22" t="str">
        <f t="shared" si="1"/>
        <v>Other</v>
      </c>
    </row>
    <row r="1225" ht="15.75" customHeight="1">
      <c r="A1225" s="22" t="str">
        <f>IF(MOV_CC_NACIONAL!A1225="","",MOV_CC_NACIONAL!A1225)</f>
        <v/>
      </c>
      <c r="B1225" s="22" t="str">
        <f>IF(MOV_CC_NACIONAL!B1225="","",MOV_CC_NACIONAL!B1225)</f>
        <v/>
      </c>
      <c r="C1225" s="21" t="str">
        <f>IF(MOV_CC_NACIONAL!C1225="","",MOV_CC_NACIONAL!C1225)</f>
        <v/>
      </c>
      <c r="D1225" s="22" t="str">
        <f t="shared" si="1"/>
        <v>Other</v>
      </c>
    </row>
    <row r="1226" ht="15.75" customHeight="1">
      <c r="A1226" s="22" t="str">
        <f>IF(MOV_CC_NACIONAL!A1226="","",MOV_CC_NACIONAL!A1226)</f>
        <v/>
      </c>
      <c r="B1226" s="22" t="str">
        <f>IF(MOV_CC_NACIONAL!B1226="","",MOV_CC_NACIONAL!B1226)</f>
        <v/>
      </c>
      <c r="C1226" s="21" t="str">
        <f>IF(MOV_CC_NACIONAL!C1226="","",MOV_CC_NACIONAL!C1226)</f>
        <v/>
      </c>
      <c r="D1226" s="22" t="str">
        <f t="shared" si="1"/>
        <v>Other</v>
      </c>
    </row>
    <row r="1227" ht="15.75" customHeight="1">
      <c r="A1227" s="22" t="str">
        <f>IF(MOV_CC_NACIONAL!A1227="","",MOV_CC_NACIONAL!A1227)</f>
        <v/>
      </c>
      <c r="B1227" s="22" t="str">
        <f>IF(MOV_CC_NACIONAL!B1227="","",MOV_CC_NACIONAL!B1227)</f>
        <v/>
      </c>
      <c r="C1227" s="21" t="str">
        <f>IF(MOV_CC_NACIONAL!C1227="","",MOV_CC_NACIONAL!C1227)</f>
        <v/>
      </c>
      <c r="D1227" s="22" t="str">
        <f t="shared" si="1"/>
        <v>Other</v>
      </c>
    </row>
    <row r="1228" ht="15.75" customHeight="1">
      <c r="A1228" s="22" t="str">
        <f>IF(MOV_CC_NACIONAL!A1228="","",MOV_CC_NACIONAL!A1228)</f>
        <v/>
      </c>
      <c r="B1228" s="22" t="str">
        <f>IF(MOV_CC_NACIONAL!B1228="","",MOV_CC_NACIONAL!B1228)</f>
        <v/>
      </c>
      <c r="C1228" s="21" t="str">
        <f>IF(MOV_CC_NACIONAL!C1228="","",MOV_CC_NACIONAL!C1228)</f>
        <v/>
      </c>
      <c r="D1228" s="22" t="str">
        <f t="shared" si="1"/>
        <v>Other</v>
      </c>
    </row>
    <row r="1229" ht="15.75" customHeight="1">
      <c r="A1229" s="22" t="str">
        <f>IF(MOV_CC_NACIONAL!A1229="","",MOV_CC_NACIONAL!A1229)</f>
        <v/>
      </c>
      <c r="B1229" s="22" t="str">
        <f>IF(MOV_CC_NACIONAL!B1229="","",MOV_CC_NACIONAL!B1229)</f>
        <v/>
      </c>
      <c r="C1229" s="21" t="str">
        <f>IF(MOV_CC_NACIONAL!C1229="","",MOV_CC_NACIONAL!C1229)</f>
        <v/>
      </c>
      <c r="D1229" s="22" t="str">
        <f t="shared" si="1"/>
        <v>Other</v>
      </c>
    </row>
    <row r="1230" ht="15.75" customHeight="1">
      <c r="A1230" s="22" t="str">
        <f>IF(MOV_CC_NACIONAL!A1230="","",MOV_CC_NACIONAL!A1230)</f>
        <v/>
      </c>
      <c r="B1230" s="22" t="str">
        <f>IF(MOV_CC_NACIONAL!B1230="","",MOV_CC_NACIONAL!B1230)</f>
        <v/>
      </c>
      <c r="C1230" s="21" t="str">
        <f>IF(MOV_CC_NACIONAL!C1230="","",MOV_CC_NACIONAL!C1230)</f>
        <v/>
      </c>
      <c r="D1230" s="22" t="str">
        <f t="shared" si="1"/>
        <v>Other</v>
      </c>
    </row>
    <row r="1231" ht="15.75" customHeight="1">
      <c r="A1231" s="22" t="str">
        <f>IF(MOV_CC_NACIONAL!A1231="","",MOV_CC_NACIONAL!A1231)</f>
        <v/>
      </c>
      <c r="B1231" s="22" t="str">
        <f>IF(MOV_CC_NACIONAL!B1231="","",MOV_CC_NACIONAL!B1231)</f>
        <v/>
      </c>
      <c r="C1231" s="21" t="str">
        <f>IF(MOV_CC_NACIONAL!C1231="","",MOV_CC_NACIONAL!C1231)</f>
        <v/>
      </c>
      <c r="D1231" s="22" t="str">
        <f t="shared" si="1"/>
        <v>Other</v>
      </c>
    </row>
    <row r="1232" ht="15.75" customHeight="1">
      <c r="A1232" s="22" t="str">
        <f>IF(MOV_CC_NACIONAL!A1232="","",MOV_CC_NACIONAL!A1232)</f>
        <v/>
      </c>
      <c r="B1232" s="22" t="str">
        <f>IF(MOV_CC_NACIONAL!B1232="","",MOV_CC_NACIONAL!B1232)</f>
        <v/>
      </c>
      <c r="C1232" s="21" t="str">
        <f>IF(MOV_CC_NACIONAL!C1232="","",MOV_CC_NACIONAL!C1232)</f>
        <v/>
      </c>
      <c r="D1232" s="22" t="str">
        <f t="shared" si="1"/>
        <v>Other</v>
      </c>
    </row>
    <row r="1233" ht="15.75" customHeight="1">
      <c r="A1233" s="22" t="str">
        <f>IF(MOV_CC_NACIONAL!A1233="","",MOV_CC_NACIONAL!A1233)</f>
        <v/>
      </c>
      <c r="B1233" s="22" t="str">
        <f>IF(MOV_CC_NACIONAL!B1233="","",MOV_CC_NACIONAL!B1233)</f>
        <v/>
      </c>
      <c r="C1233" s="21" t="str">
        <f>IF(MOV_CC_NACIONAL!C1233="","",MOV_CC_NACIONAL!C1233)</f>
        <v/>
      </c>
      <c r="D1233" s="22" t="str">
        <f t="shared" si="1"/>
        <v>Other</v>
      </c>
    </row>
    <row r="1234" ht="15.75" customHeight="1">
      <c r="A1234" s="22" t="str">
        <f>IF(MOV_CC_NACIONAL!A1234="","",MOV_CC_NACIONAL!A1234)</f>
        <v/>
      </c>
      <c r="B1234" s="22" t="str">
        <f>IF(MOV_CC_NACIONAL!B1234="","",MOV_CC_NACIONAL!B1234)</f>
        <v/>
      </c>
      <c r="C1234" s="21" t="str">
        <f>IF(MOV_CC_NACIONAL!C1234="","",MOV_CC_NACIONAL!C1234)</f>
        <v/>
      </c>
      <c r="D1234" s="22" t="str">
        <f t="shared" si="1"/>
        <v>Other</v>
      </c>
    </row>
    <row r="1235" ht="15.75" customHeight="1">
      <c r="A1235" s="22" t="str">
        <f>IF(MOV_CC_NACIONAL!A1235="","",MOV_CC_NACIONAL!A1235)</f>
        <v/>
      </c>
      <c r="B1235" s="22" t="str">
        <f>IF(MOV_CC_NACIONAL!B1235="","",MOV_CC_NACIONAL!B1235)</f>
        <v/>
      </c>
      <c r="C1235" s="21" t="str">
        <f>IF(MOV_CC_NACIONAL!C1235="","",MOV_CC_NACIONAL!C1235)</f>
        <v/>
      </c>
      <c r="D1235" s="22" t="str">
        <f t="shared" si="1"/>
        <v>Other</v>
      </c>
    </row>
    <row r="1236" ht="15.75" customHeight="1">
      <c r="A1236" s="22" t="str">
        <f>IF(MOV_CC_NACIONAL!A1236="","",MOV_CC_NACIONAL!A1236)</f>
        <v/>
      </c>
      <c r="B1236" s="22" t="str">
        <f>IF(MOV_CC_NACIONAL!B1236="","",MOV_CC_NACIONAL!B1236)</f>
        <v/>
      </c>
      <c r="C1236" s="21" t="str">
        <f>IF(MOV_CC_NACIONAL!C1236="","",MOV_CC_NACIONAL!C1236)</f>
        <v/>
      </c>
      <c r="D1236" s="22" t="str">
        <f t="shared" si="1"/>
        <v>Other</v>
      </c>
    </row>
    <row r="1237" ht="15.75" customHeight="1">
      <c r="A1237" s="22" t="str">
        <f>IF(MOV_CC_NACIONAL!A1237="","",MOV_CC_NACIONAL!A1237)</f>
        <v/>
      </c>
      <c r="B1237" s="22" t="str">
        <f>IF(MOV_CC_NACIONAL!B1237="","",MOV_CC_NACIONAL!B1237)</f>
        <v/>
      </c>
      <c r="C1237" s="21" t="str">
        <f>IF(MOV_CC_NACIONAL!C1237="","",MOV_CC_NACIONAL!C1237)</f>
        <v/>
      </c>
      <c r="D1237" s="22" t="str">
        <f t="shared" si="1"/>
        <v>Other</v>
      </c>
    </row>
    <row r="1238" ht="15.75" customHeight="1">
      <c r="A1238" s="22" t="str">
        <f>IF(MOV_CC_NACIONAL!A1238="","",MOV_CC_NACIONAL!A1238)</f>
        <v/>
      </c>
      <c r="B1238" s="22" t="str">
        <f>IF(MOV_CC_NACIONAL!B1238="","",MOV_CC_NACIONAL!B1238)</f>
        <v/>
      </c>
      <c r="C1238" s="21" t="str">
        <f>IF(MOV_CC_NACIONAL!C1238="","",MOV_CC_NACIONAL!C1238)</f>
        <v/>
      </c>
      <c r="D1238" s="22" t="str">
        <f t="shared" si="1"/>
        <v>Other</v>
      </c>
    </row>
    <row r="1239" ht="15.75" customHeight="1">
      <c r="A1239" s="22" t="str">
        <f>IF(MOV_CC_NACIONAL!A1239="","",MOV_CC_NACIONAL!A1239)</f>
        <v/>
      </c>
      <c r="B1239" s="22" t="str">
        <f>IF(MOV_CC_NACIONAL!B1239="","",MOV_CC_NACIONAL!B1239)</f>
        <v/>
      </c>
      <c r="C1239" s="21" t="str">
        <f>IF(MOV_CC_NACIONAL!C1239="","",MOV_CC_NACIONAL!C1239)</f>
        <v/>
      </c>
      <c r="D1239" s="22" t="str">
        <f t="shared" si="1"/>
        <v>Other</v>
      </c>
    </row>
    <row r="1240" ht="15.75" customHeight="1">
      <c r="A1240" s="22" t="str">
        <f>IF(MOV_CC_NACIONAL!A1240="","",MOV_CC_NACIONAL!A1240)</f>
        <v/>
      </c>
      <c r="B1240" s="22" t="str">
        <f>IF(MOV_CC_NACIONAL!B1240="","",MOV_CC_NACIONAL!B1240)</f>
        <v/>
      </c>
      <c r="C1240" s="21" t="str">
        <f>IF(MOV_CC_NACIONAL!C1240="","",MOV_CC_NACIONAL!C1240)</f>
        <v/>
      </c>
      <c r="D1240" s="22" t="str">
        <f t="shared" si="1"/>
        <v>Other</v>
      </c>
    </row>
    <row r="1241" ht="15.75" customHeight="1">
      <c r="A1241" s="22" t="str">
        <f>IF(MOV_CC_NACIONAL!A1241="","",MOV_CC_NACIONAL!A1241)</f>
        <v/>
      </c>
      <c r="B1241" s="22" t="str">
        <f>IF(MOV_CC_NACIONAL!B1241="","",MOV_CC_NACIONAL!B1241)</f>
        <v/>
      </c>
      <c r="C1241" s="21" t="str">
        <f>IF(MOV_CC_NACIONAL!C1241="","",MOV_CC_NACIONAL!C1241)</f>
        <v/>
      </c>
      <c r="D1241" s="22" t="str">
        <f t="shared" si="1"/>
        <v>Other</v>
      </c>
    </row>
    <row r="1242" ht="15.75" customHeight="1">
      <c r="A1242" s="22" t="str">
        <f>IF(MOV_CC_NACIONAL!A1242="","",MOV_CC_NACIONAL!A1242)</f>
        <v/>
      </c>
      <c r="B1242" s="22" t="str">
        <f>IF(MOV_CC_NACIONAL!B1242="","",MOV_CC_NACIONAL!B1242)</f>
        <v/>
      </c>
      <c r="C1242" s="21" t="str">
        <f>IF(MOV_CC_NACIONAL!C1242="","",MOV_CC_NACIONAL!C1242)</f>
        <v/>
      </c>
      <c r="D1242" s="22" t="str">
        <f t="shared" si="1"/>
        <v>Other</v>
      </c>
    </row>
    <row r="1243" ht="15.75" customHeight="1">
      <c r="A1243" s="22" t="str">
        <f>IF(MOV_CC_NACIONAL!A1243="","",MOV_CC_NACIONAL!A1243)</f>
        <v/>
      </c>
      <c r="B1243" s="22" t="str">
        <f>IF(MOV_CC_NACIONAL!B1243="","",MOV_CC_NACIONAL!B1243)</f>
        <v/>
      </c>
      <c r="C1243" s="21" t="str">
        <f>IF(MOV_CC_NACIONAL!C1243="","",MOV_CC_NACIONAL!C1243)</f>
        <v/>
      </c>
      <c r="D1243" s="22" t="str">
        <f t="shared" si="1"/>
        <v>Other</v>
      </c>
    </row>
    <row r="1244" ht="15.75" customHeight="1">
      <c r="A1244" s="22" t="str">
        <f>IF(MOV_CC_NACIONAL!A1244="","",MOV_CC_NACIONAL!A1244)</f>
        <v/>
      </c>
      <c r="B1244" s="22" t="str">
        <f>IF(MOV_CC_NACIONAL!B1244="","",MOV_CC_NACIONAL!B1244)</f>
        <v/>
      </c>
      <c r="C1244" s="21" t="str">
        <f>IF(MOV_CC_NACIONAL!C1244="","",MOV_CC_NACIONAL!C1244)</f>
        <v/>
      </c>
      <c r="D1244" s="22" t="str">
        <f t="shared" si="1"/>
        <v>Other</v>
      </c>
    </row>
    <row r="1245" ht="15.75" customHeight="1">
      <c r="A1245" s="22" t="str">
        <f>IF(MOV_CC_NACIONAL!A1245="","",MOV_CC_NACIONAL!A1245)</f>
        <v/>
      </c>
      <c r="B1245" s="22" t="str">
        <f>IF(MOV_CC_NACIONAL!B1245="","",MOV_CC_NACIONAL!B1245)</f>
        <v/>
      </c>
      <c r="C1245" s="21" t="str">
        <f>IF(MOV_CC_NACIONAL!C1245="","",MOV_CC_NACIONAL!C1245)</f>
        <v/>
      </c>
      <c r="D1245" s="22" t="str">
        <f t="shared" si="1"/>
        <v>Other</v>
      </c>
    </row>
    <row r="1246" ht="15.75" customHeight="1">
      <c r="A1246" s="22" t="str">
        <f>IF(MOV_CC_NACIONAL!A1246="","",MOV_CC_NACIONAL!A1246)</f>
        <v/>
      </c>
      <c r="B1246" s="22" t="str">
        <f>IF(MOV_CC_NACIONAL!B1246="","",MOV_CC_NACIONAL!B1246)</f>
        <v/>
      </c>
      <c r="C1246" s="21" t="str">
        <f>IF(MOV_CC_NACIONAL!C1246="","",MOV_CC_NACIONAL!C1246)</f>
        <v/>
      </c>
      <c r="D1246" s="22" t="str">
        <f t="shared" si="1"/>
        <v>Other</v>
      </c>
    </row>
    <row r="1247" ht="15.75" customHeight="1">
      <c r="A1247" s="22" t="str">
        <f>IF(MOV_CC_NACIONAL!A1247="","",MOV_CC_NACIONAL!A1247)</f>
        <v/>
      </c>
      <c r="B1247" s="22" t="str">
        <f>IF(MOV_CC_NACIONAL!B1247="","",MOV_CC_NACIONAL!B1247)</f>
        <v/>
      </c>
      <c r="C1247" s="21" t="str">
        <f>IF(MOV_CC_NACIONAL!C1247="","",MOV_CC_NACIONAL!C1247)</f>
        <v/>
      </c>
      <c r="D1247" s="22" t="str">
        <f t="shared" si="1"/>
        <v>Other</v>
      </c>
    </row>
    <row r="1248" ht="15.75" customHeight="1">
      <c r="A1248" s="22" t="str">
        <f>IF(MOV_CC_NACIONAL!A1248="","",MOV_CC_NACIONAL!A1248)</f>
        <v/>
      </c>
      <c r="B1248" s="22" t="str">
        <f>IF(MOV_CC_NACIONAL!B1248="","",MOV_CC_NACIONAL!B1248)</f>
        <v/>
      </c>
      <c r="C1248" s="21" t="str">
        <f>IF(MOV_CC_NACIONAL!C1248="","",MOV_CC_NACIONAL!C1248)</f>
        <v/>
      </c>
      <c r="D1248" s="22" t="str">
        <f t="shared" si="1"/>
        <v>Other</v>
      </c>
    </row>
    <row r="1249" ht="15.75" customHeight="1">
      <c r="A1249" s="22" t="str">
        <f>IF(MOV_CC_NACIONAL!A1249="","",MOV_CC_NACIONAL!A1249)</f>
        <v/>
      </c>
      <c r="B1249" s="22" t="str">
        <f>IF(MOV_CC_NACIONAL!B1249="","",MOV_CC_NACIONAL!B1249)</f>
        <v/>
      </c>
      <c r="C1249" s="21" t="str">
        <f>IF(MOV_CC_NACIONAL!C1249="","",MOV_CC_NACIONAL!C1249)</f>
        <v/>
      </c>
      <c r="D1249" s="22" t="str">
        <f t="shared" si="1"/>
        <v>Other</v>
      </c>
    </row>
    <row r="1250" ht="15.75" customHeight="1">
      <c r="A1250" s="22" t="str">
        <f>IF(MOV_CC_NACIONAL!A1250="","",MOV_CC_NACIONAL!A1250)</f>
        <v/>
      </c>
      <c r="B1250" s="22" t="str">
        <f>IF(MOV_CC_NACIONAL!B1250="","",MOV_CC_NACIONAL!B1250)</f>
        <v/>
      </c>
      <c r="C1250" s="21" t="str">
        <f>IF(MOV_CC_NACIONAL!C1250="","",MOV_CC_NACIONAL!C1250)</f>
        <v/>
      </c>
      <c r="D1250" s="22" t="str">
        <f t="shared" si="1"/>
        <v>Other</v>
      </c>
    </row>
    <row r="1251" ht="15.75" customHeight="1">
      <c r="A1251" s="22" t="str">
        <f>IF(MOV_CC_NACIONAL!A1251="","",MOV_CC_NACIONAL!A1251)</f>
        <v/>
      </c>
      <c r="B1251" s="22" t="str">
        <f>IF(MOV_CC_NACIONAL!B1251="","",MOV_CC_NACIONAL!B1251)</f>
        <v/>
      </c>
      <c r="C1251" s="21" t="str">
        <f>IF(MOV_CC_NACIONAL!C1251="","",MOV_CC_NACIONAL!C1251)</f>
        <v/>
      </c>
      <c r="D1251" s="22" t="str">
        <f t="shared" si="1"/>
        <v>Other</v>
      </c>
    </row>
    <row r="1252" ht="15.75" customHeight="1">
      <c r="A1252" s="22" t="str">
        <f>IF(MOV_CC_NACIONAL!A1252="","",MOV_CC_NACIONAL!A1252)</f>
        <v/>
      </c>
      <c r="B1252" s="22" t="str">
        <f>IF(MOV_CC_NACIONAL!B1252="","",MOV_CC_NACIONAL!B1252)</f>
        <v/>
      </c>
      <c r="C1252" s="21" t="str">
        <f>IF(MOV_CC_NACIONAL!C1252="","",MOV_CC_NACIONAL!C1252)</f>
        <v/>
      </c>
      <c r="D1252" s="22" t="str">
        <f t="shared" si="1"/>
        <v>Other</v>
      </c>
    </row>
    <row r="1253" ht="15.75" customHeight="1">
      <c r="A1253" s="22" t="str">
        <f>IF(MOV_CC_NACIONAL!A1253="","",MOV_CC_NACIONAL!A1253)</f>
        <v/>
      </c>
      <c r="B1253" s="22" t="str">
        <f>IF(MOV_CC_NACIONAL!B1253="","",MOV_CC_NACIONAL!B1253)</f>
        <v/>
      </c>
      <c r="C1253" s="21" t="str">
        <f>IF(MOV_CC_NACIONAL!C1253="","",MOV_CC_NACIONAL!C1253)</f>
        <v/>
      </c>
      <c r="D1253" s="22" t="str">
        <f t="shared" si="1"/>
        <v>Other</v>
      </c>
    </row>
    <row r="1254" ht="15.75" customHeight="1">
      <c r="A1254" s="22" t="str">
        <f>IF(MOV_CC_NACIONAL!A1254="","",MOV_CC_NACIONAL!A1254)</f>
        <v/>
      </c>
      <c r="B1254" s="22" t="str">
        <f>IF(MOV_CC_NACIONAL!B1254="","",MOV_CC_NACIONAL!B1254)</f>
        <v/>
      </c>
      <c r="C1254" s="21" t="str">
        <f>IF(MOV_CC_NACIONAL!C1254="","",MOV_CC_NACIONAL!C1254)</f>
        <v/>
      </c>
      <c r="D1254" s="22" t="str">
        <f t="shared" si="1"/>
        <v>Other</v>
      </c>
    </row>
    <row r="1255" ht="15.75" customHeight="1">
      <c r="A1255" s="22" t="str">
        <f>IF(MOV_CC_NACIONAL!A1255="","",MOV_CC_NACIONAL!A1255)</f>
        <v/>
      </c>
      <c r="B1255" s="22" t="str">
        <f>IF(MOV_CC_NACIONAL!B1255="","",MOV_CC_NACIONAL!B1255)</f>
        <v/>
      </c>
      <c r="C1255" s="21" t="str">
        <f>IF(MOV_CC_NACIONAL!C1255="","",MOV_CC_NACIONAL!C1255)</f>
        <v/>
      </c>
      <c r="D1255" s="22" t="str">
        <f t="shared" si="1"/>
        <v>Other</v>
      </c>
    </row>
    <row r="1256" ht="15.75" customHeight="1">
      <c r="A1256" s="22" t="str">
        <f>IF(MOV_CC_NACIONAL!A1256="","",MOV_CC_NACIONAL!A1256)</f>
        <v/>
      </c>
      <c r="B1256" s="22" t="str">
        <f>IF(MOV_CC_NACIONAL!B1256="","",MOV_CC_NACIONAL!B1256)</f>
        <v/>
      </c>
      <c r="C1256" s="21" t="str">
        <f>IF(MOV_CC_NACIONAL!C1256="","",MOV_CC_NACIONAL!C1256)</f>
        <v/>
      </c>
      <c r="D1256" s="22" t="str">
        <f t="shared" si="1"/>
        <v>Other</v>
      </c>
    </row>
    <row r="1257" ht="15.75" customHeight="1">
      <c r="A1257" s="22" t="str">
        <f>IF(MOV_CC_NACIONAL!A1257="","",MOV_CC_NACIONAL!A1257)</f>
        <v/>
      </c>
      <c r="B1257" s="22" t="str">
        <f>IF(MOV_CC_NACIONAL!B1257="","",MOV_CC_NACIONAL!B1257)</f>
        <v/>
      </c>
      <c r="C1257" s="21" t="str">
        <f>IF(MOV_CC_NACIONAL!C1257="","",MOV_CC_NACIONAL!C1257)</f>
        <v/>
      </c>
      <c r="D1257" s="22" t="str">
        <f t="shared" si="1"/>
        <v>Other</v>
      </c>
    </row>
    <row r="1258" ht="15.75" customHeight="1">
      <c r="A1258" s="22" t="str">
        <f>IF(MOV_CC_NACIONAL!A1258="","",MOV_CC_NACIONAL!A1258)</f>
        <v/>
      </c>
      <c r="B1258" s="22" t="str">
        <f>IF(MOV_CC_NACIONAL!B1258="","",MOV_CC_NACIONAL!B1258)</f>
        <v/>
      </c>
      <c r="C1258" s="21" t="str">
        <f>IF(MOV_CC_NACIONAL!C1258="","",MOV_CC_NACIONAL!C1258)</f>
        <v/>
      </c>
      <c r="D1258" s="22" t="str">
        <f t="shared" si="1"/>
        <v>Other</v>
      </c>
    </row>
    <row r="1259" ht="15.75" customHeight="1">
      <c r="A1259" s="22" t="str">
        <f>IF(MOV_CC_NACIONAL!A1259="","",MOV_CC_NACIONAL!A1259)</f>
        <v/>
      </c>
      <c r="B1259" s="22" t="str">
        <f>IF(MOV_CC_NACIONAL!B1259="","",MOV_CC_NACIONAL!B1259)</f>
        <v/>
      </c>
      <c r="C1259" s="21" t="str">
        <f>IF(MOV_CC_NACIONAL!C1259="","",MOV_CC_NACIONAL!C1259)</f>
        <v/>
      </c>
      <c r="D1259" s="22" t="str">
        <f t="shared" si="1"/>
        <v>Other</v>
      </c>
    </row>
    <row r="1260" ht="15.75" customHeight="1">
      <c r="A1260" s="22" t="str">
        <f>IF(MOV_CC_NACIONAL!A1260="","",MOV_CC_NACIONAL!A1260)</f>
        <v/>
      </c>
      <c r="B1260" s="22" t="str">
        <f>IF(MOV_CC_NACIONAL!B1260="","",MOV_CC_NACIONAL!B1260)</f>
        <v/>
      </c>
      <c r="C1260" s="21" t="str">
        <f>IF(MOV_CC_NACIONAL!C1260="","",MOV_CC_NACIONAL!C1260)</f>
        <v/>
      </c>
      <c r="D1260" s="22" t="str">
        <f t="shared" si="1"/>
        <v>Other</v>
      </c>
    </row>
    <row r="1261" ht="15.75" customHeight="1">
      <c r="A1261" s="22" t="str">
        <f>IF(MOV_CC_NACIONAL!A1261="","",MOV_CC_NACIONAL!A1261)</f>
        <v/>
      </c>
      <c r="B1261" s="22" t="str">
        <f>IF(MOV_CC_NACIONAL!B1261="","",MOV_CC_NACIONAL!B1261)</f>
        <v/>
      </c>
      <c r="C1261" s="21" t="str">
        <f>IF(MOV_CC_NACIONAL!C1261="","",MOV_CC_NACIONAL!C1261)</f>
        <v/>
      </c>
      <c r="D1261" s="22" t="str">
        <f t="shared" si="1"/>
        <v>Other</v>
      </c>
    </row>
    <row r="1262" ht="15.75" customHeight="1">
      <c r="A1262" s="22" t="str">
        <f>IF(MOV_CC_NACIONAL!A1262="","",MOV_CC_NACIONAL!A1262)</f>
        <v/>
      </c>
      <c r="B1262" s="22" t="str">
        <f>IF(MOV_CC_NACIONAL!B1262="","",MOV_CC_NACIONAL!B1262)</f>
        <v/>
      </c>
      <c r="C1262" s="21" t="str">
        <f>IF(MOV_CC_NACIONAL!C1262="","",MOV_CC_NACIONAL!C1262)</f>
        <v/>
      </c>
      <c r="D1262" s="22" t="str">
        <f t="shared" si="1"/>
        <v>Other</v>
      </c>
    </row>
    <row r="1263" ht="15.75" customHeight="1">
      <c r="A1263" s="22" t="str">
        <f>IF(MOV_CC_NACIONAL!A1263="","",MOV_CC_NACIONAL!A1263)</f>
        <v/>
      </c>
      <c r="B1263" s="22" t="str">
        <f>IF(MOV_CC_NACIONAL!B1263="","",MOV_CC_NACIONAL!B1263)</f>
        <v/>
      </c>
      <c r="C1263" s="21" t="str">
        <f>IF(MOV_CC_NACIONAL!C1263="","",MOV_CC_NACIONAL!C1263)</f>
        <v/>
      </c>
      <c r="D1263" s="22" t="str">
        <f t="shared" si="1"/>
        <v>Other</v>
      </c>
    </row>
    <row r="1264" ht="15.75" customHeight="1">
      <c r="A1264" s="22" t="str">
        <f>IF(MOV_CC_NACIONAL!A1264="","",MOV_CC_NACIONAL!A1264)</f>
        <v/>
      </c>
      <c r="B1264" s="22" t="str">
        <f>IF(MOV_CC_NACIONAL!B1264="","",MOV_CC_NACIONAL!B1264)</f>
        <v/>
      </c>
      <c r="C1264" s="21" t="str">
        <f>IF(MOV_CC_NACIONAL!C1264="","",MOV_CC_NACIONAL!C1264)</f>
        <v/>
      </c>
      <c r="D1264" s="22" t="str">
        <f t="shared" si="1"/>
        <v>Other</v>
      </c>
    </row>
    <row r="1265" ht="15.75" customHeight="1">
      <c r="A1265" s="22" t="str">
        <f>IF(MOV_CC_NACIONAL!A1265="","",MOV_CC_NACIONAL!A1265)</f>
        <v/>
      </c>
      <c r="B1265" s="22" t="str">
        <f>IF(MOV_CC_NACIONAL!B1265="","",MOV_CC_NACIONAL!B1265)</f>
        <v/>
      </c>
      <c r="C1265" s="21" t="str">
        <f>IF(MOV_CC_NACIONAL!C1265="","",MOV_CC_NACIONAL!C1265)</f>
        <v/>
      </c>
      <c r="D1265" s="22" t="str">
        <f t="shared" si="1"/>
        <v>Other</v>
      </c>
    </row>
    <row r="1266" ht="15.75" customHeight="1">
      <c r="A1266" s="22" t="str">
        <f>IF(MOV_CC_NACIONAL!A1266="","",MOV_CC_NACIONAL!A1266)</f>
        <v/>
      </c>
      <c r="B1266" s="22" t="str">
        <f>IF(MOV_CC_NACIONAL!B1266="","",MOV_CC_NACIONAL!B1266)</f>
        <v/>
      </c>
      <c r="C1266" s="21" t="str">
        <f>IF(MOV_CC_NACIONAL!C1266="","",MOV_CC_NACIONAL!C1266)</f>
        <v/>
      </c>
      <c r="D1266" s="22" t="str">
        <f t="shared" si="1"/>
        <v>Other</v>
      </c>
    </row>
    <row r="1267" ht="15.75" customHeight="1">
      <c r="A1267" s="22" t="str">
        <f>IF(MOV_CC_NACIONAL!A1267="","",MOV_CC_NACIONAL!A1267)</f>
        <v/>
      </c>
      <c r="B1267" s="22" t="str">
        <f>IF(MOV_CC_NACIONAL!B1267="","",MOV_CC_NACIONAL!B1267)</f>
        <v/>
      </c>
      <c r="C1267" s="21" t="str">
        <f>IF(MOV_CC_NACIONAL!C1267="","",MOV_CC_NACIONAL!C1267)</f>
        <v/>
      </c>
      <c r="D1267" s="22" t="str">
        <f t="shared" si="1"/>
        <v>Other</v>
      </c>
    </row>
    <row r="1268" ht="15.75" customHeight="1">
      <c r="A1268" s="22" t="str">
        <f>IF(MOV_CC_NACIONAL!A1268="","",MOV_CC_NACIONAL!A1268)</f>
        <v/>
      </c>
      <c r="B1268" s="22" t="str">
        <f>IF(MOV_CC_NACIONAL!B1268="","",MOV_CC_NACIONAL!B1268)</f>
        <v/>
      </c>
      <c r="C1268" s="21" t="str">
        <f>IF(MOV_CC_NACIONAL!C1268="","",MOV_CC_NACIONAL!C1268)</f>
        <v/>
      </c>
      <c r="D1268" s="22" t="str">
        <f t="shared" si="1"/>
        <v>Other</v>
      </c>
    </row>
    <row r="1269" ht="15.75" customHeight="1">
      <c r="A1269" s="22" t="str">
        <f>IF(MOV_CC_NACIONAL!A1269="","",MOV_CC_NACIONAL!A1269)</f>
        <v/>
      </c>
      <c r="B1269" s="22" t="str">
        <f>IF(MOV_CC_NACIONAL!B1269="","",MOV_CC_NACIONAL!B1269)</f>
        <v/>
      </c>
      <c r="C1269" s="21" t="str">
        <f>IF(MOV_CC_NACIONAL!C1269="","",MOV_CC_NACIONAL!C1269)</f>
        <v/>
      </c>
      <c r="D1269" s="22" t="str">
        <f t="shared" si="1"/>
        <v>Other</v>
      </c>
    </row>
    <row r="1270" ht="15.75" customHeight="1">
      <c r="A1270" s="22" t="str">
        <f>IF(MOV_CC_NACIONAL!A1270="","",MOV_CC_NACIONAL!A1270)</f>
        <v/>
      </c>
      <c r="B1270" s="22" t="str">
        <f>IF(MOV_CC_NACIONAL!B1270="","",MOV_CC_NACIONAL!B1270)</f>
        <v/>
      </c>
      <c r="C1270" s="21" t="str">
        <f>IF(MOV_CC_NACIONAL!C1270="","",MOV_CC_NACIONAL!C1270)</f>
        <v/>
      </c>
      <c r="D1270" s="22" t="str">
        <f t="shared" si="1"/>
        <v>Other</v>
      </c>
    </row>
    <row r="1271" ht="15.75" customHeight="1">
      <c r="A1271" s="22" t="str">
        <f>IF(MOV_CC_NACIONAL!A1271="","",MOV_CC_NACIONAL!A1271)</f>
        <v/>
      </c>
      <c r="B1271" s="22" t="str">
        <f>IF(MOV_CC_NACIONAL!B1271="","",MOV_CC_NACIONAL!B1271)</f>
        <v/>
      </c>
      <c r="C1271" s="21" t="str">
        <f>IF(MOV_CC_NACIONAL!C1271="","",MOV_CC_NACIONAL!C1271)</f>
        <v/>
      </c>
      <c r="D1271" s="22" t="str">
        <f t="shared" si="1"/>
        <v>Other</v>
      </c>
    </row>
    <row r="1272" ht="15.75" customHeight="1">
      <c r="A1272" s="22" t="str">
        <f>IF(MOV_CC_NACIONAL!A1272="","",MOV_CC_NACIONAL!A1272)</f>
        <v/>
      </c>
      <c r="B1272" s="22" t="str">
        <f>IF(MOV_CC_NACIONAL!B1272="","",MOV_CC_NACIONAL!B1272)</f>
        <v/>
      </c>
      <c r="C1272" s="21" t="str">
        <f>IF(MOV_CC_NACIONAL!C1272="","",MOV_CC_NACIONAL!C1272)</f>
        <v/>
      </c>
      <c r="D1272" s="22" t="str">
        <f t="shared" si="1"/>
        <v>Other</v>
      </c>
    </row>
    <row r="1273" ht="15.75" customHeight="1">
      <c r="A1273" s="22" t="str">
        <f>IF(MOV_CC_NACIONAL!A1273="","",MOV_CC_NACIONAL!A1273)</f>
        <v/>
      </c>
      <c r="B1273" s="22" t="str">
        <f>IF(MOV_CC_NACIONAL!B1273="","",MOV_CC_NACIONAL!B1273)</f>
        <v/>
      </c>
      <c r="C1273" s="21" t="str">
        <f>IF(MOV_CC_NACIONAL!C1273="","",MOV_CC_NACIONAL!C1273)</f>
        <v/>
      </c>
      <c r="D1273" s="22" t="str">
        <f t="shared" si="1"/>
        <v>Other</v>
      </c>
    </row>
    <row r="1274" ht="15.75" customHeight="1">
      <c r="A1274" s="22" t="str">
        <f>IF(MOV_CC_NACIONAL!A1274="","",MOV_CC_NACIONAL!A1274)</f>
        <v/>
      </c>
      <c r="B1274" s="22" t="str">
        <f>IF(MOV_CC_NACIONAL!B1274="","",MOV_CC_NACIONAL!B1274)</f>
        <v/>
      </c>
      <c r="C1274" s="21" t="str">
        <f>IF(MOV_CC_NACIONAL!C1274="","",MOV_CC_NACIONAL!C1274)</f>
        <v/>
      </c>
      <c r="D1274" s="22" t="str">
        <f t="shared" si="1"/>
        <v>Other</v>
      </c>
    </row>
    <row r="1275" ht="15.75" customHeight="1">
      <c r="A1275" s="22" t="str">
        <f>IF(MOV_CC_NACIONAL!A1275="","",MOV_CC_NACIONAL!A1275)</f>
        <v/>
      </c>
      <c r="B1275" s="22" t="str">
        <f>IF(MOV_CC_NACIONAL!B1275="","",MOV_CC_NACIONAL!B1275)</f>
        <v/>
      </c>
      <c r="C1275" s="21" t="str">
        <f>IF(MOV_CC_NACIONAL!C1275="","",MOV_CC_NACIONAL!C1275)</f>
        <v/>
      </c>
      <c r="D1275" s="22" t="str">
        <f t="shared" si="1"/>
        <v>Other</v>
      </c>
    </row>
    <row r="1276" ht="15.75" customHeight="1">
      <c r="A1276" s="22" t="str">
        <f>IF(MOV_CC_NACIONAL!A1276="","",MOV_CC_NACIONAL!A1276)</f>
        <v/>
      </c>
      <c r="B1276" s="22" t="str">
        <f>IF(MOV_CC_NACIONAL!B1276="","",MOV_CC_NACIONAL!B1276)</f>
        <v/>
      </c>
      <c r="C1276" s="21" t="str">
        <f>IF(MOV_CC_NACIONAL!C1276="","",MOV_CC_NACIONAL!C1276)</f>
        <v/>
      </c>
      <c r="D1276" s="22" t="str">
        <f t="shared" si="1"/>
        <v>Other</v>
      </c>
    </row>
    <row r="1277" ht="15.75" customHeight="1">
      <c r="A1277" s="22" t="str">
        <f>IF(MOV_CC_NACIONAL!A1277="","",MOV_CC_NACIONAL!A1277)</f>
        <v/>
      </c>
      <c r="B1277" s="22" t="str">
        <f>IF(MOV_CC_NACIONAL!B1277="","",MOV_CC_NACIONAL!B1277)</f>
        <v/>
      </c>
      <c r="C1277" s="21" t="str">
        <f>IF(MOV_CC_NACIONAL!C1277="","",MOV_CC_NACIONAL!C1277)</f>
        <v/>
      </c>
      <c r="D1277" s="22" t="str">
        <f t="shared" si="1"/>
        <v>Other</v>
      </c>
    </row>
    <row r="1278" ht="15.75" customHeight="1">
      <c r="A1278" s="22" t="str">
        <f>IF(MOV_CC_NACIONAL!A1278="","",MOV_CC_NACIONAL!A1278)</f>
        <v/>
      </c>
      <c r="B1278" s="22" t="str">
        <f>IF(MOV_CC_NACIONAL!B1278="","",MOV_CC_NACIONAL!B1278)</f>
        <v/>
      </c>
      <c r="C1278" s="21" t="str">
        <f>IF(MOV_CC_NACIONAL!C1278="","",MOV_CC_NACIONAL!C1278)</f>
        <v/>
      </c>
      <c r="D1278" s="22" t="str">
        <f t="shared" si="1"/>
        <v>Other</v>
      </c>
    </row>
    <row r="1279" ht="15.75" customHeight="1">
      <c r="A1279" s="22" t="str">
        <f>IF(MOV_CC_NACIONAL!A1279="","",MOV_CC_NACIONAL!A1279)</f>
        <v/>
      </c>
      <c r="B1279" s="22" t="str">
        <f>IF(MOV_CC_NACIONAL!B1279="","",MOV_CC_NACIONAL!B1279)</f>
        <v/>
      </c>
      <c r="C1279" s="21" t="str">
        <f>IF(MOV_CC_NACIONAL!C1279="","",MOV_CC_NACIONAL!C1279)</f>
        <v/>
      </c>
      <c r="D1279" s="22" t="str">
        <f t="shared" si="1"/>
        <v>Other</v>
      </c>
    </row>
    <row r="1280" ht="15.75" customHeight="1">
      <c r="A1280" s="22" t="str">
        <f>IF(MOV_CC_NACIONAL!A1280="","",MOV_CC_NACIONAL!A1280)</f>
        <v/>
      </c>
      <c r="B1280" s="22" t="str">
        <f>IF(MOV_CC_NACIONAL!B1280="","",MOV_CC_NACIONAL!B1280)</f>
        <v/>
      </c>
      <c r="C1280" s="21" t="str">
        <f>IF(MOV_CC_NACIONAL!C1280="","",MOV_CC_NACIONAL!C1280)</f>
        <v/>
      </c>
      <c r="D1280" s="22" t="str">
        <f t="shared" si="1"/>
        <v>Other</v>
      </c>
    </row>
    <row r="1281" ht="15.75" customHeight="1">
      <c r="A1281" s="22" t="str">
        <f>IF(MOV_CC_NACIONAL!A1281="","",MOV_CC_NACIONAL!A1281)</f>
        <v/>
      </c>
      <c r="B1281" s="22" t="str">
        <f>IF(MOV_CC_NACIONAL!B1281="","",MOV_CC_NACIONAL!B1281)</f>
        <v/>
      </c>
      <c r="C1281" s="21" t="str">
        <f>IF(MOV_CC_NACIONAL!C1281="","",MOV_CC_NACIONAL!C1281)</f>
        <v/>
      </c>
      <c r="D1281" s="22" t="str">
        <f t="shared" si="1"/>
        <v>Other</v>
      </c>
    </row>
    <row r="1282" ht="15.75" customHeight="1">
      <c r="A1282" s="22" t="str">
        <f>IF(MOV_CC_NACIONAL!A1282="","",MOV_CC_NACIONAL!A1282)</f>
        <v/>
      </c>
      <c r="B1282" s="22" t="str">
        <f>IF(MOV_CC_NACIONAL!B1282="","",MOV_CC_NACIONAL!B1282)</f>
        <v/>
      </c>
      <c r="C1282" s="21" t="str">
        <f>IF(MOV_CC_NACIONAL!C1282="","",MOV_CC_NACIONAL!C1282)</f>
        <v/>
      </c>
      <c r="D1282" s="22" t="str">
        <f t="shared" si="1"/>
        <v>Other</v>
      </c>
    </row>
    <row r="1283" ht="15.75" customHeight="1">
      <c r="A1283" s="22" t="str">
        <f>IF(MOV_CC_NACIONAL!A1283="","",MOV_CC_NACIONAL!A1283)</f>
        <v/>
      </c>
      <c r="B1283" s="22" t="str">
        <f>IF(MOV_CC_NACIONAL!B1283="","",MOV_CC_NACIONAL!B1283)</f>
        <v/>
      </c>
      <c r="C1283" s="21" t="str">
        <f>IF(MOV_CC_NACIONAL!C1283="","",MOV_CC_NACIONAL!C1283)</f>
        <v/>
      </c>
      <c r="D1283" s="22" t="str">
        <f t="shared" si="1"/>
        <v>Other</v>
      </c>
    </row>
    <row r="1284" ht="15.75" customHeight="1">
      <c r="A1284" s="22" t="str">
        <f>IF(MOV_CC_NACIONAL!A1284="","",MOV_CC_NACIONAL!A1284)</f>
        <v/>
      </c>
      <c r="B1284" s="22" t="str">
        <f>IF(MOV_CC_NACIONAL!B1284="","",MOV_CC_NACIONAL!B1284)</f>
        <v/>
      </c>
      <c r="C1284" s="21" t="str">
        <f>IF(MOV_CC_NACIONAL!C1284="","",MOV_CC_NACIONAL!C1284)</f>
        <v/>
      </c>
      <c r="D1284" s="22" t="str">
        <f t="shared" si="1"/>
        <v>Other</v>
      </c>
    </row>
    <row r="1285" ht="15.75" customHeight="1">
      <c r="A1285" s="22" t="str">
        <f>IF(MOV_CC_NACIONAL!A1285="","",MOV_CC_NACIONAL!A1285)</f>
        <v/>
      </c>
      <c r="B1285" s="22" t="str">
        <f>IF(MOV_CC_NACIONAL!B1285="","",MOV_CC_NACIONAL!B1285)</f>
        <v/>
      </c>
      <c r="C1285" s="21" t="str">
        <f>IF(MOV_CC_NACIONAL!C1285="","",MOV_CC_NACIONAL!C1285)</f>
        <v/>
      </c>
      <c r="D1285" s="22" t="str">
        <f t="shared" si="1"/>
        <v>Other</v>
      </c>
    </row>
    <row r="1286" ht="15.75" customHeight="1">
      <c r="A1286" s="22" t="str">
        <f>IF(MOV_CC_NACIONAL!A1286="","",MOV_CC_NACIONAL!A1286)</f>
        <v/>
      </c>
      <c r="B1286" s="22" t="str">
        <f>IF(MOV_CC_NACIONAL!B1286="","",MOV_CC_NACIONAL!B1286)</f>
        <v/>
      </c>
      <c r="C1286" s="21" t="str">
        <f>IF(MOV_CC_NACIONAL!C1286="","",MOV_CC_NACIONAL!C1286)</f>
        <v/>
      </c>
      <c r="D1286" s="22" t="str">
        <f t="shared" si="1"/>
        <v>Other</v>
      </c>
    </row>
    <row r="1287" ht="15.75" customHeight="1">
      <c r="A1287" s="22" t="str">
        <f>IF(MOV_CC_NACIONAL!A1287="","",MOV_CC_NACIONAL!A1287)</f>
        <v/>
      </c>
      <c r="B1287" s="22" t="str">
        <f>IF(MOV_CC_NACIONAL!B1287="","",MOV_CC_NACIONAL!B1287)</f>
        <v/>
      </c>
      <c r="C1287" s="21" t="str">
        <f>IF(MOV_CC_NACIONAL!C1287="","",MOV_CC_NACIONAL!C1287)</f>
        <v/>
      </c>
      <c r="D1287" s="22" t="str">
        <f t="shared" si="1"/>
        <v>Other</v>
      </c>
    </row>
    <row r="1288" ht="15.75" customHeight="1">
      <c r="A1288" s="22" t="str">
        <f>IF(MOV_CC_NACIONAL!A1288="","",MOV_CC_NACIONAL!A1288)</f>
        <v/>
      </c>
      <c r="B1288" s="22" t="str">
        <f>IF(MOV_CC_NACIONAL!B1288="","",MOV_CC_NACIONAL!B1288)</f>
        <v/>
      </c>
      <c r="C1288" s="21" t="str">
        <f>IF(MOV_CC_NACIONAL!C1288="","",MOV_CC_NACIONAL!C1288)</f>
        <v/>
      </c>
      <c r="D1288" s="22" t="str">
        <f t="shared" si="1"/>
        <v>Other</v>
      </c>
    </row>
    <row r="1289" ht="15.75" customHeight="1">
      <c r="A1289" s="22" t="str">
        <f>IF(MOV_CC_NACIONAL!A1289="","",MOV_CC_NACIONAL!A1289)</f>
        <v/>
      </c>
      <c r="B1289" s="22" t="str">
        <f>IF(MOV_CC_NACIONAL!B1289="","",MOV_CC_NACIONAL!B1289)</f>
        <v/>
      </c>
      <c r="C1289" s="21" t="str">
        <f>IF(MOV_CC_NACIONAL!C1289="","",MOV_CC_NACIONAL!C1289)</f>
        <v/>
      </c>
      <c r="D1289" s="22" t="str">
        <f t="shared" si="1"/>
        <v>Other</v>
      </c>
    </row>
    <row r="1290" ht="15.75" customHeight="1">
      <c r="A1290" s="22" t="str">
        <f>IF(MOV_CC_NACIONAL!A1290="","",MOV_CC_NACIONAL!A1290)</f>
        <v/>
      </c>
      <c r="B1290" s="22" t="str">
        <f>IF(MOV_CC_NACIONAL!B1290="","",MOV_CC_NACIONAL!B1290)</f>
        <v/>
      </c>
      <c r="C1290" s="21" t="str">
        <f>IF(MOV_CC_NACIONAL!C1290="","",MOV_CC_NACIONAL!C1290)</f>
        <v/>
      </c>
      <c r="D1290" s="22" t="str">
        <f t="shared" si="1"/>
        <v>Other</v>
      </c>
    </row>
    <row r="1291" ht="15.75" customHeight="1">
      <c r="A1291" s="22" t="str">
        <f>IF(MOV_CC_NACIONAL!A1291="","",MOV_CC_NACIONAL!A1291)</f>
        <v/>
      </c>
      <c r="B1291" s="22" t="str">
        <f>IF(MOV_CC_NACIONAL!B1291="","",MOV_CC_NACIONAL!B1291)</f>
        <v/>
      </c>
      <c r="C1291" s="21" t="str">
        <f>IF(MOV_CC_NACIONAL!C1291="","",MOV_CC_NACIONAL!C1291)</f>
        <v/>
      </c>
      <c r="D1291" s="22" t="str">
        <f t="shared" si="1"/>
        <v>Other</v>
      </c>
    </row>
    <row r="1292" ht="15.75" customHeight="1">
      <c r="A1292" s="22" t="str">
        <f>IF(MOV_CC_NACIONAL!A1292="","",MOV_CC_NACIONAL!A1292)</f>
        <v/>
      </c>
      <c r="B1292" s="22" t="str">
        <f>IF(MOV_CC_NACIONAL!B1292="","",MOV_CC_NACIONAL!B1292)</f>
        <v/>
      </c>
      <c r="C1292" s="21" t="str">
        <f>IF(MOV_CC_NACIONAL!C1292="","",MOV_CC_NACIONAL!C1292)</f>
        <v/>
      </c>
      <c r="D1292" s="22" t="str">
        <f t="shared" si="1"/>
        <v>Other</v>
      </c>
    </row>
    <row r="1293" ht="15.75" customHeight="1">
      <c r="A1293" s="22" t="str">
        <f>IF(MOV_CC_NACIONAL!A1293="","",MOV_CC_NACIONAL!A1293)</f>
        <v/>
      </c>
      <c r="B1293" s="22" t="str">
        <f>IF(MOV_CC_NACIONAL!B1293="","",MOV_CC_NACIONAL!B1293)</f>
        <v/>
      </c>
      <c r="C1293" s="21" t="str">
        <f>IF(MOV_CC_NACIONAL!C1293="","",MOV_CC_NACIONAL!C1293)</f>
        <v/>
      </c>
      <c r="D1293" s="22" t="str">
        <f t="shared" si="1"/>
        <v>Other</v>
      </c>
    </row>
    <row r="1294" ht="15.75" customHeight="1">
      <c r="A1294" s="22" t="str">
        <f>IF(MOV_CC_NACIONAL!A1294="","",MOV_CC_NACIONAL!A1294)</f>
        <v/>
      </c>
      <c r="B1294" s="22" t="str">
        <f>IF(MOV_CC_NACIONAL!B1294="","",MOV_CC_NACIONAL!B1294)</f>
        <v/>
      </c>
      <c r="C1294" s="21" t="str">
        <f>IF(MOV_CC_NACIONAL!C1294="","",MOV_CC_NACIONAL!C1294)</f>
        <v/>
      </c>
      <c r="D1294" s="22" t="str">
        <f t="shared" si="1"/>
        <v>Other</v>
      </c>
    </row>
    <row r="1295" ht="15.75" customHeight="1">
      <c r="A1295" s="22" t="str">
        <f>IF(MOV_CC_NACIONAL!A1295="","",MOV_CC_NACIONAL!A1295)</f>
        <v/>
      </c>
      <c r="B1295" s="22" t="str">
        <f>IF(MOV_CC_NACIONAL!B1295="","",MOV_CC_NACIONAL!B1295)</f>
        <v/>
      </c>
      <c r="C1295" s="21" t="str">
        <f>IF(MOV_CC_NACIONAL!C1295="","",MOV_CC_NACIONAL!C1295)</f>
        <v/>
      </c>
      <c r="D1295" s="22" t="str">
        <f t="shared" si="1"/>
        <v>Other</v>
      </c>
    </row>
    <row r="1296" ht="15.75" customHeight="1">
      <c r="A1296" s="22" t="str">
        <f>IF(MOV_CC_NACIONAL!A1296="","",MOV_CC_NACIONAL!A1296)</f>
        <v/>
      </c>
      <c r="B1296" s="22" t="str">
        <f>IF(MOV_CC_NACIONAL!B1296="","",MOV_CC_NACIONAL!B1296)</f>
        <v/>
      </c>
      <c r="C1296" s="21" t="str">
        <f>IF(MOV_CC_NACIONAL!C1296="","",MOV_CC_NACIONAL!C1296)</f>
        <v/>
      </c>
      <c r="D1296" s="22" t="str">
        <f t="shared" si="1"/>
        <v>Other</v>
      </c>
    </row>
    <row r="1297" ht="15.75" customHeight="1">
      <c r="A1297" s="22" t="str">
        <f>IF(MOV_CC_NACIONAL!A1297="","",MOV_CC_NACIONAL!A1297)</f>
        <v/>
      </c>
      <c r="B1297" s="22" t="str">
        <f>IF(MOV_CC_NACIONAL!B1297="","",MOV_CC_NACIONAL!B1297)</f>
        <v/>
      </c>
      <c r="C1297" s="21" t="str">
        <f>IF(MOV_CC_NACIONAL!C1297="","",MOV_CC_NACIONAL!C1297)</f>
        <v/>
      </c>
      <c r="D1297" s="22" t="str">
        <f t="shared" si="1"/>
        <v>Other</v>
      </c>
    </row>
    <row r="1298" ht="15.75" customHeight="1">
      <c r="A1298" s="22" t="str">
        <f>IF(MOV_CC_NACIONAL!A1298="","",MOV_CC_NACIONAL!A1298)</f>
        <v/>
      </c>
      <c r="B1298" s="22" t="str">
        <f>IF(MOV_CC_NACIONAL!B1298="","",MOV_CC_NACIONAL!B1298)</f>
        <v/>
      </c>
      <c r="C1298" s="21" t="str">
        <f>IF(MOV_CC_NACIONAL!C1298="","",MOV_CC_NACIONAL!C1298)</f>
        <v/>
      </c>
      <c r="D1298" s="22" t="str">
        <f t="shared" si="1"/>
        <v>Other</v>
      </c>
    </row>
    <row r="1299" ht="15.75" customHeight="1">
      <c r="A1299" s="22" t="str">
        <f>IF(MOV_CC_NACIONAL!A1299="","",MOV_CC_NACIONAL!A1299)</f>
        <v/>
      </c>
      <c r="B1299" s="22" t="str">
        <f>IF(MOV_CC_NACIONAL!B1299="","",MOV_CC_NACIONAL!B1299)</f>
        <v/>
      </c>
      <c r="C1299" s="21" t="str">
        <f>IF(MOV_CC_NACIONAL!C1299="","",MOV_CC_NACIONAL!C1299)</f>
        <v/>
      </c>
      <c r="D1299" s="22" t="str">
        <f t="shared" si="1"/>
        <v>Other</v>
      </c>
    </row>
    <row r="1300" ht="15.75" customHeight="1">
      <c r="A1300" s="22" t="str">
        <f>IF(MOV_CC_NACIONAL!A1300="","",MOV_CC_NACIONAL!A1300)</f>
        <v/>
      </c>
      <c r="B1300" s="22" t="str">
        <f>IF(MOV_CC_NACIONAL!B1300="","",MOV_CC_NACIONAL!B1300)</f>
        <v/>
      </c>
      <c r="C1300" s="21" t="str">
        <f>IF(MOV_CC_NACIONAL!C1300="","",MOV_CC_NACIONAL!C1300)</f>
        <v/>
      </c>
      <c r="D1300" s="22" t="str">
        <f t="shared" si="1"/>
        <v>Other</v>
      </c>
    </row>
    <row r="1301" ht="15.75" customHeight="1">
      <c r="A1301" s="22" t="str">
        <f>IF(MOV_CC_NACIONAL!A1301="","",MOV_CC_NACIONAL!A1301)</f>
        <v/>
      </c>
      <c r="B1301" s="22" t="str">
        <f>IF(MOV_CC_NACIONAL!B1301="","",MOV_CC_NACIONAL!B1301)</f>
        <v/>
      </c>
      <c r="C1301" s="21" t="str">
        <f>IF(MOV_CC_NACIONAL!C1301="","",MOV_CC_NACIONAL!C1301)</f>
        <v/>
      </c>
      <c r="D1301" s="22" t="str">
        <f t="shared" si="1"/>
        <v>Other</v>
      </c>
    </row>
    <row r="1302" ht="15.75" customHeight="1">
      <c r="A1302" s="22" t="str">
        <f>IF(MOV_CC_NACIONAL!A1302="","",MOV_CC_NACIONAL!A1302)</f>
        <v/>
      </c>
      <c r="B1302" s="22" t="str">
        <f>IF(MOV_CC_NACIONAL!B1302="","",MOV_CC_NACIONAL!B1302)</f>
        <v/>
      </c>
      <c r="C1302" s="21" t="str">
        <f>IF(MOV_CC_NACIONAL!C1302="","",MOV_CC_NACIONAL!C1302)</f>
        <v/>
      </c>
      <c r="D1302" s="22" t="str">
        <f t="shared" si="1"/>
        <v>Other</v>
      </c>
    </row>
    <row r="1303" ht="15.75" customHeight="1">
      <c r="A1303" s="22" t="str">
        <f>IF(MOV_CC_NACIONAL!A1303="","",MOV_CC_NACIONAL!A1303)</f>
        <v/>
      </c>
      <c r="B1303" s="22" t="str">
        <f>IF(MOV_CC_NACIONAL!B1303="","",MOV_CC_NACIONAL!B1303)</f>
        <v/>
      </c>
      <c r="C1303" s="21" t="str">
        <f>IF(MOV_CC_NACIONAL!C1303="","",MOV_CC_NACIONAL!C1303)</f>
        <v/>
      </c>
      <c r="D1303" s="22" t="str">
        <f t="shared" si="1"/>
        <v>Other</v>
      </c>
    </row>
    <row r="1304" ht="15.75" customHeight="1">
      <c r="A1304" s="22" t="str">
        <f>IF(MOV_CC_NACIONAL!A1304="","",MOV_CC_NACIONAL!A1304)</f>
        <v/>
      </c>
      <c r="B1304" s="22" t="str">
        <f>IF(MOV_CC_NACIONAL!B1304="","",MOV_CC_NACIONAL!B1304)</f>
        <v/>
      </c>
      <c r="C1304" s="21" t="str">
        <f>IF(MOV_CC_NACIONAL!C1304="","",MOV_CC_NACIONAL!C1304)</f>
        <v/>
      </c>
      <c r="D1304" s="22" t="str">
        <f t="shared" si="1"/>
        <v>Other</v>
      </c>
    </row>
    <row r="1305" ht="15.75" customHeight="1">
      <c r="A1305" s="22" t="str">
        <f>IF(MOV_CC_NACIONAL!A1305="","",MOV_CC_NACIONAL!A1305)</f>
        <v/>
      </c>
      <c r="B1305" s="22" t="str">
        <f>IF(MOV_CC_NACIONAL!B1305="","",MOV_CC_NACIONAL!B1305)</f>
        <v/>
      </c>
      <c r="C1305" s="21" t="str">
        <f>IF(MOV_CC_NACIONAL!C1305="","",MOV_CC_NACIONAL!C1305)</f>
        <v/>
      </c>
      <c r="D1305" s="22" t="str">
        <f t="shared" si="1"/>
        <v>Other</v>
      </c>
    </row>
    <row r="1306" ht="15.75" customHeight="1">
      <c r="A1306" s="22" t="str">
        <f>IF(MOV_CC_NACIONAL!A1306="","",MOV_CC_NACIONAL!A1306)</f>
        <v/>
      </c>
      <c r="B1306" s="22" t="str">
        <f>IF(MOV_CC_NACIONAL!B1306="","",MOV_CC_NACIONAL!B1306)</f>
        <v/>
      </c>
      <c r="C1306" s="21" t="str">
        <f>IF(MOV_CC_NACIONAL!C1306="","",MOV_CC_NACIONAL!C1306)</f>
        <v/>
      </c>
      <c r="D1306" s="22" t="str">
        <f t="shared" si="1"/>
        <v>Other</v>
      </c>
    </row>
    <row r="1307" ht="15.75" customHeight="1">
      <c r="A1307" s="22" t="str">
        <f>IF(MOV_CC_NACIONAL!A1307="","",MOV_CC_NACIONAL!A1307)</f>
        <v/>
      </c>
      <c r="B1307" s="22" t="str">
        <f>IF(MOV_CC_NACIONAL!B1307="","",MOV_CC_NACIONAL!B1307)</f>
        <v/>
      </c>
      <c r="C1307" s="21" t="str">
        <f>IF(MOV_CC_NACIONAL!C1307="","",MOV_CC_NACIONAL!C1307)</f>
        <v/>
      </c>
      <c r="D1307" s="22" t="str">
        <f t="shared" si="1"/>
        <v>Other</v>
      </c>
    </row>
    <row r="1308" ht="15.75" customHeight="1">
      <c r="A1308" s="22" t="str">
        <f>IF(MOV_CC_NACIONAL!A1308="","",MOV_CC_NACIONAL!A1308)</f>
        <v/>
      </c>
      <c r="B1308" s="22" t="str">
        <f>IF(MOV_CC_NACIONAL!B1308="","",MOV_CC_NACIONAL!B1308)</f>
        <v/>
      </c>
      <c r="C1308" s="21" t="str">
        <f>IF(MOV_CC_NACIONAL!C1308="","",MOV_CC_NACIONAL!C1308)</f>
        <v/>
      </c>
      <c r="D1308" s="22" t="str">
        <f t="shared" si="1"/>
        <v>Other</v>
      </c>
    </row>
    <row r="1309" ht="15.75" customHeight="1">
      <c r="A1309" s="22" t="str">
        <f>IF(MOV_CC_NACIONAL!A1309="","",MOV_CC_NACIONAL!A1309)</f>
        <v/>
      </c>
      <c r="B1309" s="22" t="str">
        <f>IF(MOV_CC_NACIONAL!B1309="","",MOV_CC_NACIONAL!B1309)</f>
        <v/>
      </c>
      <c r="C1309" s="21" t="str">
        <f>IF(MOV_CC_NACIONAL!C1309="","",MOV_CC_NACIONAL!C1309)</f>
        <v/>
      </c>
      <c r="D1309" s="22" t="str">
        <f t="shared" si="1"/>
        <v>Other</v>
      </c>
    </row>
    <row r="1310" ht="15.75" customHeight="1">
      <c r="A1310" s="22" t="str">
        <f>IF(MOV_CC_NACIONAL!A1310="","",MOV_CC_NACIONAL!A1310)</f>
        <v/>
      </c>
      <c r="B1310" s="22" t="str">
        <f>IF(MOV_CC_NACIONAL!B1310="","",MOV_CC_NACIONAL!B1310)</f>
        <v/>
      </c>
      <c r="C1310" s="21" t="str">
        <f>IF(MOV_CC_NACIONAL!C1310="","",MOV_CC_NACIONAL!C1310)</f>
        <v/>
      </c>
      <c r="D1310" s="22" t="str">
        <f t="shared" si="1"/>
        <v>Other</v>
      </c>
    </row>
    <row r="1311" ht="15.75" customHeight="1">
      <c r="A1311" s="22" t="str">
        <f>IF(MOV_CC_NACIONAL!A1311="","",MOV_CC_NACIONAL!A1311)</f>
        <v/>
      </c>
      <c r="B1311" s="22" t="str">
        <f>IF(MOV_CC_NACIONAL!B1311="","",MOV_CC_NACIONAL!B1311)</f>
        <v/>
      </c>
      <c r="C1311" s="21" t="str">
        <f>IF(MOV_CC_NACIONAL!C1311="","",MOV_CC_NACIONAL!C1311)</f>
        <v/>
      </c>
      <c r="D1311" s="22" t="str">
        <f t="shared" si="1"/>
        <v>Other</v>
      </c>
    </row>
    <row r="1312" ht="15.75" customHeight="1">
      <c r="A1312" s="22" t="str">
        <f>IF(MOV_CC_NACIONAL!A1312="","",MOV_CC_NACIONAL!A1312)</f>
        <v/>
      </c>
      <c r="B1312" s="22" t="str">
        <f>IF(MOV_CC_NACIONAL!B1312="","",MOV_CC_NACIONAL!B1312)</f>
        <v/>
      </c>
      <c r="C1312" s="21" t="str">
        <f>IF(MOV_CC_NACIONAL!C1312="","",MOV_CC_NACIONAL!C1312)</f>
        <v/>
      </c>
      <c r="D1312" s="22" t="str">
        <f t="shared" si="1"/>
        <v>Other</v>
      </c>
    </row>
    <row r="1313" ht="15.75" customHeight="1">
      <c r="A1313" s="22" t="str">
        <f>IF(MOV_CC_NACIONAL!A1313="","",MOV_CC_NACIONAL!A1313)</f>
        <v/>
      </c>
      <c r="B1313" s="22" t="str">
        <f>IF(MOV_CC_NACIONAL!B1313="","",MOV_CC_NACIONAL!B1313)</f>
        <v/>
      </c>
      <c r="C1313" s="21" t="str">
        <f>IF(MOV_CC_NACIONAL!C1313="","",MOV_CC_NACIONAL!C1313)</f>
        <v/>
      </c>
      <c r="D1313" s="22" t="str">
        <f t="shared" si="1"/>
        <v>Other</v>
      </c>
    </row>
    <row r="1314" ht="15.75" customHeight="1">
      <c r="A1314" s="22" t="str">
        <f>IF(MOV_CC_NACIONAL!A1314="","",MOV_CC_NACIONAL!A1314)</f>
        <v/>
      </c>
      <c r="B1314" s="22" t="str">
        <f>IF(MOV_CC_NACIONAL!B1314="","",MOV_CC_NACIONAL!B1314)</f>
        <v/>
      </c>
      <c r="C1314" s="21" t="str">
        <f>IF(MOV_CC_NACIONAL!C1314="","",MOV_CC_NACIONAL!C1314)</f>
        <v/>
      </c>
      <c r="D1314" s="22" t="str">
        <f t="shared" si="1"/>
        <v>Other</v>
      </c>
    </row>
    <row r="1315" ht="15.75" customHeight="1">
      <c r="A1315" s="22" t="str">
        <f>IF(MOV_CC_NACIONAL!A1315="","",MOV_CC_NACIONAL!A1315)</f>
        <v/>
      </c>
      <c r="B1315" s="22" t="str">
        <f>IF(MOV_CC_NACIONAL!B1315="","",MOV_CC_NACIONAL!B1315)</f>
        <v/>
      </c>
      <c r="C1315" s="21" t="str">
        <f>IF(MOV_CC_NACIONAL!C1315="","",MOV_CC_NACIONAL!C1315)</f>
        <v/>
      </c>
      <c r="D1315" s="22" t="str">
        <f t="shared" si="1"/>
        <v>Other</v>
      </c>
    </row>
    <row r="1316" ht="15.75" customHeight="1">
      <c r="A1316" s="22" t="str">
        <f>IF(MOV_CC_NACIONAL!A1316="","",MOV_CC_NACIONAL!A1316)</f>
        <v/>
      </c>
      <c r="B1316" s="22" t="str">
        <f>IF(MOV_CC_NACIONAL!B1316="","",MOV_CC_NACIONAL!B1316)</f>
        <v/>
      </c>
      <c r="C1316" s="21" t="str">
        <f>IF(MOV_CC_NACIONAL!C1316="","",MOV_CC_NACIONAL!C1316)</f>
        <v/>
      </c>
      <c r="D1316" s="22" t="str">
        <f t="shared" si="1"/>
        <v>Other</v>
      </c>
    </row>
    <row r="1317" ht="15.75" customHeight="1">
      <c r="A1317" s="22" t="str">
        <f>IF(MOV_CC_NACIONAL!A1317="","",MOV_CC_NACIONAL!A1317)</f>
        <v/>
      </c>
      <c r="B1317" s="22" t="str">
        <f>IF(MOV_CC_NACIONAL!B1317="","",MOV_CC_NACIONAL!B1317)</f>
        <v/>
      </c>
      <c r="C1317" s="21" t="str">
        <f>IF(MOV_CC_NACIONAL!C1317="","",MOV_CC_NACIONAL!C1317)</f>
        <v/>
      </c>
      <c r="D1317" s="22" t="str">
        <f t="shared" si="1"/>
        <v>Other</v>
      </c>
    </row>
    <row r="1318" ht="15.75" customHeight="1">
      <c r="A1318" s="22" t="str">
        <f>IF(MOV_CC_NACIONAL!A1318="","",MOV_CC_NACIONAL!A1318)</f>
        <v/>
      </c>
      <c r="B1318" s="22" t="str">
        <f>IF(MOV_CC_NACIONAL!B1318="","",MOV_CC_NACIONAL!B1318)</f>
        <v/>
      </c>
      <c r="C1318" s="21" t="str">
        <f>IF(MOV_CC_NACIONAL!C1318="","",MOV_CC_NACIONAL!C1318)</f>
        <v/>
      </c>
      <c r="D1318" s="22" t="str">
        <f t="shared" si="1"/>
        <v>Other</v>
      </c>
    </row>
    <row r="1319" ht="15.75" customHeight="1">
      <c r="A1319" s="22" t="str">
        <f>IF(MOV_CC_NACIONAL!A1319="","",MOV_CC_NACIONAL!A1319)</f>
        <v/>
      </c>
      <c r="B1319" s="22" t="str">
        <f>IF(MOV_CC_NACIONAL!B1319="","",MOV_CC_NACIONAL!B1319)</f>
        <v/>
      </c>
      <c r="C1319" s="21" t="str">
        <f>IF(MOV_CC_NACIONAL!C1319="","",MOV_CC_NACIONAL!C1319)</f>
        <v/>
      </c>
      <c r="D1319" s="22" t="str">
        <f t="shared" si="1"/>
        <v>Other</v>
      </c>
    </row>
    <row r="1320" ht="15.75" customHeight="1">
      <c r="A1320" s="22" t="str">
        <f>IF(MOV_CC_NACIONAL!A1320="","",MOV_CC_NACIONAL!A1320)</f>
        <v/>
      </c>
      <c r="B1320" s="22" t="str">
        <f>IF(MOV_CC_NACIONAL!B1320="","",MOV_CC_NACIONAL!B1320)</f>
        <v/>
      </c>
      <c r="C1320" s="21" t="str">
        <f>IF(MOV_CC_NACIONAL!C1320="","",MOV_CC_NACIONAL!C1320)</f>
        <v/>
      </c>
      <c r="D1320" s="22" t="str">
        <f t="shared" si="1"/>
        <v>Other</v>
      </c>
    </row>
    <row r="1321" ht="15.75" customHeight="1">
      <c r="A1321" s="22" t="str">
        <f>IF(MOV_CC_NACIONAL!A1321="","",MOV_CC_NACIONAL!A1321)</f>
        <v/>
      </c>
      <c r="B1321" s="22" t="str">
        <f>IF(MOV_CC_NACIONAL!B1321="","",MOV_CC_NACIONAL!B1321)</f>
        <v/>
      </c>
      <c r="C1321" s="21" t="str">
        <f>IF(MOV_CC_NACIONAL!C1321="","",MOV_CC_NACIONAL!C1321)</f>
        <v/>
      </c>
      <c r="D1321" s="22" t="str">
        <f t="shared" si="1"/>
        <v>Other</v>
      </c>
    </row>
    <row r="1322" ht="15.75" customHeight="1">
      <c r="A1322" s="22" t="str">
        <f>IF(MOV_CC_NACIONAL!A1322="","",MOV_CC_NACIONAL!A1322)</f>
        <v/>
      </c>
      <c r="B1322" s="22" t="str">
        <f>IF(MOV_CC_NACIONAL!B1322="","",MOV_CC_NACIONAL!B1322)</f>
        <v/>
      </c>
      <c r="C1322" s="21" t="str">
        <f>IF(MOV_CC_NACIONAL!C1322="","",MOV_CC_NACIONAL!C1322)</f>
        <v/>
      </c>
      <c r="D1322" s="22" t="str">
        <f t="shared" si="1"/>
        <v>Other</v>
      </c>
    </row>
    <row r="1323" ht="15.75" customHeight="1">
      <c r="A1323" s="22" t="str">
        <f>IF(MOV_CC_NACIONAL!A1323="","",MOV_CC_NACIONAL!A1323)</f>
        <v/>
      </c>
      <c r="B1323" s="22" t="str">
        <f>IF(MOV_CC_NACIONAL!B1323="","",MOV_CC_NACIONAL!B1323)</f>
        <v/>
      </c>
      <c r="C1323" s="21" t="str">
        <f>IF(MOV_CC_NACIONAL!C1323="","",MOV_CC_NACIONAL!C1323)</f>
        <v/>
      </c>
      <c r="D1323" s="22" t="str">
        <f t="shared" si="1"/>
        <v>Other</v>
      </c>
    </row>
    <row r="1324" ht="15.75" customHeight="1">
      <c r="A1324" s="22" t="str">
        <f>IF(MOV_CC_NACIONAL!A1324="","",MOV_CC_NACIONAL!A1324)</f>
        <v/>
      </c>
      <c r="B1324" s="22" t="str">
        <f>IF(MOV_CC_NACIONAL!B1324="","",MOV_CC_NACIONAL!B1324)</f>
        <v/>
      </c>
      <c r="C1324" s="21" t="str">
        <f>IF(MOV_CC_NACIONAL!C1324="","",MOV_CC_NACIONAL!C1324)</f>
        <v/>
      </c>
      <c r="D1324" s="22" t="str">
        <f t="shared" si="1"/>
        <v>Other</v>
      </c>
    </row>
    <row r="1325" ht="15.75" customHeight="1">
      <c r="A1325" s="22" t="str">
        <f>IF(MOV_CC_NACIONAL!A1325="","",MOV_CC_NACIONAL!A1325)</f>
        <v/>
      </c>
      <c r="B1325" s="22" t="str">
        <f>IF(MOV_CC_NACIONAL!B1325="","",MOV_CC_NACIONAL!B1325)</f>
        <v/>
      </c>
      <c r="C1325" s="21" t="str">
        <f>IF(MOV_CC_NACIONAL!C1325="","",MOV_CC_NACIONAL!C1325)</f>
        <v/>
      </c>
      <c r="D1325" s="22" t="str">
        <f t="shared" si="1"/>
        <v>Other</v>
      </c>
    </row>
    <row r="1326" ht="15.75" customHeight="1">
      <c r="A1326" s="22" t="str">
        <f>IF(MOV_CC_NACIONAL!A1326="","",MOV_CC_NACIONAL!A1326)</f>
        <v/>
      </c>
      <c r="B1326" s="22" t="str">
        <f>IF(MOV_CC_NACIONAL!B1326="","",MOV_CC_NACIONAL!B1326)</f>
        <v/>
      </c>
      <c r="C1326" s="21" t="str">
        <f>IF(MOV_CC_NACIONAL!C1326="","",MOV_CC_NACIONAL!C1326)</f>
        <v/>
      </c>
      <c r="D1326" s="22" t="str">
        <f t="shared" si="1"/>
        <v>Other</v>
      </c>
    </row>
    <row r="1327" ht="15.75" customHeight="1">
      <c r="A1327" s="22" t="str">
        <f>IF(MOV_CC_NACIONAL!A1327="","",MOV_CC_NACIONAL!A1327)</f>
        <v/>
      </c>
      <c r="B1327" s="22" t="str">
        <f>IF(MOV_CC_NACIONAL!B1327="","",MOV_CC_NACIONAL!B1327)</f>
        <v/>
      </c>
      <c r="C1327" s="21" t="str">
        <f>IF(MOV_CC_NACIONAL!C1327="","",MOV_CC_NACIONAL!C1327)</f>
        <v/>
      </c>
      <c r="D1327" s="22" t="str">
        <f t="shared" si="1"/>
        <v>Other</v>
      </c>
    </row>
    <row r="1328" ht="15.75" customHeight="1">
      <c r="A1328" s="22" t="str">
        <f>IF(MOV_CC_NACIONAL!A1328="","",MOV_CC_NACIONAL!A1328)</f>
        <v/>
      </c>
      <c r="B1328" s="22" t="str">
        <f>IF(MOV_CC_NACIONAL!B1328="","",MOV_CC_NACIONAL!B1328)</f>
        <v/>
      </c>
      <c r="C1328" s="21" t="str">
        <f>IF(MOV_CC_NACIONAL!C1328="","",MOV_CC_NACIONAL!C1328)</f>
        <v/>
      </c>
      <c r="D1328" s="22" t="str">
        <f t="shared" si="1"/>
        <v>Other</v>
      </c>
    </row>
    <row r="1329" ht="15.75" customHeight="1">
      <c r="A1329" s="22" t="str">
        <f>IF(MOV_CC_NACIONAL!A1329="","",MOV_CC_NACIONAL!A1329)</f>
        <v/>
      </c>
      <c r="B1329" s="22" t="str">
        <f>IF(MOV_CC_NACIONAL!B1329="","",MOV_CC_NACIONAL!B1329)</f>
        <v/>
      </c>
      <c r="C1329" s="21" t="str">
        <f>IF(MOV_CC_NACIONAL!C1329="","",MOV_CC_NACIONAL!C1329)</f>
        <v/>
      </c>
      <c r="D1329" s="22" t="str">
        <f t="shared" si="1"/>
        <v>Other</v>
      </c>
    </row>
    <row r="1330" ht="15.75" customHeight="1">
      <c r="A1330" s="22" t="str">
        <f>IF(MOV_CC_NACIONAL!A1330="","",MOV_CC_NACIONAL!A1330)</f>
        <v/>
      </c>
      <c r="B1330" s="22" t="str">
        <f>IF(MOV_CC_NACIONAL!B1330="","",MOV_CC_NACIONAL!B1330)</f>
        <v/>
      </c>
      <c r="C1330" s="21" t="str">
        <f>IF(MOV_CC_NACIONAL!C1330="","",MOV_CC_NACIONAL!C1330)</f>
        <v/>
      </c>
      <c r="D1330" s="22" t="str">
        <f t="shared" si="1"/>
        <v>Other</v>
      </c>
    </row>
    <row r="1331" ht="15.75" customHeight="1">
      <c r="A1331" s="22" t="str">
        <f>IF(MOV_CC_NACIONAL!A1331="","",MOV_CC_NACIONAL!A1331)</f>
        <v/>
      </c>
      <c r="B1331" s="22" t="str">
        <f>IF(MOV_CC_NACIONAL!B1331="","",MOV_CC_NACIONAL!B1331)</f>
        <v/>
      </c>
      <c r="C1331" s="21" t="str">
        <f>IF(MOV_CC_NACIONAL!C1331="","",MOV_CC_NACIONAL!C1331)</f>
        <v/>
      </c>
      <c r="D1331" s="22" t="str">
        <f t="shared" si="1"/>
        <v>Other</v>
      </c>
    </row>
    <row r="1332" ht="15.75" customHeight="1">
      <c r="A1332" s="22" t="str">
        <f>IF(MOV_CC_NACIONAL!A1332="","",MOV_CC_NACIONAL!A1332)</f>
        <v/>
      </c>
      <c r="B1332" s="22" t="str">
        <f>IF(MOV_CC_NACIONAL!B1332="","",MOV_CC_NACIONAL!B1332)</f>
        <v/>
      </c>
      <c r="C1332" s="21" t="str">
        <f>IF(MOV_CC_NACIONAL!C1332="","",MOV_CC_NACIONAL!C1332)</f>
        <v/>
      </c>
      <c r="D1332" s="22" t="str">
        <f t="shared" si="1"/>
        <v>Other</v>
      </c>
    </row>
    <row r="1333" ht="15.75" customHeight="1">
      <c r="A1333" s="22" t="str">
        <f>IF(MOV_CC_NACIONAL!A1333="","",MOV_CC_NACIONAL!A1333)</f>
        <v/>
      </c>
      <c r="B1333" s="22" t="str">
        <f>IF(MOV_CC_NACIONAL!B1333="","",MOV_CC_NACIONAL!B1333)</f>
        <v/>
      </c>
      <c r="C1333" s="21" t="str">
        <f>IF(MOV_CC_NACIONAL!C1333="","",MOV_CC_NACIONAL!C1333)</f>
        <v/>
      </c>
      <c r="D1333" s="22" t="str">
        <f t="shared" si="1"/>
        <v>Other</v>
      </c>
    </row>
    <row r="1334" ht="15.75" customHeight="1">
      <c r="A1334" s="22" t="str">
        <f>IF(MOV_CC_NACIONAL!A1334="","",MOV_CC_NACIONAL!A1334)</f>
        <v/>
      </c>
      <c r="B1334" s="22" t="str">
        <f>IF(MOV_CC_NACIONAL!B1334="","",MOV_CC_NACIONAL!B1334)</f>
        <v/>
      </c>
      <c r="C1334" s="21" t="str">
        <f>IF(MOV_CC_NACIONAL!C1334="","",MOV_CC_NACIONAL!C1334)</f>
        <v/>
      </c>
      <c r="D1334" s="22" t="str">
        <f t="shared" si="1"/>
        <v>Other</v>
      </c>
    </row>
    <row r="1335" ht="15.75" customHeight="1">
      <c r="A1335" s="22" t="str">
        <f>IF(MOV_CC_NACIONAL!A1335="","",MOV_CC_NACIONAL!A1335)</f>
        <v/>
      </c>
      <c r="B1335" s="22" t="str">
        <f>IF(MOV_CC_NACIONAL!B1335="","",MOV_CC_NACIONAL!B1335)</f>
        <v/>
      </c>
      <c r="C1335" s="21" t="str">
        <f>IF(MOV_CC_NACIONAL!C1335="","",MOV_CC_NACIONAL!C1335)</f>
        <v/>
      </c>
      <c r="D1335" s="22" t="str">
        <f t="shared" si="1"/>
        <v>Other</v>
      </c>
    </row>
    <row r="1336" ht="15.75" customHeight="1">
      <c r="A1336" s="22" t="str">
        <f>IF(MOV_CC_NACIONAL!A1336="","",MOV_CC_NACIONAL!A1336)</f>
        <v/>
      </c>
      <c r="B1336" s="22" t="str">
        <f>IF(MOV_CC_NACIONAL!B1336="","",MOV_CC_NACIONAL!B1336)</f>
        <v/>
      </c>
      <c r="C1336" s="21" t="str">
        <f>IF(MOV_CC_NACIONAL!C1336="","",MOV_CC_NACIONAL!C1336)</f>
        <v/>
      </c>
      <c r="D1336" s="22" t="str">
        <f t="shared" si="1"/>
        <v>Other</v>
      </c>
    </row>
    <row r="1337" ht="15.75" customHeight="1">
      <c r="A1337" s="22" t="str">
        <f>IF(MOV_CC_NACIONAL!A1337="","",MOV_CC_NACIONAL!A1337)</f>
        <v/>
      </c>
      <c r="B1337" s="22" t="str">
        <f>IF(MOV_CC_NACIONAL!B1337="","",MOV_CC_NACIONAL!B1337)</f>
        <v/>
      </c>
      <c r="C1337" s="21" t="str">
        <f>IF(MOV_CC_NACIONAL!C1337="","",MOV_CC_NACIONAL!C1337)</f>
        <v/>
      </c>
      <c r="D1337" s="22" t="str">
        <f t="shared" si="1"/>
        <v>Other</v>
      </c>
    </row>
    <row r="1338" ht="15.75" customHeight="1">
      <c r="A1338" s="22" t="str">
        <f>IF(MOV_CC_NACIONAL!A1338="","",MOV_CC_NACIONAL!A1338)</f>
        <v/>
      </c>
      <c r="B1338" s="22" t="str">
        <f>IF(MOV_CC_NACIONAL!B1338="","",MOV_CC_NACIONAL!B1338)</f>
        <v/>
      </c>
      <c r="C1338" s="21" t="str">
        <f>IF(MOV_CC_NACIONAL!C1338="","",MOV_CC_NACIONAL!C1338)</f>
        <v/>
      </c>
      <c r="D1338" s="22" t="str">
        <f t="shared" si="1"/>
        <v>Other</v>
      </c>
    </row>
    <row r="1339" ht="15.75" customHeight="1">
      <c r="A1339" s="22" t="str">
        <f>IF(MOV_CC_NACIONAL!A1339="","",MOV_CC_NACIONAL!A1339)</f>
        <v/>
      </c>
      <c r="B1339" s="22" t="str">
        <f>IF(MOV_CC_NACIONAL!B1339="","",MOV_CC_NACIONAL!B1339)</f>
        <v/>
      </c>
      <c r="C1339" s="21" t="str">
        <f>IF(MOV_CC_NACIONAL!C1339="","",MOV_CC_NACIONAL!C1339)</f>
        <v/>
      </c>
      <c r="D1339" s="22" t="str">
        <f t="shared" si="1"/>
        <v>Other</v>
      </c>
    </row>
    <row r="1340" ht="15.75" customHeight="1">
      <c r="A1340" s="22" t="str">
        <f>IF(MOV_CC_NACIONAL!A1340="","",MOV_CC_NACIONAL!A1340)</f>
        <v/>
      </c>
      <c r="B1340" s="22" t="str">
        <f>IF(MOV_CC_NACIONAL!B1340="","",MOV_CC_NACIONAL!B1340)</f>
        <v/>
      </c>
      <c r="C1340" s="21" t="str">
        <f>IF(MOV_CC_NACIONAL!C1340="","",MOV_CC_NACIONAL!C1340)</f>
        <v/>
      </c>
      <c r="D1340" s="22" t="str">
        <f t="shared" si="1"/>
        <v>Other</v>
      </c>
    </row>
    <row r="1341" ht="15.75" customHeight="1">
      <c r="A1341" s="22" t="str">
        <f>IF(MOV_CC_NACIONAL!A1341="","",MOV_CC_NACIONAL!A1341)</f>
        <v/>
      </c>
      <c r="B1341" s="22" t="str">
        <f>IF(MOV_CC_NACIONAL!B1341="","",MOV_CC_NACIONAL!B1341)</f>
        <v/>
      </c>
      <c r="C1341" s="21" t="str">
        <f>IF(MOV_CC_NACIONAL!C1341="","",MOV_CC_NACIONAL!C1341)</f>
        <v/>
      </c>
      <c r="D1341" s="22" t="str">
        <f t="shared" si="1"/>
        <v>Other</v>
      </c>
    </row>
    <row r="1342" ht="15.75" customHeight="1">
      <c r="A1342" s="22" t="str">
        <f>IF(MOV_CC_NACIONAL!A1342="","",MOV_CC_NACIONAL!A1342)</f>
        <v/>
      </c>
      <c r="B1342" s="22" t="str">
        <f>IF(MOV_CC_NACIONAL!B1342="","",MOV_CC_NACIONAL!B1342)</f>
        <v/>
      </c>
      <c r="C1342" s="21" t="str">
        <f>IF(MOV_CC_NACIONAL!C1342="","",MOV_CC_NACIONAL!C1342)</f>
        <v/>
      </c>
      <c r="D1342" s="22" t="str">
        <f t="shared" si="1"/>
        <v>Other</v>
      </c>
    </row>
    <row r="1343" ht="15.75" customHeight="1">
      <c r="A1343" s="22" t="str">
        <f>IF(MOV_CC_NACIONAL!A1343="","",MOV_CC_NACIONAL!A1343)</f>
        <v/>
      </c>
      <c r="B1343" s="22" t="str">
        <f>IF(MOV_CC_NACIONAL!B1343="","",MOV_CC_NACIONAL!B1343)</f>
        <v/>
      </c>
      <c r="C1343" s="21" t="str">
        <f>IF(MOV_CC_NACIONAL!C1343="","",MOV_CC_NACIONAL!C1343)</f>
        <v/>
      </c>
      <c r="D1343" s="22" t="str">
        <f t="shared" si="1"/>
        <v>Other</v>
      </c>
    </row>
    <row r="1344" ht="15.75" customHeight="1">
      <c r="A1344" s="22" t="str">
        <f>IF(MOV_CC_NACIONAL!A1344="","",MOV_CC_NACIONAL!A1344)</f>
        <v/>
      </c>
      <c r="B1344" s="22" t="str">
        <f>IF(MOV_CC_NACIONAL!B1344="","",MOV_CC_NACIONAL!B1344)</f>
        <v/>
      </c>
      <c r="C1344" s="21" t="str">
        <f>IF(MOV_CC_NACIONAL!C1344="","",MOV_CC_NACIONAL!C1344)</f>
        <v/>
      </c>
      <c r="D1344" s="22" t="str">
        <f t="shared" si="1"/>
        <v>Other</v>
      </c>
    </row>
    <row r="1345" ht="15.75" customHeight="1">
      <c r="A1345" s="22" t="str">
        <f>IF(MOV_CC_NACIONAL!A1345="","",MOV_CC_NACIONAL!A1345)</f>
        <v/>
      </c>
      <c r="B1345" s="22" t="str">
        <f>IF(MOV_CC_NACIONAL!B1345="","",MOV_CC_NACIONAL!B1345)</f>
        <v/>
      </c>
      <c r="C1345" s="21" t="str">
        <f>IF(MOV_CC_NACIONAL!C1345="","",MOV_CC_NACIONAL!C1345)</f>
        <v/>
      </c>
      <c r="D1345" s="22" t="str">
        <f t="shared" si="1"/>
        <v>Other</v>
      </c>
    </row>
    <row r="1346" ht="15.75" customHeight="1">
      <c r="A1346" s="22" t="str">
        <f>IF(MOV_CC_NACIONAL!A1346="","",MOV_CC_NACIONAL!A1346)</f>
        <v/>
      </c>
      <c r="B1346" s="22" t="str">
        <f>IF(MOV_CC_NACIONAL!B1346="","",MOV_CC_NACIONAL!B1346)</f>
        <v/>
      </c>
      <c r="C1346" s="21" t="str">
        <f>IF(MOV_CC_NACIONAL!C1346="","",MOV_CC_NACIONAL!C1346)</f>
        <v/>
      </c>
      <c r="D1346" s="22" t="str">
        <f t="shared" si="1"/>
        <v>Other</v>
      </c>
    </row>
    <row r="1347" ht="15.75" customHeight="1">
      <c r="A1347" s="22" t="str">
        <f>IF(MOV_CC_NACIONAL!A1347="","",MOV_CC_NACIONAL!A1347)</f>
        <v/>
      </c>
      <c r="B1347" s="22" t="str">
        <f>IF(MOV_CC_NACIONAL!B1347="","",MOV_CC_NACIONAL!B1347)</f>
        <v/>
      </c>
      <c r="C1347" s="21" t="str">
        <f>IF(MOV_CC_NACIONAL!C1347="","",MOV_CC_NACIONAL!C1347)</f>
        <v/>
      </c>
      <c r="D1347" s="22" t="str">
        <f t="shared" si="1"/>
        <v>Other</v>
      </c>
    </row>
    <row r="1348" ht="15.75" customHeight="1">
      <c r="A1348" s="22" t="str">
        <f>IF(MOV_CC_NACIONAL!A1348="","",MOV_CC_NACIONAL!A1348)</f>
        <v/>
      </c>
      <c r="B1348" s="22" t="str">
        <f>IF(MOV_CC_NACIONAL!B1348="","",MOV_CC_NACIONAL!B1348)</f>
        <v/>
      </c>
      <c r="C1348" s="21" t="str">
        <f>IF(MOV_CC_NACIONAL!C1348="","",MOV_CC_NACIONAL!C1348)</f>
        <v/>
      </c>
      <c r="D1348" s="22" t="str">
        <f t="shared" si="1"/>
        <v>Other</v>
      </c>
    </row>
    <row r="1349" ht="15.75" customHeight="1">
      <c r="A1349" s="22" t="str">
        <f>IF(MOV_CC_NACIONAL!A1349="","",MOV_CC_NACIONAL!A1349)</f>
        <v/>
      </c>
      <c r="B1349" s="22" t="str">
        <f>IF(MOV_CC_NACIONAL!B1349="","",MOV_CC_NACIONAL!B1349)</f>
        <v/>
      </c>
      <c r="C1349" s="21" t="str">
        <f>IF(MOV_CC_NACIONAL!C1349="","",MOV_CC_NACIONAL!C1349)</f>
        <v/>
      </c>
      <c r="D1349" s="22" t="str">
        <f t="shared" si="1"/>
        <v>Other</v>
      </c>
    </row>
    <row r="1350" ht="15.75" customHeight="1">
      <c r="A1350" s="22" t="str">
        <f>IF(MOV_CC_NACIONAL!A1350="","",MOV_CC_NACIONAL!A1350)</f>
        <v/>
      </c>
      <c r="B1350" s="22" t="str">
        <f>IF(MOV_CC_NACIONAL!B1350="","",MOV_CC_NACIONAL!B1350)</f>
        <v/>
      </c>
      <c r="C1350" s="21" t="str">
        <f>IF(MOV_CC_NACIONAL!C1350="","",MOV_CC_NACIONAL!C1350)</f>
        <v/>
      </c>
      <c r="D1350" s="22" t="str">
        <f t="shared" si="1"/>
        <v>Other</v>
      </c>
    </row>
    <row r="1351" ht="15.75" customHeight="1">
      <c r="A1351" s="22" t="str">
        <f>IF(MOV_CC_NACIONAL!A1351="","",MOV_CC_NACIONAL!A1351)</f>
        <v/>
      </c>
      <c r="B1351" s="22" t="str">
        <f>IF(MOV_CC_NACIONAL!B1351="","",MOV_CC_NACIONAL!B1351)</f>
        <v/>
      </c>
      <c r="C1351" s="21" t="str">
        <f>IF(MOV_CC_NACIONAL!C1351="","",MOV_CC_NACIONAL!C1351)</f>
        <v/>
      </c>
      <c r="D1351" s="22" t="str">
        <f t="shared" si="1"/>
        <v>Other</v>
      </c>
    </row>
    <row r="1352" ht="15.75" customHeight="1">
      <c r="A1352" s="22" t="str">
        <f>IF(MOV_CC_NACIONAL!A1352="","",MOV_CC_NACIONAL!A1352)</f>
        <v/>
      </c>
      <c r="B1352" s="22" t="str">
        <f>IF(MOV_CC_NACIONAL!B1352="","",MOV_CC_NACIONAL!B1352)</f>
        <v/>
      </c>
      <c r="C1352" s="21" t="str">
        <f>IF(MOV_CC_NACIONAL!C1352="","",MOV_CC_NACIONAL!C1352)</f>
        <v/>
      </c>
      <c r="D1352" s="22" t="str">
        <f t="shared" si="1"/>
        <v>Other</v>
      </c>
    </row>
    <row r="1353" ht="15.75" customHeight="1">
      <c r="A1353" s="22" t="str">
        <f>IF(MOV_CC_NACIONAL!A1353="","",MOV_CC_NACIONAL!A1353)</f>
        <v/>
      </c>
      <c r="B1353" s="22" t="str">
        <f>IF(MOV_CC_NACIONAL!B1353="","",MOV_CC_NACIONAL!B1353)</f>
        <v/>
      </c>
      <c r="C1353" s="21" t="str">
        <f>IF(MOV_CC_NACIONAL!C1353="","",MOV_CC_NACIONAL!C1353)</f>
        <v/>
      </c>
      <c r="D1353" s="22" t="str">
        <f t="shared" si="1"/>
        <v>Other</v>
      </c>
    </row>
    <row r="1354" ht="15.75" customHeight="1">
      <c r="A1354" s="22" t="str">
        <f>IF(MOV_CC_NACIONAL!A1354="","",MOV_CC_NACIONAL!A1354)</f>
        <v/>
      </c>
      <c r="B1354" s="22" t="str">
        <f>IF(MOV_CC_NACIONAL!B1354="","",MOV_CC_NACIONAL!B1354)</f>
        <v/>
      </c>
      <c r="C1354" s="21" t="str">
        <f>IF(MOV_CC_NACIONAL!C1354="","",MOV_CC_NACIONAL!C1354)</f>
        <v/>
      </c>
      <c r="D1354" s="22" t="str">
        <f t="shared" si="1"/>
        <v>Other</v>
      </c>
    </row>
    <row r="1355" ht="15.75" customHeight="1">
      <c r="A1355" s="22" t="str">
        <f>IF(MOV_CC_NACIONAL!A1355="","",MOV_CC_NACIONAL!A1355)</f>
        <v/>
      </c>
      <c r="B1355" s="22" t="str">
        <f>IF(MOV_CC_NACIONAL!B1355="","",MOV_CC_NACIONAL!B1355)</f>
        <v/>
      </c>
      <c r="C1355" s="21" t="str">
        <f>IF(MOV_CC_NACIONAL!C1355="","",MOV_CC_NACIONAL!C1355)</f>
        <v/>
      </c>
      <c r="D1355" s="22" t="str">
        <f t="shared" si="1"/>
        <v>Other</v>
      </c>
    </row>
    <row r="1356" ht="15.75" customHeight="1">
      <c r="A1356" s="22" t="str">
        <f>IF(MOV_CC_NACIONAL!A1356="","",MOV_CC_NACIONAL!A1356)</f>
        <v/>
      </c>
      <c r="B1356" s="22" t="str">
        <f>IF(MOV_CC_NACIONAL!B1356="","",MOV_CC_NACIONAL!B1356)</f>
        <v/>
      </c>
      <c r="C1356" s="21" t="str">
        <f>IF(MOV_CC_NACIONAL!C1356="","",MOV_CC_NACIONAL!C1356)</f>
        <v/>
      </c>
      <c r="D1356" s="22" t="str">
        <f t="shared" si="1"/>
        <v>Other</v>
      </c>
    </row>
    <row r="1357" ht="15.75" customHeight="1">
      <c r="A1357" s="22" t="str">
        <f>IF(MOV_CC_NACIONAL!A1357="","",MOV_CC_NACIONAL!A1357)</f>
        <v/>
      </c>
      <c r="B1357" s="22" t="str">
        <f>IF(MOV_CC_NACIONAL!B1357="","",MOV_CC_NACIONAL!B1357)</f>
        <v/>
      </c>
      <c r="C1357" s="21" t="str">
        <f>IF(MOV_CC_NACIONAL!C1357="","",MOV_CC_NACIONAL!C1357)</f>
        <v/>
      </c>
      <c r="D1357" s="22" t="str">
        <f t="shared" si="1"/>
        <v>Other</v>
      </c>
    </row>
    <row r="1358" ht="15.75" customHeight="1">
      <c r="A1358" s="22" t="str">
        <f>IF(MOV_CC_NACIONAL!A1358="","",MOV_CC_NACIONAL!A1358)</f>
        <v/>
      </c>
      <c r="B1358" s="22" t="str">
        <f>IF(MOV_CC_NACIONAL!B1358="","",MOV_CC_NACIONAL!B1358)</f>
        <v/>
      </c>
      <c r="C1358" s="21" t="str">
        <f>IF(MOV_CC_NACIONAL!C1358="","",MOV_CC_NACIONAL!C1358)</f>
        <v/>
      </c>
      <c r="D1358" s="22" t="str">
        <f t="shared" si="1"/>
        <v>Other</v>
      </c>
    </row>
    <row r="1359" ht="15.75" customHeight="1">
      <c r="A1359" s="22" t="str">
        <f>IF(MOV_CC_NACIONAL!A1359="","",MOV_CC_NACIONAL!A1359)</f>
        <v/>
      </c>
      <c r="B1359" s="22" t="str">
        <f>IF(MOV_CC_NACIONAL!B1359="","",MOV_CC_NACIONAL!B1359)</f>
        <v/>
      </c>
      <c r="C1359" s="21" t="str">
        <f>IF(MOV_CC_NACIONAL!C1359="","",MOV_CC_NACIONAL!C1359)</f>
        <v/>
      </c>
      <c r="D1359" s="22" t="str">
        <f t="shared" si="1"/>
        <v>Other</v>
      </c>
    </row>
    <row r="1360" ht="15.75" customHeight="1">
      <c r="A1360" s="22" t="str">
        <f>IF(MOV_CC_NACIONAL!A1360="","",MOV_CC_NACIONAL!A1360)</f>
        <v/>
      </c>
      <c r="B1360" s="22" t="str">
        <f>IF(MOV_CC_NACIONAL!B1360="","",MOV_CC_NACIONAL!B1360)</f>
        <v/>
      </c>
      <c r="C1360" s="21" t="str">
        <f>IF(MOV_CC_NACIONAL!C1360="","",MOV_CC_NACIONAL!C1360)</f>
        <v/>
      </c>
      <c r="D1360" s="22" t="str">
        <f t="shared" si="1"/>
        <v>Other</v>
      </c>
    </row>
    <row r="1361" ht="15.75" customHeight="1">
      <c r="A1361" s="22" t="str">
        <f>IF(MOV_CC_NACIONAL!A1361="","",MOV_CC_NACIONAL!A1361)</f>
        <v/>
      </c>
      <c r="B1361" s="22" t="str">
        <f>IF(MOV_CC_NACIONAL!B1361="","",MOV_CC_NACIONAL!B1361)</f>
        <v/>
      </c>
      <c r="C1361" s="21" t="str">
        <f>IF(MOV_CC_NACIONAL!C1361="","",MOV_CC_NACIONAL!C1361)</f>
        <v/>
      </c>
      <c r="D1361" s="22" t="str">
        <f t="shared" si="1"/>
        <v>Other</v>
      </c>
    </row>
    <row r="1362" ht="15.75" customHeight="1">
      <c r="A1362" s="22" t="str">
        <f>IF(MOV_CC_NACIONAL!A1362="","",MOV_CC_NACIONAL!A1362)</f>
        <v/>
      </c>
      <c r="B1362" s="22" t="str">
        <f>IF(MOV_CC_NACIONAL!B1362="","",MOV_CC_NACIONAL!B1362)</f>
        <v/>
      </c>
      <c r="C1362" s="21" t="str">
        <f>IF(MOV_CC_NACIONAL!C1362="","",MOV_CC_NACIONAL!C1362)</f>
        <v/>
      </c>
      <c r="D1362" s="22" t="str">
        <f t="shared" si="1"/>
        <v>Other</v>
      </c>
    </row>
    <row r="1363" ht="15.75" customHeight="1">
      <c r="A1363" s="22" t="str">
        <f>IF(MOV_CC_NACIONAL!A1363="","",MOV_CC_NACIONAL!A1363)</f>
        <v/>
      </c>
      <c r="B1363" s="22" t="str">
        <f>IF(MOV_CC_NACIONAL!B1363="","",MOV_CC_NACIONAL!B1363)</f>
        <v/>
      </c>
      <c r="C1363" s="21" t="str">
        <f>IF(MOV_CC_NACIONAL!C1363="","",MOV_CC_NACIONAL!C1363)</f>
        <v/>
      </c>
      <c r="D1363" s="22" t="str">
        <f t="shared" si="1"/>
        <v>Other</v>
      </c>
    </row>
    <row r="1364" ht="15.75" customHeight="1">
      <c r="A1364" s="22" t="str">
        <f>IF(MOV_CC_NACIONAL!A1364="","",MOV_CC_NACIONAL!A1364)</f>
        <v/>
      </c>
      <c r="B1364" s="22" t="str">
        <f>IF(MOV_CC_NACIONAL!B1364="","",MOV_CC_NACIONAL!B1364)</f>
        <v/>
      </c>
      <c r="C1364" s="21" t="str">
        <f>IF(MOV_CC_NACIONAL!C1364="","",MOV_CC_NACIONAL!C1364)</f>
        <v/>
      </c>
      <c r="D1364" s="22" t="str">
        <f t="shared" si="1"/>
        <v>Other</v>
      </c>
    </row>
    <row r="1365" ht="15.75" customHeight="1">
      <c r="A1365" s="22" t="str">
        <f>IF(MOV_CC_NACIONAL!A1365="","",MOV_CC_NACIONAL!A1365)</f>
        <v/>
      </c>
      <c r="B1365" s="22" t="str">
        <f>IF(MOV_CC_NACIONAL!B1365="","",MOV_CC_NACIONAL!B1365)</f>
        <v/>
      </c>
      <c r="C1365" s="21" t="str">
        <f>IF(MOV_CC_NACIONAL!C1365="","",MOV_CC_NACIONAL!C1365)</f>
        <v/>
      </c>
      <c r="D1365" s="22" t="str">
        <f t="shared" si="1"/>
        <v>Other</v>
      </c>
    </row>
    <row r="1366" ht="15.75" customHeight="1">
      <c r="A1366" s="22" t="str">
        <f>IF(MOV_CC_NACIONAL!A1366="","",MOV_CC_NACIONAL!A1366)</f>
        <v/>
      </c>
      <c r="B1366" s="22" t="str">
        <f>IF(MOV_CC_NACIONAL!B1366="","",MOV_CC_NACIONAL!B1366)</f>
        <v/>
      </c>
      <c r="C1366" s="21" t="str">
        <f>IF(MOV_CC_NACIONAL!C1366="","",MOV_CC_NACIONAL!C1366)</f>
        <v/>
      </c>
      <c r="D1366" s="22" t="str">
        <f t="shared" si="1"/>
        <v>Other</v>
      </c>
    </row>
    <row r="1367" ht="15.75" customHeight="1">
      <c r="A1367" s="22" t="str">
        <f>IF(MOV_CC_NACIONAL!A1367="","",MOV_CC_NACIONAL!A1367)</f>
        <v/>
      </c>
      <c r="B1367" s="22" t="str">
        <f>IF(MOV_CC_NACIONAL!B1367="","",MOV_CC_NACIONAL!B1367)</f>
        <v/>
      </c>
      <c r="C1367" s="21" t="str">
        <f>IF(MOV_CC_NACIONAL!C1367="","",MOV_CC_NACIONAL!C1367)</f>
        <v/>
      </c>
      <c r="D1367" s="22" t="str">
        <f t="shared" si="1"/>
        <v>Other</v>
      </c>
    </row>
    <row r="1368" ht="15.75" customHeight="1">
      <c r="A1368" s="22" t="str">
        <f>IF(MOV_CC_NACIONAL!A1368="","",MOV_CC_NACIONAL!A1368)</f>
        <v/>
      </c>
      <c r="B1368" s="22" t="str">
        <f>IF(MOV_CC_NACIONAL!B1368="","",MOV_CC_NACIONAL!B1368)</f>
        <v/>
      </c>
      <c r="C1368" s="21" t="str">
        <f>IF(MOV_CC_NACIONAL!C1368="","",MOV_CC_NACIONAL!C1368)</f>
        <v/>
      </c>
      <c r="D1368" s="22" t="str">
        <f t="shared" si="1"/>
        <v>Other</v>
      </c>
    </row>
    <row r="1369" ht="15.75" customHeight="1">
      <c r="A1369" s="22" t="str">
        <f>IF(MOV_CC_NACIONAL!A1369="","",MOV_CC_NACIONAL!A1369)</f>
        <v/>
      </c>
      <c r="B1369" s="22" t="str">
        <f>IF(MOV_CC_NACIONAL!B1369="","",MOV_CC_NACIONAL!B1369)</f>
        <v/>
      </c>
      <c r="C1369" s="21" t="str">
        <f>IF(MOV_CC_NACIONAL!C1369="","",MOV_CC_NACIONAL!C1369)</f>
        <v/>
      </c>
      <c r="D1369" s="22" t="str">
        <f t="shared" si="1"/>
        <v>Other</v>
      </c>
    </row>
    <row r="1370" ht="15.75" customHeight="1">
      <c r="A1370" s="22" t="str">
        <f>IF(MOV_CC_NACIONAL!A1370="","",MOV_CC_NACIONAL!A1370)</f>
        <v/>
      </c>
      <c r="B1370" s="22" t="str">
        <f>IF(MOV_CC_NACIONAL!B1370="","",MOV_CC_NACIONAL!B1370)</f>
        <v/>
      </c>
      <c r="C1370" s="21" t="str">
        <f>IF(MOV_CC_NACIONAL!C1370="","",MOV_CC_NACIONAL!C1370)</f>
        <v/>
      </c>
      <c r="D1370" s="22" t="str">
        <f t="shared" si="1"/>
        <v>Other</v>
      </c>
    </row>
    <row r="1371" ht="15.75" customHeight="1">
      <c r="A1371" s="22" t="str">
        <f>IF(MOV_CC_NACIONAL!A1371="","",MOV_CC_NACIONAL!A1371)</f>
        <v/>
      </c>
      <c r="B1371" s="22" t="str">
        <f>IF(MOV_CC_NACIONAL!B1371="","",MOV_CC_NACIONAL!B1371)</f>
        <v/>
      </c>
      <c r="C1371" s="21" t="str">
        <f>IF(MOV_CC_NACIONAL!C1371="","",MOV_CC_NACIONAL!C1371)</f>
        <v/>
      </c>
      <c r="D1371" s="22" t="str">
        <f t="shared" si="1"/>
        <v>Other</v>
      </c>
    </row>
    <row r="1372" ht="15.75" customHeight="1">
      <c r="A1372" s="22" t="str">
        <f>IF(MOV_CC_NACIONAL!A1372="","",MOV_CC_NACIONAL!A1372)</f>
        <v/>
      </c>
      <c r="B1372" s="22" t="str">
        <f>IF(MOV_CC_NACIONAL!B1372="","",MOV_CC_NACIONAL!B1372)</f>
        <v/>
      </c>
      <c r="C1372" s="21" t="str">
        <f>IF(MOV_CC_NACIONAL!C1372="","",MOV_CC_NACIONAL!C1372)</f>
        <v/>
      </c>
      <c r="D1372" s="22" t="str">
        <f t="shared" si="1"/>
        <v>Other</v>
      </c>
    </row>
    <row r="1373" ht="15.75" customHeight="1">
      <c r="A1373" s="22" t="str">
        <f>IF(MOV_CC_NACIONAL!A1373="","",MOV_CC_NACIONAL!A1373)</f>
        <v/>
      </c>
      <c r="B1373" s="22" t="str">
        <f>IF(MOV_CC_NACIONAL!B1373="","",MOV_CC_NACIONAL!B1373)</f>
        <v/>
      </c>
      <c r="C1373" s="21" t="str">
        <f>IF(MOV_CC_NACIONAL!C1373="","",MOV_CC_NACIONAL!C1373)</f>
        <v/>
      </c>
      <c r="D1373" s="22" t="str">
        <f t="shared" si="1"/>
        <v>Other</v>
      </c>
    </row>
    <row r="1374" ht="15.75" customHeight="1">
      <c r="A1374" s="22" t="str">
        <f>IF(MOV_CC_NACIONAL!A1374="","",MOV_CC_NACIONAL!A1374)</f>
        <v/>
      </c>
      <c r="B1374" s="22" t="str">
        <f>IF(MOV_CC_NACIONAL!B1374="","",MOV_CC_NACIONAL!B1374)</f>
        <v/>
      </c>
      <c r="C1374" s="21" t="str">
        <f>IF(MOV_CC_NACIONAL!C1374="","",MOV_CC_NACIONAL!C1374)</f>
        <v/>
      </c>
      <c r="D1374" s="22" t="str">
        <f t="shared" si="1"/>
        <v>Other</v>
      </c>
    </row>
    <row r="1375" ht="15.75" customHeight="1">
      <c r="A1375" s="22" t="str">
        <f>IF(MOV_CC_NACIONAL!A1375="","",MOV_CC_NACIONAL!A1375)</f>
        <v/>
      </c>
      <c r="B1375" s="22" t="str">
        <f>IF(MOV_CC_NACIONAL!B1375="","",MOV_CC_NACIONAL!B1375)</f>
        <v/>
      </c>
      <c r="C1375" s="21" t="str">
        <f>IF(MOV_CC_NACIONAL!C1375="","",MOV_CC_NACIONAL!C1375)</f>
        <v/>
      </c>
      <c r="D1375" s="22" t="str">
        <f t="shared" si="1"/>
        <v>Other</v>
      </c>
    </row>
    <row r="1376" ht="15.75" customHeight="1">
      <c r="A1376" s="22" t="str">
        <f>IF(MOV_CC_NACIONAL!A1376="","",MOV_CC_NACIONAL!A1376)</f>
        <v/>
      </c>
      <c r="B1376" s="22" t="str">
        <f>IF(MOV_CC_NACIONAL!B1376="","",MOV_CC_NACIONAL!B1376)</f>
        <v/>
      </c>
      <c r="C1376" s="21" t="str">
        <f>IF(MOV_CC_NACIONAL!C1376="","",MOV_CC_NACIONAL!C1376)</f>
        <v/>
      </c>
      <c r="D1376" s="22" t="str">
        <f t="shared" si="1"/>
        <v>Other</v>
      </c>
    </row>
    <row r="1377" ht="15.75" customHeight="1">
      <c r="A1377" s="22" t="str">
        <f>IF(MOV_CC_NACIONAL!A1377="","",MOV_CC_NACIONAL!A1377)</f>
        <v/>
      </c>
      <c r="B1377" s="22" t="str">
        <f>IF(MOV_CC_NACIONAL!B1377="","",MOV_CC_NACIONAL!B1377)</f>
        <v/>
      </c>
      <c r="C1377" s="21" t="str">
        <f>IF(MOV_CC_NACIONAL!C1377="","",MOV_CC_NACIONAL!C1377)</f>
        <v/>
      </c>
      <c r="D1377" s="22" t="str">
        <f t="shared" si="1"/>
        <v>Other</v>
      </c>
    </row>
    <row r="1378" ht="15.75" customHeight="1">
      <c r="A1378" s="22" t="str">
        <f>IF(MOV_CC_NACIONAL!A1378="","",MOV_CC_NACIONAL!A1378)</f>
        <v/>
      </c>
      <c r="B1378" s="22" t="str">
        <f>IF(MOV_CC_NACIONAL!B1378="","",MOV_CC_NACIONAL!B1378)</f>
        <v/>
      </c>
      <c r="C1378" s="21" t="str">
        <f>IF(MOV_CC_NACIONAL!C1378="","",MOV_CC_NACIONAL!C1378)</f>
        <v/>
      </c>
      <c r="D1378" s="22" t="str">
        <f t="shared" si="1"/>
        <v>Other</v>
      </c>
    </row>
    <row r="1379" ht="15.75" customHeight="1">
      <c r="A1379" s="22" t="str">
        <f>IF(MOV_CC_NACIONAL!A1379="","",MOV_CC_NACIONAL!A1379)</f>
        <v/>
      </c>
      <c r="B1379" s="22" t="str">
        <f>IF(MOV_CC_NACIONAL!B1379="","",MOV_CC_NACIONAL!B1379)</f>
        <v/>
      </c>
      <c r="C1379" s="21" t="str">
        <f>IF(MOV_CC_NACIONAL!C1379="","",MOV_CC_NACIONAL!C1379)</f>
        <v/>
      </c>
      <c r="D1379" s="22" t="str">
        <f t="shared" si="1"/>
        <v>Other</v>
      </c>
    </row>
    <row r="1380" ht="15.75" customHeight="1">
      <c r="A1380" s="22" t="str">
        <f>IF(MOV_CC_NACIONAL!A1380="","",MOV_CC_NACIONAL!A1380)</f>
        <v/>
      </c>
      <c r="B1380" s="22" t="str">
        <f>IF(MOV_CC_NACIONAL!B1380="","",MOV_CC_NACIONAL!B1380)</f>
        <v/>
      </c>
      <c r="C1380" s="21" t="str">
        <f>IF(MOV_CC_NACIONAL!C1380="","",MOV_CC_NACIONAL!C1380)</f>
        <v/>
      </c>
      <c r="D1380" s="22" t="str">
        <f t="shared" si="1"/>
        <v>Other</v>
      </c>
    </row>
    <row r="1381" ht="15.75" customHeight="1">
      <c r="A1381" s="22" t="str">
        <f>IF(MOV_CC_NACIONAL!A1381="","",MOV_CC_NACIONAL!A1381)</f>
        <v/>
      </c>
      <c r="B1381" s="22" t="str">
        <f>IF(MOV_CC_NACIONAL!B1381="","",MOV_CC_NACIONAL!B1381)</f>
        <v/>
      </c>
      <c r="C1381" s="21" t="str">
        <f>IF(MOV_CC_NACIONAL!C1381="","",MOV_CC_NACIONAL!C1381)</f>
        <v/>
      </c>
      <c r="D1381" s="22" t="str">
        <f t="shared" si="1"/>
        <v>Other</v>
      </c>
    </row>
    <row r="1382" ht="15.75" customHeight="1">
      <c r="A1382" s="22" t="str">
        <f>IF(MOV_CC_NACIONAL!A1382="","",MOV_CC_NACIONAL!A1382)</f>
        <v/>
      </c>
      <c r="B1382" s="22" t="str">
        <f>IF(MOV_CC_NACIONAL!B1382="","",MOV_CC_NACIONAL!B1382)</f>
        <v/>
      </c>
      <c r="C1382" s="21" t="str">
        <f>IF(MOV_CC_NACIONAL!C1382="","",MOV_CC_NACIONAL!C1382)</f>
        <v/>
      </c>
      <c r="D1382" s="22" t="str">
        <f t="shared" si="1"/>
        <v>Other</v>
      </c>
    </row>
    <row r="1383" ht="15.75" customHeight="1">
      <c r="A1383" s="22" t="str">
        <f>IF(MOV_CC_NACIONAL!A1383="","",MOV_CC_NACIONAL!A1383)</f>
        <v/>
      </c>
      <c r="B1383" s="22" t="str">
        <f>IF(MOV_CC_NACIONAL!B1383="","",MOV_CC_NACIONAL!B1383)</f>
        <v/>
      </c>
      <c r="C1383" s="21" t="str">
        <f>IF(MOV_CC_NACIONAL!C1383="","",MOV_CC_NACIONAL!C1383)</f>
        <v/>
      </c>
      <c r="D1383" s="22" t="str">
        <f t="shared" si="1"/>
        <v>Other</v>
      </c>
    </row>
    <row r="1384" ht="15.75" customHeight="1">
      <c r="A1384" s="22" t="str">
        <f>IF(MOV_CC_NACIONAL!A1384="","",MOV_CC_NACIONAL!A1384)</f>
        <v/>
      </c>
      <c r="B1384" s="22" t="str">
        <f>IF(MOV_CC_NACIONAL!B1384="","",MOV_CC_NACIONAL!B1384)</f>
        <v/>
      </c>
      <c r="C1384" s="21" t="str">
        <f>IF(MOV_CC_NACIONAL!C1384="","",MOV_CC_NACIONAL!C1384)</f>
        <v/>
      </c>
      <c r="D1384" s="22" t="str">
        <f t="shared" si="1"/>
        <v>Other</v>
      </c>
    </row>
    <row r="1385" ht="15.75" customHeight="1">
      <c r="A1385" s="22" t="str">
        <f>IF(MOV_CC_NACIONAL!A1385="","",MOV_CC_NACIONAL!A1385)</f>
        <v/>
      </c>
      <c r="B1385" s="22" t="str">
        <f>IF(MOV_CC_NACIONAL!B1385="","",MOV_CC_NACIONAL!B1385)</f>
        <v/>
      </c>
      <c r="C1385" s="21" t="str">
        <f>IF(MOV_CC_NACIONAL!C1385="","",MOV_CC_NACIONAL!C1385)</f>
        <v/>
      </c>
      <c r="D1385" s="22" t="str">
        <f t="shared" si="1"/>
        <v>Other</v>
      </c>
    </row>
    <row r="1386" ht="15.75" customHeight="1">
      <c r="A1386" s="22" t="str">
        <f>IF(MOV_CC_NACIONAL!A1386="","",MOV_CC_NACIONAL!A1386)</f>
        <v/>
      </c>
      <c r="B1386" s="22" t="str">
        <f>IF(MOV_CC_NACIONAL!B1386="","",MOV_CC_NACIONAL!B1386)</f>
        <v/>
      </c>
      <c r="C1386" s="21" t="str">
        <f>IF(MOV_CC_NACIONAL!C1386="","",MOV_CC_NACIONAL!C1386)</f>
        <v/>
      </c>
      <c r="D1386" s="22" t="str">
        <f t="shared" si="1"/>
        <v>Other</v>
      </c>
    </row>
    <row r="1387" ht="15.75" customHeight="1">
      <c r="A1387" s="22" t="str">
        <f>IF(MOV_CC_NACIONAL!A1387="","",MOV_CC_NACIONAL!A1387)</f>
        <v/>
      </c>
      <c r="B1387" s="22" t="str">
        <f>IF(MOV_CC_NACIONAL!B1387="","",MOV_CC_NACIONAL!B1387)</f>
        <v/>
      </c>
      <c r="C1387" s="21" t="str">
        <f>IF(MOV_CC_NACIONAL!C1387="","",MOV_CC_NACIONAL!C1387)</f>
        <v/>
      </c>
      <c r="D1387" s="22" t="str">
        <f t="shared" si="1"/>
        <v>Other</v>
      </c>
    </row>
    <row r="1388" ht="15.75" customHeight="1">
      <c r="A1388" s="22" t="str">
        <f>IF(MOV_CC_NACIONAL!A1388="","",MOV_CC_NACIONAL!A1388)</f>
        <v/>
      </c>
      <c r="B1388" s="22" t="str">
        <f>IF(MOV_CC_NACIONAL!B1388="","",MOV_CC_NACIONAL!B1388)</f>
        <v/>
      </c>
      <c r="C1388" s="21" t="str">
        <f>IF(MOV_CC_NACIONAL!C1388="","",MOV_CC_NACIONAL!C1388)</f>
        <v/>
      </c>
      <c r="D1388" s="22" t="str">
        <f t="shared" si="1"/>
        <v>Other</v>
      </c>
    </row>
    <row r="1389" ht="15.75" customHeight="1">
      <c r="A1389" s="22" t="str">
        <f>IF(MOV_CC_NACIONAL!A1389="","",MOV_CC_NACIONAL!A1389)</f>
        <v/>
      </c>
      <c r="B1389" s="22" t="str">
        <f>IF(MOV_CC_NACIONAL!B1389="","",MOV_CC_NACIONAL!B1389)</f>
        <v/>
      </c>
      <c r="C1389" s="21" t="str">
        <f>IF(MOV_CC_NACIONAL!C1389="","",MOV_CC_NACIONAL!C1389)</f>
        <v/>
      </c>
      <c r="D1389" s="22" t="str">
        <f t="shared" si="1"/>
        <v>Other</v>
      </c>
    </row>
    <row r="1390" ht="15.75" customHeight="1">
      <c r="A1390" s="22" t="str">
        <f>IF(MOV_CC_NACIONAL!A1390="","",MOV_CC_NACIONAL!A1390)</f>
        <v/>
      </c>
      <c r="B1390" s="22" t="str">
        <f>IF(MOV_CC_NACIONAL!B1390="","",MOV_CC_NACIONAL!B1390)</f>
        <v/>
      </c>
      <c r="C1390" s="21" t="str">
        <f>IF(MOV_CC_NACIONAL!C1390="","",MOV_CC_NACIONAL!C1390)</f>
        <v/>
      </c>
      <c r="D1390" s="22" t="str">
        <f t="shared" si="1"/>
        <v>Other</v>
      </c>
    </row>
    <row r="1391" ht="15.75" customHeight="1">
      <c r="A1391" s="22" t="str">
        <f>IF(MOV_CC_NACIONAL!A1391="","",MOV_CC_NACIONAL!A1391)</f>
        <v/>
      </c>
      <c r="B1391" s="22" t="str">
        <f>IF(MOV_CC_NACIONAL!B1391="","",MOV_CC_NACIONAL!B1391)</f>
        <v/>
      </c>
      <c r="C1391" s="21" t="str">
        <f>IF(MOV_CC_NACIONAL!C1391="","",MOV_CC_NACIONAL!C1391)</f>
        <v/>
      </c>
      <c r="D1391" s="22" t="str">
        <f t="shared" si="1"/>
        <v>Other</v>
      </c>
    </row>
    <row r="1392" ht="15.75" customHeight="1">
      <c r="A1392" s="22" t="str">
        <f>IF(MOV_CC_NACIONAL!A1392="","",MOV_CC_NACIONAL!A1392)</f>
        <v/>
      </c>
      <c r="B1392" s="22" t="str">
        <f>IF(MOV_CC_NACIONAL!B1392="","",MOV_CC_NACIONAL!B1392)</f>
        <v/>
      </c>
      <c r="C1392" s="21" t="str">
        <f>IF(MOV_CC_NACIONAL!C1392="","",MOV_CC_NACIONAL!C1392)</f>
        <v/>
      </c>
      <c r="D1392" s="22" t="str">
        <f t="shared" si="1"/>
        <v>Other</v>
      </c>
    </row>
    <row r="1393" ht="15.75" customHeight="1">
      <c r="A1393" s="22" t="str">
        <f>IF(MOV_CC_NACIONAL!A1393="","",MOV_CC_NACIONAL!A1393)</f>
        <v/>
      </c>
      <c r="B1393" s="22" t="str">
        <f>IF(MOV_CC_NACIONAL!B1393="","",MOV_CC_NACIONAL!B1393)</f>
        <v/>
      </c>
      <c r="C1393" s="21" t="str">
        <f>IF(MOV_CC_NACIONAL!C1393="","",MOV_CC_NACIONAL!C1393)</f>
        <v/>
      </c>
      <c r="D1393" s="22" t="str">
        <f t="shared" si="1"/>
        <v>Other</v>
      </c>
    </row>
    <row r="1394" ht="15.75" customHeight="1">
      <c r="A1394" s="22" t="str">
        <f>IF(MOV_CC_NACIONAL!A1394="","",MOV_CC_NACIONAL!A1394)</f>
        <v/>
      </c>
      <c r="B1394" s="22" t="str">
        <f>IF(MOV_CC_NACIONAL!B1394="","",MOV_CC_NACIONAL!B1394)</f>
        <v/>
      </c>
      <c r="C1394" s="21" t="str">
        <f>IF(MOV_CC_NACIONAL!C1394="","",MOV_CC_NACIONAL!C1394)</f>
        <v/>
      </c>
      <c r="D1394" s="22" t="str">
        <f t="shared" si="1"/>
        <v>Other</v>
      </c>
    </row>
    <row r="1395" ht="15.75" customHeight="1">
      <c r="A1395" s="22" t="str">
        <f>IF(MOV_CC_NACIONAL!A1395="","",MOV_CC_NACIONAL!A1395)</f>
        <v/>
      </c>
      <c r="B1395" s="22" t="str">
        <f>IF(MOV_CC_NACIONAL!B1395="","",MOV_CC_NACIONAL!B1395)</f>
        <v/>
      </c>
      <c r="C1395" s="21" t="str">
        <f>IF(MOV_CC_NACIONAL!C1395="","",MOV_CC_NACIONAL!C1395)</f>
        <v/>
      </c>
      <c r="D1395" s="22" t="str">
        <f t="shared" si="1"/>
        <v>Other</v>
      </c>
    </row>
    <row r="1396" ht="15.75" customHeight="1">
      <c r="A1396" s="22" t="str">
        <f>IF(MOV_CC_NACIONAL!A1396="","",MOV_CC_NACIONAL!A1396)</f>
        <v/>
      </c>
      <c r="B1396" s="22" t="str">
        <f>IF(MOV_CC_NACIONAL!B1396="","",MOV_CC_NACIONAL!B1396)</f>
        <v/>
      </c>
      <c r="C1396" s="21" t="str">
        <f>IF(MOV_CC_NACIONAL!C1396="","",MOV_CC_NACIONAL!C1396)</f>
        <v/>
      </c>
      <c r="D1396" s="22" t="str">
        <f t="shared" si="1"/>
        <v>Other</v>
      </c>
    </row>
    <row r="1397" ht="15.75" customHeight="1">
      <c r="A1397" s="22" t="str">
        <f>IF(MOV_CC_NACIONAL!A1397="","",MOV_CC_NACIONAL!A1397)</f>
        <v/>
      </c>
      <c r="B1397" s="22" t="str">
        <f>IF(MOV_CC_NACIONAL!B1397="","",MOV_CC_NACIONAL!B1397)</f>
        <v/>
      </c>
      <c r="C1397" s="21" t="str">
        <f>IF(MOV_CC_NACIONAL!C1397="","",MOV_CC_NACIONAL!C1397)</f>
        <v/>
      </c>
      <c r="D1397" s="22" t="str">
        <f t="shared" si="1"/>
        <v>Other</v>
      </c>
    </row>
    <row r="1398" ht="15.75" customHeight="1">
      <c r="A1398" s="22" t="str">
        <f>IF(MOV_CC_NACIONAL!A1398="","",MOV_CC_NACIONAL!A1398)</f>
        <v/>
      </c>
      <c r="B1398" s="22" t="str">
        <f>IF(MOV_CC_NACIONAL!B1398="","",MOV_CC_NACIONAL!B1398)</f>
        <v/>
      </c>
      <c r="C1398" s="21" t="str">
        <f>IF(MOV_CC_NACIONAL!C1398="","",MOV_CC_NACIONAL!C1398)</f>
        <v/>
      </c>
      <c r="D1398" s="22" t="str">
        <f t="shared" si="1"/>
        <v>Other</v>
      </c>
    </row>
    <row r="1399" ht="15.75" customHeight="1">
      <c r="A1399" s="22" t="str">
        <f>IF(MOV_CC_NACIONAL!A1399="","",MOV_CC_NACIONAL!A1399)</f>
        <v/>
      </c>
      <c r="B1399" s="22" t="str">
        <f>IF(MOV_CC_NACIONAL!B1399="","",MOV_CC_NACIONAL!B1399)</f>
        <v/>
      </c>
      <c r="C1399" s="21" t="str">
        <f>IF(MOV_CC_NACIONAL!C1399="","",MOV_CC_NACIONAL!C1399)</f>
        <v/>
      </c>
      <c r="D1399" s="22" t="str">
        <f t="shared" si="1"/>
        <v>Other</v>
      </c>
    </row>
    <row r="1400" ht="15.75" customHeight="1">
      <c r="A1400" s="22" t="str">
        <f>IF(MOV_CC_NACIONAL!A1400="","",MOV_CC_NACIONAL!A1400)</f>
        <v/>
      </c>
      <c r="B1400" s="22" t="str">
        <f>IF(MOV_CC_NACIONAL!B1400="","",MOV_CC_NACIONAL!B1400)</f>
        <v/>
      </c>
      <c r="C1400" s="21" t="str">
        <f>IF(MOV_CC_NACIONAL!C1400="","",MOV_CC_NACIONAL!C1400)</f>
        <v/>
      </c>
      <c r="D1400" s="22" t="str">
        <f t="shared" si="1"/>
        <v>Other</v>
      </c>
    </row>
    <row r="1401" ht="15.75" customHeight="1">
      <c r="A1401" s="22" t="str">
        <f>IF(MOV_CC_NACIONAL!A1401="","",MOV_CC_NACIONAL!A1401)</f>
        <v/>
      </c>
      <c r="B1401" s="22" t="str">
        <f>IF(MOV_CC_NACIONAL!B1401="","",MOV_CC_NACIONAL!B1401)</f>
        <v/>
      </c>
      <c r="C1401" s="21" t="str">
        <f>IF(MOV_CC_NACIONAL!C1401="","",MOV_CC_NACIONAL!C1401)</f>
        <v/>
      </c>
      <c r="D1401" s="22" t="str">
        <f t="shared" si="1"/>
        <v>Other</v>
      </c>
    </row>
    <row r="1402" ht="15.75" customHeight="1">
      <c r="A1402" s="22" t="str">
        <f>IF(MOV_CC_NACIONAL!A1402="","",MOV_CC_NACIONAL!A1402)</f>
        <v/>
      </c>
      <c r="B1402" s="22" t="str">
        <f>IF(MOV_CC_NACIONAL!B1402="","",MOV_CC_NACIONAL!B1402)</f>
        <v/>
      </c>
      <c r="C1402" s="21" t="str">
        <f>IF(MOV_CC_NACIONAL!C1402="","",MOV_CC_NACIONAL!C1402)</f>
        <v/>
      </c>
      <c r="D1402" s="22" t="str">
        <f t="shared" si="1"/>
        <v>Other</v>
      </c>
    </row>
    <row r="1403" ht="15.75" customHeight="1">
      <c r="A1403" s="22" t="str">
        <f>IF(MOV_CC_NACIONAL!A1403="","",MOV_CC_NACIONAL!A1403)</f>
        <v/>
      </c>
      <c r="B1403" s="22" t="str">
        <f>IF(MOV_CC_NACIONAL!B1403="","",MOV_CC_NACIONAL!B1403)</f>
        <v/>
      </c>
      <c r="C1403" s="21" t="str">
        <f>IF(MOV_CC_NACIONAL!C1403="","",MOV_CC_NACIONAL!C1403)</f>
        <v/>
      </c>
      <c r="D1403" s="22" t="str">
        <f t="shared" si="1"/>
        <v>Other</v>
      </c>
    </row>
    <row r="1404" ht="15.75" customHeight="1">
      <c r="A1404" s="22" t="str">
        <f>IF(MOV_CC_NACIONAL!A1404="","",MOV_CC_NACIONAL!A1404)</f>
        <v/>
      </c>
      <c r="B1404" s="22" t="str">
        <f>IF(MOV_CC_NACIONAL!B1404="","",MOV_CC_NACIONAL!B1404)</f>
        <v/>
      </c>
      <c r="C1404" s="21" t="str">
        <f>IF(MOV_CC_NACIONAL!C1404="","",MOV_CC_NACIONAL!C1404)</f>
        <v/>
      </c>
      <c r="D1404" s="22" t="str">
        <f t="shared" si="1"/>
        <v>Other</v>
      </c>
    </row>
    <row r="1405" ht="15.75" customHeight="1">
      <c r="A1405" s="22" t="str">
        <f>IF(MOV_CC_NACIONAL!A1405="","",MOV_CC_NACIONAL!A1405)</f>
        <v/>
      </c>
      <c r="B1405" s="22" t="str">
        <f>IF(MOV_CC_NACIONAL!B1405="","",MOV_CC_NACIONAL!B1405)</f>
        <v/>
      </c>
      <c r="C1405" s="21" t="str">
        <f>IF(MOV_CC_NACIONAL!C1405="","",MOV_CC_NACIONAL!C1405)</f>
        <v/>
      </c>
      <c r="D1405" s="22" t="str">
        <f t="shared" si="1"/>
        <v>Other</v>
      </c>
    </row>
    <row r="1406" ht="15.75" customHeight="1">
      <c r="A1406" s="22" t="str">
        <f>IF(MOV_CC_NACIONAL!A1406="","",MOV_CC_NACIONAL!A1406)</f>
        <v/>
      </c>
      <c r="B1406" s="22" t="str">
        <f>IF(MOV_CC_NACIONAL!B1406="","",MOV_CC_NACIONAL!B1406)</f>
        <v/>
      </c>
      <c r="C1406" s="21" t="str">
        <f>IF(MOV_CC_NACIONAL!C1406="","",MOV_CC_NACIONAL!C1406)</f>
        <v/>
      </c>
      <c r="D1406" s="22" t="str">
        <f t="shared" si="1"/>
        <v>Other</v>
      </c>
    </row>
    <row r="1407" ht="15.75" customHeight="1">
      <c r="A1407" s="22" t="str">
        <f>IF(MOV_CC_NACIONAL!A1407="","",MOV_CC_NACIONAL!A1407)</f>
        <v/>
      </c>
      <c r="B1407" s="22" t="str">
        <f>IF(MOV_CC_NACIONAL!B1407="","",MOV_CC_NACIONAL!B1407)</f>
        <v/>
      </c>
      <c r="C1407" s="21" t="str">
        <f>IF(MOV_CC_NACIONAL!C1407="","",MOV_CC_NACIONAL!C1407)</f>
        <v/>
      </c>
      <c r="D1407" s="22" t="str">
        <f t="shared" si="1"/>
        <v>Other</v>
      </c>
    </row>
    <row r="1408" ht="15.75" customHeight="1">
      <c r="A1408" s="22" t="str">
        <f>IF(MOV_CC_NACIONAL!A1408="","",MOV_CC_NACIONAL!A1408)</f>
        <v/>
      </c>
      <c r="B1408" s="22" t="str">
        <f>IF(MOV_CC_NACIONAL!B1408="","",MOV_CC_NACIONAL!B1408)</f>
        <v/>
      </c>
      <c r="C1408" s="21" t="str">
        <f>IF(MOV_CC_NACIONAL!C1408="","",MOV_CC_NACIONAL!C1408)</f>
        <v/>
      </c>
      <c r="D1408" s="22" t="str">
        <f t="shared" si="1"/>
        <v>Other</v>
      </c>
    </row>
    <row r="1409" ht="15.75" customHeight="1">
      <c r="A1409" s="22" t="str">
        <f>IF(MOV_CC_NACIONAL!A1409="","",MOV_CC_NACIONAL!A1409)</f>
        <v/>
      </c>
      <c r="B1409" s="22" t="str">
        <f>IF(MOV_CC_NACIONAL!B1409="","",MOV_CC_NACIONAL!B1409)</f>
        <v/>
      </c>
      <c r="C1409" s="21" t="str">
        <f>IF(MOV_CC_NACIONAL!C1409="","",MOV_CC_NACIONAL!C1409)</f>
        <v/>
      </c>
      <c r="D1409" s="22" t="str">
        <f t="shared" si="1"/>
        <v>Other</v>
      </c>
    </row>
    <row r="1410" ht="15.75" customHeight="1">
      <c r="A1410" s="22" t="str">
        <f>IF(MOV_CC_NACIONAL!A1410="","",MOV_CC_NACIONAL!A1410)</f>
        <v/>
      </c>
      <c r="B1410" s="22" t="str">
        <f>IF(MOV_CC_NACIONAL!B1410="","",MOV_CC_NACIONAL!B1410)</f>
        <v/>
      </c>
      <c r="C1410" s="21" t="str">
        <f>IF(MOV_CC_NACIONAL!C1410="","",MOV_CC_NACIONAL!C1410)</f>
        <v/>
      </c>
      <c r="D1410" s="22" t="str">
        <f t="shared" si="1"/>
        <v>Other</v>
      </c>
    </row>
    <row r="1411" ht="15.75" customHeight="1">
      <c r="A1411" s="22" t="str">
        <f>IF(MOV_CC_NACIONAL!A1411="","",MOV_CC_NACIONAL!A1411)</f>
        <v/>
      </c>
      <c r="B1411" s="22" t="str">
        <f>IF(MOV_CC_NACIONAL!B1411="","",MOV_CC_NACIONAL!B1411)</f>
        <v/>
      </c>
      <c r="C1411" s="21" t="str">
        <f>IF(MOV_CC_NACIONAL!C1411="","",MOV_CC_NACIONAL!C1411)</f>
        <v/>
      </c>
      <c r="D1411" s="22" t="str">
        <f t="shared" si="1"/>
        <v>Other</v>
      </c>
    </row>
    <row r="1412" ht="15.75" customHeight="1">
      <c r="A1412" s="22" t="str">
        <f>IF(MOV_CC_NACIONAL!A1412="","",MOV_CC_NACIONAL!A1412)</f>
        <v/>
      </c>
      <c r="B1412" s="22" t="str">
        <f>IF(MOV_CC_NACIONAL!B1412="","",MOV_CC_NACIONAL!B1412)</f>
        <v/>
      </c>
      <c r="C1412" s="21" t="str">
        <f>IF(MOV_CC_NACIONAL!C1412="","",MOV_CC_NACIONAL!C1412)</f>
        <v/>
      </c>
      <c r="D1412" s="22" t="str">
        <f t="shared" si="1"/>
        <v>Other</v>
      </c>
    </row>
    <row r="1413" ht="15.75" customHeight="1">
      <c r="A1413" s="22" t="str">
        <f>IF(MOV_CC_NACIONAL!A1413="","",MOV_CC_NACIONAL!A1413)</f>
        <v/>
      </c>
      <c r="B1413" s="22" t="str">
        <f>IF(MOV_CC_NACIONAL!B1413="","",MOV_CC_NACIONAL!B1413)</f>
        <v/>
      </c>
      <c r="C1413" s="21" t="str">
        <f>IF(MOV_CC_NACIONAL!C1413="","",MOV_CC_NACIONAL!C1413)</f>
        <v/>
      </c>
      <c r="D1413" s="22" t="str">
        <f t="shared" si="1"/>
        <v>Other</v>
      </c>
    </row>
    <row r="1414" ht="15.75" customHeight="1">
      <c r="A1414" s="22" t="str">
        <f>IF(MOV_CC_NACIONAL!A1414="","",MOV_CC_NACIONAL!A1414)</f>
        <v/>
      </c>
      <c r="B1414" s="22" t="str">
        <f>IF(MOV_CC_NACIONAL!B1414="","",MOV_CC_NACIONAL!B1414)</f>
        <v/>
      </c>
      <c r="C1414" s="21" t="str">
        <f>IF(MOV_CC_NACIONAL!C1414="","",MOV_CC_NACIONAL!C1414)</f>
        <v/>
      </c>
      <c r="D1414" s="22" t="str">
        <f t="shared" si="1"/>
        <v>Other</v>
      </c>
    </row>
    <row r="1415" ht="15.75" customHeight="1">
      <c r="A1415" s="22" t="str">
        <f>IF(MOV_CC_NACIONAL!A1415="","",MOV_CC_NACIONAL!A1415)</f>
        <v/>
      </c>
      <c r="B1415" s="22" t="str">
        <f>IF(MOV_CC_NACIONAL!B1415="","",MOV_CC_NACIONAL!B1415)</f>
        <v/>
      </c>
      <c r="C1415" s="21" t="str">
        <f>IF(MOV_CC_NACIONAL!C1415="","",MOV_CC_NACIONAL!C1415)</f>
        <v/>
      </c>
      <c r="D1415" s="22" t="str">
        <f t="shared" si="1"/>
        <v>Other</v>
      </c>
    </row>
    <row r="1416" ht="15.75" customHeight="1">
      <c r="A1416" s="22" t="str">
        <f>IF(MOV_CC_NACIONAL!A1416="","",MOV_CC_NACIONAL!A1416)</f>
        <v/>
      </c>
      <c r="B1416" s="22" t="str">
        <f>IF(MOV_CC_NACIONAL!B1416="","",MOV_CC_NACIONAL!B1416)</f>
        <v/>
      </c>
      <c r="C1416" s="21" t="str">
        <f>IF(MOV_CC_NACIONAL!C1416="","",MOV_CC_NACIONAL!C1416)</f>
        <v/>
      </c>
      <c r="D1416" s="22" t="str">
        <f t="shared" si="1"/>
        <v>Other</v>
      </c>
    </row>
    <row r="1417" ht="15.75" customHeight="1">
      <c r="A1417" s="22" t="str">
        <f>IF(MOV_CC_NACIONAL!A1417="","",MOV_CC_NACIONAL!A1417)</f>
        <v/>
      </c>
      <c r="B1417" s="22" t="str">
        <f>IF(MOV_CC_NACIONAL!B1417="","",MOV_CC_NACIONAL!B1417)</f>
        <v/>
      </c>
      <c r="C1417" s="21" t="str">
        <f>IF(MOV_CC_NACIONAL!C1417="","",MOV_CC_NACIONAL!C1417)</f>
        <v/>
      </c>
      <c r="D1417" s="22" t="str">
        <f t="shared" si="1"/>
        <v>Other</v>
      </c>
    </row>
    <row r="1418" ht="15.75" customHeight="1">
      <c r="A1418" s="22" t="str">
        <f>IF(MOV_CC_NACIONAL!A1418="","",MOV_CC_NACIONAL!A1418)</f>
        <v/>
      </c>
      <c r="B1418" s="22" t="str">
        <f>IF(MOV_CC_NACIONAL!B1418="","",MOV_CC_NACIONAL!B1418)</f>
        <v/>
      </c>
      <c r="C1418" s="21" t="str">
        <f>IF(MOV_CC_NACIONAL!C1418="","",MOV_CC_NACIONAL!C1418)</f>
        <v/>
      </c>
      <c r="D1418" s="22" t="str">
        <f t="shared" si="1"/>
        <v>Other</v>
      </c>
    </row>
    <row r="1419" ht="15.75" customHeight="1">
      <c r="A1419" s="22" t="str">
        <f>IF(MOV_CC_NACIONAL!A1419="","",MOV_CC_NACIONAL!A1419)</f>
        <v/>
      </c>
      <c r="B1419" s="22" t="str">
        <f>IF(MOV_CC_NACIONAL!B1419="","",MOV_CC_NACIONAL!B1419)</f>
        <v/>
      </c>
      <c r="C1419" s="21" t="str">
        <f>IF(MOV_CC_NACIONAL!C1419="","",MOV_CC_NACIONAL!C1419)</f>
        <v/>
      </c>
      <c r="D1419" s="22" t="str">
        <f t="shared" si="1"/>
        <v>Other</v>
      </c>
    </row>
    <row r="1420" ht="15.75" customHeight="1">
      <c r="A1420" s="22" t="str">
        <f>IF(MOV_CC_NACIONAL!A1420="","",MOV_CC_NACIONAL!A1420)</f>
        <v/>
      </c>
      <c r="B1420" s="22" t="str">
        <f>IF(MOV_CC_NACIONAL!B1420="","",MOV_CC_NACIONAL!B1420)</f>
        <v/>
      </c>
      <c r="C1420" s="21" t="str">
        <f>IF(MOV_CC_NACIONAL!C1420="","",MOV_CC_NACIONAL!C1420)</f>
        <v/>
      </c>
      <c r="D1420" s="22" t="str">
        <f t="shared" si="1"/>
        <v>Other</v>
      </c>
    </row>
    <row r="1421" ht="15.75" customHeight="1">
      <c r="A1421" s="22" t="str">
        <f>IF(MOV_CC_NACIONAL!A1421="","",MOV_CC_NACIONAL!A1421)</f>
        <v/>
      </c>
      <c r="B1421" s="22" t="str">
        <f>IF(MOV_CC_NACIONAL!B1421="","",MOV_CC_NACIONAL!B1421)</f>
        <v/>
      </c>
      <c r="C1421" s="21" t="str">
        <f>IF(MOV_CC_NACIONAL!C1421="","",MOV_CC_NACIONAL!C1421)</f>
        <v/>
      </c>
      <c r="D1421" s="22" t="str">
        <f t="shared" si="1"/>
        <v>Other</v>
      </c>
    </row>
    <row r="1422" ht="15.75" customHeight="1">
      <c r="A1422" s="22" t="str">
        <f>IF(MOV_CC_NACIONAL!A1422="","",MOV_CC_NACIONAL!A1422)</f>
        <v/>
      </c>
      <c r="B1422" s="22" t="str">
        <f>IF(MOV_CC_NACIONAL!B1422="","",MOV_CC_NACIONAL!B1422)</f>
        <v/>
      </c>
      <c r="C1422" s="21" t="str">
        <f>IF(MOV_CC_NACIONAL!C1422="","",MOV_CC_NACIONAL!C1422)</f>
        <v/>
      </c>
      <c r="D1422" s="22" t="str">
        <f t="shared" si="1"/>
        <v>Other</v>
      </c>
    </row>
    <row r="1423" ht="15.75" customHeight="1">
      <c r="A1423" s="22" t="str">
        <f>IF(MOV_CC_NACIONAL!A1423="","",MOV_CC_NACIONAL!A1423)</f>
        <v/>
      </c>
      <c r="B1423" s="22" t="str">
        <f>IF(MOV_CC_NACIONAL!B1423="","",MOV_CC_NACIONAL!B1423)</f>
        <v/>
      </c>
      <c r="C1423" s="21" t="str">
        <f>IF(MOV_CC_NACIONAL!C1423="","",MOV_CC_NACIONAL!C1423)</f>
        <v/>
      </c>
      <c r="D1423" s="22" t="str">
        <f t="shared" si="1"/>
        <v>Other</v>
      </c>
    </row>
    <row r="1424" ht="15.75" customHeight="1">
      <c r="A1424" s="22" t="str">
        <f>IF(MOV_CC_NACIONAL!A1424="","",MOV_CC_NACIONAL!A1424)</f>
        <v/>
      </c>
      <c r="B1424" s="22" t="str">
        <f>IF(MOV_CC_NACIONAL!B1424="","",MOV_CC_NACIONAL!B1424)</f>
        <v/>
      </c>
      <c r="C1424" s="21" t="str">
        <f>IF(MOV_CC_NACIONAL!C1424="","",MOV_CC_NACIONAL!C1424)</f>
        <v/>
      </c>
      <c r="D1424" s="22" t="str">
        <f t="shared" si="1"/>
        <v>Other</v>
      </c>
    </row>
    <row r="1425" ht="15.75" customHeight="1">
      <c r="A1425" s="22" t="str">
        <f>IF(MOV_CC_NACIONAL!A1425="","",MOV_CC_NACIONAL!A1425)</f>
        <v/>
      </c>
      <c r="B1425" s="22" t="str">
        <f>IF(MOV_CC_NACIONAL!B1425="","",MOV_CC_NACIONAL!B1425)</f>
        <v/>
      </c>
      <c r="C1425" s="21" t="str">
        <f>IF(MOV_CC_NACIONAL!C1425="","",MOV_CC_NACIONAL!C1425)</f>
        <v/>
      </c>
      <c r="D1425" s="22" t="str">
        <f t="shared" si="1"/>
        <v>Other</v>
      </c>
    </row>
    <row r="1426" ht="15.75" customHeight="1">
      <c r="A1426" s="22" t="str">
        <f>IF(MOV_CC_NACIONAL!A1426="","",MOV_CC_NACIONAL!A1426)</f>
        <v/>
      </c>
      <c r="B1426" s="22" t="str">
        <f>IF(MOV_CC_NACIONAL!B1426="","",MOV_CC_NACIONAL!B1426)</f>
        <v/>
      </c>
      <c r="C1426" s="21" t="str">
        <f>IF(MOV_CC_NACIONAL!C1426="","",MOV_CC_NACIONAL!C1426)</f>
        <v/>
      </c>
      <c r="D1426" s="22" t="str">
        <f t="shared" si="1"/>
        <v>Other</v>
      </c>
    </row>
    <row r="1427" ht="15.75" customHeight="1">
      <c r="A1427" s="22" t="str">
        <f>IF(MOV_CC_NACIONAL!A1427="","",MOV_CC_NACIONAL!A1427)</f>
        <v/>
      </c>
      <c r="B1427" s="22" t="str">
        <f>IF(MOV_CC_NACIONAL!B1427="","",MOV_CC_NACIONAL!B1427)</f>
        <v/>
      </c>
      <c r="C1427" s="21" t="str">
        <f>IF(MOV_CC_NACIONAL!C1427="","",MOV_CC_NACIONAL!C1427)</f>
        <v/>
      </c>
      <c r="D1427" s="22" t="str">
        <f t="shared" si="1"/>
        <v>Other</v>
      </c>
    </row>
    <row r="1428" ht="15.75" customHeight="1">
      <c r="A1428" s="22" t="str">
        <f>IF(MOV_CC_NACIONAL!A1428="","",MOV_CC_NACIONAL!A1428)</f>
        <v/>
      </c>
      <c r="B1428" s="22" t="str">
        <f>IF(MOV_CC_NACIONAL!B1428="","",MOV_CC_NACIONAL!B1428)</f>
        <v/>
      </c>
      <c r="C1428" s="21" t="str">
        <f>IF(MOV_CC_NACIONAL!C1428="","",MOV_CC_NACIONAL!C1428)</f>
        <v/>
      </c>
      <c r="D1428" s="22" t="str">
        <f t="shared" si="1"/>
        <v>Other</v>
      </c>
    </row>
    <row r="1429" ht="15.75" customHeight="1">
      <c r="A1429" s="22" t="str">
        <f>IF(MOV_CC_NACIONAL!A1429="","",MOV_CC_NACIONAL!A1429)</f>
        <v/>
      </c>
      <c r="B1429" s="22" t="str">
        <f>IF(MOV_CC_NACIONAL!B1429="","",MOV_CC_NACIONAL!B1429)</f>
        <v/>
      </c>
      <c r="C1429" s="21" t="str">
        <f>IF(MOV_CC_NACIONAL!C1429="","",MOV_CC_NACIONAL!C1429)</f>
        <v/>
      </c>
      <c r="D1429" s="22" t="str">
        <f t="shared" si="1"/>
        <v>Other</v>
      </c>
    </row>
    <row r="1430" ht="15.75" customHeight="1">
      <c r="A1430" s="22" t="str">
        <f>IF(MOV_CC_NACIONAL!A1430="","",MOV_CC_NACIONAL!A1430)</f>
        <v/>
      </c>
      <c r="B1430" s="22" t="str">
        <f>IF(MOV_CC_NACIONAL!B1430="","",MOV_CC_NACIONAL!B1430)</f>
        <v/>
      </c>
      <c r="C1430" s="21" t="str">
        <f>IF(MOV_CC_NACIONAL!C1430="","",MOV_CC_NACIONAL!C1430)</f>
        <v/>
      </c>
      <c r="D1430" s="22" t="str">
        <f t="shared" si="1"/>
        <v>Other</v>
      </c>
    </row>
    <row r="1431" ht="15.75" customHeight="1">
      <c r="A1431" s="22" t="str">
        <f>IF(MOV_CC_NACIONAL!A1431="","",MOV_CC_NACIONAL!A1431)</f>
        <v/>
      </c>
      <c r="B1431" s="22" t="str">
        <f>IF(MOV_CC_NACIONAL!B1431="","",MOV_CC_NACIONAL!B1431)</f>
        <v/>
      </c>
      <c r="C1431" s="21" t="str">
        <f>IF(MOV_CC_NACIONAL!C1431="","",MOV_CC_NACIONAL!C1431)</f>
        <v/>
      </c>
      <c r="D1431" s="22" t="str">
        <f t="shared" si="1"/>
        <v>Other</v>
      </c>
    </row>
    <row r="1432" ht="15.75" customHeight="1">
      <c r="A1432" s="22" t="str">
        <f>IF(MOV_CC_NACIONAL!A1432="","",MOV_CC_NACIONAL!A1432)</f>
        <v/>
      </c>
      <c r="B1432" s="22" t="str">
        <f>IF(MOV_CC_NACIONAL!B1432="","",MOV_CC_NACIONAL!B1432)</f>
        <v/>
      </c>
      <c r="C1432" s="21" t="str">
        <f>IF(MOV_CC_NACIONAL!C1432="","",MOV_CC_NACIONAL!C1432)</f>
        <v/>
      </c>
      <c r="D1432" s="22" t="str">
        <f t="shared" si="1"/>
        <v>Other</v>
      </c>
    </row>
    <row r="1433" ht="15.75" customHeight="1">
      <c r="A1433" s="22" t="str">
        <f>IF(MOV_CC_NACIONAL!A1433="","",MOV_CC_NACIONAL!A1433)</f>
        <v/>
      </c>
      <c r="B1433" s="22" t="str">
        <f>IF(MOV_CC_NACIONAL!B1433="","",MOV_CC_NACIONAL!B1433)</f>
        <v/>
      </c>
      <c r="C1433" s="21" t="str">
        <f>IF(MOV_CC_NACIONAL!C1433="","",MOV_CC_NACIONAL!C1433)</f>
        <v/>
      </c>
      <c r="D1433" s="22" t="str">
        <f t="shared" si="1"/>
        <v>Other</v>
      </c>
    </row>
    <row r="1434" ht="15.75" customHeight="1">
      <c r="A1434" s="22" t="str">
        <f>IF(MOV_CC_NACIONAL!A1434="","",MOV_CC_NACIONAL!A1434)</f>
        <v/>
      </c>
      <c r="B1434" s="22" t="str">
        <f>IF(MOV_CC_NACIONAL!B1434="","",MOV_CC_NACIONAL!B1434)</f>
        <v/>
      </c>
      <c r="C1434" s="21" t="str">
        <f>IF(MOV_CC_NACIONAL!C1434="","",MOV_CC_NACIONAL!C1434)</f>
        <v/>
      </c>
      <c r="D1434" s="22" t="str">
        <f t="shared" si="1"/>
        <v>Other</v>
      </c>
    </row>
    <row r="1435" ht="15.75" customHeight="1">
      <c r="A1435" s="22" t="str">
        <f>IF(MOV_CC_NACIONAL!A1435="","",MOV_CC_NACIONAL!A1435)</f>
        <v/>
      </c>
      <c r="B1435" s="22" t="str">
        <f>IF(MOV_CC_NACIONAL!B1435="","",MOV_CC_NACIONAL!B1435)</f>
        <v/>
      </c>
      <c r="C1435" s="21" t="str">
        <f>IF(MOV_CC_NACIONAL!C1435="","",MOV_CC_NACIONAL!C1435)</f>
        <v/>
      </c>
      <c r="D1435" s="22" t="str">
        <f t="shared" si="1"/>
        <v>Other</v>
      </c>
    </row>
    <row r="1436" ht="15.75" customHeight="1">
      <c r="A1436" s="22" t="str">
        <f>IF(MOV_CC_NACIONAL!A1436="","",MOV_CC_NACIONAL!A1436)</f>
        <v/>
      </c>
      <c r="B1436" s="22" t="str">
        <f>IF(MOV_CC_NACIONAL!B1436="","",MOV_CC_NACIONAL!B1436)</f>
        <v/>
      </c>
      <c r="C1436" s="21" t="str">
        <f>IF(MOV_CC_NACIONAL!C1436="","",MOV_CC_NACIONAL!C1436)</f>
        <v/>
      </c>
      <c r="D1436" s="22" t="str">
        <f t="shared" si="1"/>
        <v>Other</v>
      </c>
    </row>
    <row r="1437" ht="15.75" customHeight="1">
      <c r="A1437" s="22" t="str">
        <f>IF(MOV_CC_NACIONAL!A1437="","",MOV_CC_NACIONAL!A1437)</f>
        <v/>
      </c>
      <c r="B1437" s="22" t="str">
        <f>IF(MOV_CC_NACIONAL!B1437="","",MOV_CC_NACIONAL!B1437)</f>
        <v/>
      </c>
      <c r="C1437" s="21" t="str">
        <f>IF(MOV_CC_NACIONAL!C1437="","",MOV_CC_NACIONAL!C1437)</f>
        <v/>
      </c>
      <c r="D1437" s="22" t="str">
        <f t="shared" si="1"/>
        <v>Other</v>
      </c>
    </row>
    <row r="1438" ht="15.75" customHeight="1">
      <c r="A1438" s="22" t="str">
        <f>IF(MOV_CC_NACIONAL!A1438="","",MOV_CC_NACIONAL!A1438)</f>
        <v/>
      </c>
      <c r="B1438" s="22" t="str">
        <f>IF(MOV_CC_NACIONAL!B1438="","",MOV_CC_NACIONAL!B1438)</f>
        <v/>
      </c>
      <c r="C1438" s="21" t="str">
        <f>IF(MOV_CC_NACIONAL!C1438="","",MOV_CC_NACIONAL!C1438)</f>
        <v/>
      </c>
      <c r="D1438" s="22" t="str">
        <f t="shared" si="1"/>
        <v>Other</v>
      </c>
    </row>
    <row r="1439" ht="15.75" customHeight="1">
      <c r="A1439" s="22" t="str">
        <f>IF(MOV_CC_NACIONAL!A1439="","",MOV_CC_NACIONAL!A1439)</f>
        <v/>
      </c>
      <c r="B1439" s="22" t="str">
        <f>IF(MOV_CC_NACIONAL!B1439="","",MOV_CC_NACIONAL!B1439)</f>
        <v/>
      </c>
      <c r="C1439" s="21" t="str">
        <f>IF(MOV_CC_NACIONAL!C1439="","",MOV_CC_NACIONAL!C1439)</f>
        <v/>
      </c>
      <c r="D1439" s="22" t="str">
        <f t="shared" si="1"/>
        <v>Other</v>
      </c>
    </row>
    <row r="1440" ht="15.75" customHeight="1">
      <c r="A1440" s="22" t="str">
        <f>IF(MOV_CC_NACIONAL!A1440="","",MOV_CC_NACIONAL!A1440)</f>
        <v/>
      </c>
      <c r="B1440" s="22" t="str">
        <f>IF(MOV_CC_NACIONAL!B1440="","",MOV_CC_NACIONAL!B1440)</f>
        <v/>
      </c>
      <c r="C1440" s="21" t="str">
        <f>IF(MOV_CC_NACIONAL!C1440="","",MOV_CC_NACIONAL!C1440)</f>
        <v/>
      </c>
      <c r="D1440" s="22" t="str">
        <f t="shared" si="1"/>
        <v>Other</v>
      </c>
    </row>
    <row r="1441" ht="15.75" customHeight="1">
      <c r="A1441" s="22" t="str">
        <f>IF(MOV_CC_NACIONAL!A1441="","",MOV_CC_NACIONAL!A1441)</f>
        <v/>
      </c>
      <c r="B1441" s="22" t="str">
        <f>IF(MOV_CC_NACIONAL!B1441="","",MOV_CC_NACIONAL!B1441)</f>
        <v/>
      </c>
      <c r="C1441" s="21" t="str">
        <f>IF(MOV_CC_NACIONAL!C1441="","",MOV_CC_NACIONAL!C1441)</f>
        <v/>
      </c>
      <c r="D1441" s="22" t="str">
        <f t="shared" si="1"/>
        <v>Other</v>
      </c>
    </row>
    <row r="1442" ht="15.75" customHeight="1">
      <c r="A1442" s="22" t="str">
        <f>IF(MOV_CC_NACIONAL!A1442="","",MOV_CC_NACIONAL!A1442)</f>
        <v/>
      </c>
      <c r="B1442" s="22" t="str">
        <f>IF(MOV_CC_NACIONAL!B1442="","",MOV_CC_NACIONAL!B1442)</f>
        <v/>
      </c>
      <c r="C1442" s="21" t="str">
        <f>IF(MOV_CC_NACIONAL!C1442="","",MOV_CC_NACIONAL!C1442)</f>
        <v/>
      </c>
      <c r="D1442" s="22" t="str">
        <f t="shared" si="1"/>
        <v>Other</v>
      </c>
    </row>
    <row r="1443" ht="15.75" customHeight="1">
      <c r="A1443" s="22" t="str">
        <f>IF(MOV_CC_NACIONAL!A1443="","",MOV_CC_NACIONAL!A1443)</f>
        <v/>
      </c>
      <c r="B1443" s="22" t="str">
        <f>IF(MOV_CC_NACIONAL!B1443="","",MOV_CC_NACIONAL!B1443)</f>
        <v/>
      </c>
      <c r="C1443" s="21" t="str">
        <f>IF(MOV_CC_NACIONAL!C1443="","",MOV_CC_NACIONAL!C1443)</f>
        <v/>
      </c>
      <c r="D1443" s="22" t="str">
        <f t="shared" si="1"/>
        <v>Other</v>
      </c>
    </row>
    <row r="1444" ht="15.75" customHeight="1">
      <c r="A1444" s="22" t="str">
        <f>IF(MOV_CC_NACIONAL!A1444="","",MOV_CC_NACIONAL!A1444)</f>
        <v/>
      </c>
      <c r="B1444" s="22" t="str">
        <f>IF(MOV_CC_NACIONAL!B1444="","",MOV_CC_NACIONAL!B1444)</f>
        <v/>
      </c>
      <c r="C1444" s="21" t="str">
        <f>IF(MOV_CC_NACIONAL!C1444="","",MOV_CC_NACIONAL!C1444)</f>
        <v/>
      </c>
      <c r="D1444" s="22" t="str">
        <f t="shared" si="1"/>
        <v>Other</v>
      </c>
    </row>
    <row r="1445" ht="15.75" customHeight="1">
      <c r="A1445" s="22" t="str">
        <f>IF(MOV_CC_NACIONAL!A1445="","",MOV_CC_NACIONAL!A1445)</f>
        <v/>
      </c>
      <c r="B1445" s="22" t="str">
        <f>IF(MOV_CC_NACIONAL!B1445="","",MOV_CC_NACIONAL!B1445)</f>
        <v/>
      </c>
      <c r="C1445" s="21" t="str">
        <f>IF(MOV_CC_NACIONAL!C1445="","",MOV_CC_NACIONAL!C1445)</f>
        <v/>
      </c>
      <c r="D1445" s="22" t="str">
        <f t="shared" si="1"/>
        <v>Other</v>
      </c>
    </row>
    <row r="1446" ht="15.75" customHeight="1">
      <c r="A1446" s="22" t="str">
        <f>IF(MOV_CC_NACIONAL!A1446="","",MOV_CC_NACIONAL!A1446)</f>
        <v/>
      </c>
      <c r="B1446" s="22" t="str">
        <f>IF(MOV_CC_NACIONAL!B1446="","",MOV_CC_NACIONAL!B1446)</f>
        <v/>
      </c>
      <c r="C1446" s="21" t="str">
        <f>IF(MOV_CC_NACIONAL!C1446="","",MOV_CC_NACIONAL!C1446)</f>
        <v/>
      </c>
      <c r="D1446" s="22" t="str">
        <f t="shared" si="1"/>
        <v>Other</v>
      </c>
    </row>
    <row r="1447" ht="15.75" customHeight="1">
      <c r="A1447" s="22" t="str">
        <f>IF(MOV_CC_NACIONAL!A1447="","",MOV_CC_NACIONAL!A1447)</f>
        <v/>
      </c>
      <c r="B1447" s="22" t="str">
        <f>IF(MOV_CC_NACIONAL!B1447="","",MOV_CC_NACIONAL!B1447)</f>
        <v/>
      </c>
      <c r="C1447" s="21" t="str">
        <f>IF(MOV_CC_NACIONAL!C1447="","",MOV_CC_NACIONAL!C1447)</f>
        <v/>
      </c>
      <c r="D1447" s="22" t="str">
        <f t="shared" si="1"/>
        <v>Other</v>
      </c>
    </row>
    <row r="1448" ht="15.75" customHeight="1">
      <c r="A1448" s="22" t="str">
        <f>IF(MOV_CC_NACIONAL!A1448="","",MOV_CC_NACIONAL!A1448)</f>
        <v/>
      </c>
      <c r="B1448" s="22" t="str">
        <f>IF(MOV_CC_NACIONAL!B1448="","",MOV_CC_NACIONAL!B1448)</f>
        <v/>
      </c>
      <c r="C1448" s="21" t="str">
        <f>IF(MOV_CC_NACIONAL!C1448="","",MOV_CC_NACIONAL!C1448)</f>
        <v/>
      </c>
      <c r="D1448" s="22" t="str">
        <f t="shared" si="1"/>
        <v>Other</v>
      </c>
    </row>
    <row r="1449" ht="15.75" customHeight="1">
      <c r="A1449" s="22" t="str">
        <f>IF(MOV_CC_NACIONAL!A1449="","",MOV_CC_NACIONAL!A1449)</f>
        <v/>
      </c>
      <c r="B1449" s="22" t="str">
        <f>IF(MOV_CC_NACIONAL!B1449="","",MOV_CC_NACIONAL!B1449)</f>
        <v/>
      </c>
      <c r="C1449" s="21" t="str">
        <f>IF(MOV_CC_NACIONAL!C1449="","",MOV_CC_NACIONAL!C1449)</f>
        <v/>
      </c>
      <c r="D1449" s="22" t="str">
        <f t="shared" si="1"/>
        <v>Other</v>
      </c>
    </row>
    <row r="1450" ht="15.75" customHeight="1">
      <c r="A1450" s="22" t="str">
        <f>IF(MOV_CC_NACIONAL!A1450="","",MOV_CC_NACIONAL!A1450)</f>
        <v/>
      </c>
      <c r="B1450" s="22" t="str">
        <f>IF(MOV_CC_NACIONAL!B1450="","",MOV_CC_NACIONAL!B1450)</f>
        <v/>
      </c>
      <c r="C1450" s="21" t="str">
        <f>IF(MOV_CC_NACIONAL!C1450="","",MOV_CC_NACIONAL!C1450)</f>
        <v/>
      </c>
      <c r="D1450" s="22" t="str">
        <f t="shared" si="1"/>
        <v>Other</v>
      </c>
    </row>
    <row r="1451" ht="15.75" customHeight="1">
      <c r="A1451" s="22" t="str">
        <f>IF(MOV_CC_NACIONAL!A1451="","",MOV_CC_NACIONAL!A1451)</f>
        <v/>
      </c>
      <c r="B1451" s="22" t="str">
        <f>IF(MOV_CC_NACIONAL!B1451="","",MOV_CC_NACIONAL!B1451)</f>
        <v/>
      </c>
      <c r="C1451" s="21" t="str">
        <f>IF(MOV_CC_NACIONAL!C1451="","",MOV_CC_NACIONAL!C1451)</f>
        <v/>
      </c>
      <c r="D1451" s="22" t="str">
        <f t="shared" si="1"/>
        <v>Other</v>
      </c>
    </row>
    <row r="1452" ht="15.75" customHeight="1">
      <c r="A1452" s="22" t="str">
        <f>IF(MOV_CC_NACIONAL!A1452="","",MOV_CC_NACIONAL!A1452)</f>
        <v/>
      </c>
      <c r="B1452" s="22" t="str">
        <f>IF(MOV_CC_NACIONAL!B1452="","",MOV_CC_NACIONAL!B1452)</f>
        <v/>
      </c>
      <c r="C1452" s="21" t="str">
        <f>IF(MOV_CC_NACIONAL!C1452="","",MOV_CC_NACIONAL!C1452)</f>
        <v/>
      </c>
      <c r="D1452" s="22" t="str">
        <f t="shared" si="1"/>
        <v>Other</v>
      </c>
    </row>
    <row r="1453" ht="15.75" customHeight="1">
      <c r="A1453" s="22" t="str">
        <f>IF(MOV_CC_NACIONAL!A1453="","",MOV_CC_NACIONAL!A1453)</f>
        <v/>
      </c>
      <c r="B1453" s="22" t="str">
        <f>IF(MOV_CC_NACIONAL!B1453="","",MOV_CC_NACIONAL!B1453)</f>
        <v/>
      </c>
      <c r="C1453" s="21" t="str">
        <f>IF(MOV_CC_NACIONAL!C1453="","",MOV_CC_NACIONAL!C1453)</f>
        <v/>
      </c>
      <c r="D1453" s="22" t="str">
        <f t="shared" si="1"/>
        <v>Other</v>
      </c>
    </row>
    <row r="1454" ht="15.75" customHeight="1">
      <c r="A1454" s="22" t="str">
        <f>IF(MOV_CC_NACIONAL!A1454="","",MOV_CC_NACIONAL!A1454)</f>
        <v/>
      </c>
      <c r="B1454" s="22" t="str">
        <f>IF(MOV_CC_NACIONAL!B1454="","",MOV_CC_NACIONAL!B1454)</f>
        <v/>
      </c>
      <c r="C1454" s="21" t="str">
        <f>IF(MOV_CC_NACIONAL!C1454="","",MOV_CC_NACIONAL!C1454)</f>
        <v/>
      </c>
      <c r="D1454" s="22" t="str">
        <f t="shared" si="1"/>
        <v>Other</v>
      </c>
    </row>
    <row r="1455" ht="15.75" customHeight="1">
      <c r="A1455" s="22" t="str">
        <f>IF(MOV_CC_NACIONAL!A1455="","",MOV_CC_NACIONAL!A1455)</f>
        <v/>
      </c>
      <c r="B1455" s="22" t="str">
        <f>IF(MOV_CC_NACIONAL!B1455="","",MOV_CC_NACIONAL!B1455)</f>
        <v/>
      </c>
      <c r="C1455" s="21" t="str">
        <f>IF(MOV_CC_NACIONAL!C1455="","",MOV_CC_NACIONAL!C1455)</f>
        <v/>
      </c>
      <c r="D1455" s="22" t="str">
        <f t="shared" si="1"/>
        <v>Other</v>
      </c>
    </row>
    <row r="1456" ht="15.75" customHeight="1">
      <c r="A1456" s="22" t="str">
        <f>IF(MOV_CC_NACIONAL!A1456="","",MOV_CC_NACIONAL!A1456)</f>
        <v/>
      </c>
      <c r="B1456" s="22" t="str">
        <f>IF(MOV_CC_NACIONAL!B1456="","",MOV_CC_NACIONAL!B1456)</f>
        <v/>
      </c>
      <c r="C1456" s="21" t="str">
        <f>IF(MOV_CC_NACIONAL!C1456="","",MOV_CC_NACIONAL!C1456)</f>
        <v/>
      </c>
      <c r="D1456" s="22" t="str">
        <f t="shared" si="1"/>
        <v>Other</v>
      </c>
    </row>
    <row r="1457" ht="15.75" customHeight="1">
      <c r="A1457" s="22" t="str">
        <f>IF(MOV_CC_NACIONAL!A1457="","",MOV_CC_NACIONAL!A1457)</f>
        <v/>
      </c>
      <c r="B1457" s="22" t="str">
        <f>IF(MOV_CC_NACIONAL!B1457="","",MOV_CC_NACIONAL!B1457)</f>
        <v/>
      </c>
      <c r="C1457" s="21" t="str">
        <f>IF(MOV_CC_NACIONAL!C1457="","",MOV_CC_NACIONAL!C1457)</f>
        <v/>
      </c>
      <c r="D1457" s="22" t="str">
        <f t="shared" si="1"/>
        <v>Other</v>
      </c>
    </row>
    <row r="1458" ht="15.75" customHeight="1">
      <c r="A1458" s="22" t="str">
        <f>IF(MOV_CC_NACIONAL!A1458="","",MOV_CC_NACIONAL!A1458)</f>
        <v/>
      </c>
      <c r="B1458" s="22" t="str">
        <f>IF(MOV_CC_NACIONAL!B1458="","",MOV_CC_NACIONAL!B1458)</f>
        <v/>
      </c>
      <c r="C1458" s="21" t="str">
        <f>IF(MOV_CC_NACIONAL!C1458="","",MOV_CC_NACIONAL!C1458)</f>
        <v/>
      </c>
      <c r="D1458" s="22" t="str">
        <f t="shared" si="1"/>
        <v>Other</v>
      </c>
    </row>
    <row r="1459" ht="15.75" customHeight="1">
      <c r="A1459" s="22" t="str">
        <f>IF(MOV_CC_NACIONAL!A1459="","",MOV_CC_NACIONAL!A1459)</f>
        <v/>
      </c>
      <c r="B1459" s="22" t="str">
        <f>IF(MOV_CC_NACIONAL!B1459="","",MOV_CC_NACIONAL!B1459)</f>
        <v/>
      </c>
      <c r="C1459" s="21" t="str">
        <f>IF(MOV_CC_NACIONAL!C1459="","",MOV_CC_NACIONAL!C1459)</f>
        <v/>
      </c>
      <c r="D1459" s="22" t="str">
        <f t="shared" si="1"/>
        <v>Other</v>
      </c>
    </row>
    <row r="1460" ht="15.75" customHeight="1">
      <c r="A1460" s="22" t="str">
        <f>IF(MOV_CC_NACIONAL!A1460="","",MOV_CC_NACIONAL!A1460)</f>
        <v/>
      </c>
      <c r="B1460" s="22" t="str">
        <f>IF(MOV_CC_NACIONAL!B1460="","",MOV_CC_NACIONAL!B1460)</f>
        <v/>
      </c>
      <c r="C1460" s="21" t="str">
        <f>IF(MOV_CC_NACIONAL!C1460="","",MOV_CC_NACIONAL!C1460)</f>
        <v/>
      </c>
      <c r="D1460" s="22" t="str">
        <f t="shared" si="1"/>
        <v>Other</v>
      </c>
    </row>
    <row r="1461" ht="15.75" customHeight="1">
      <c r="A1461" s="22" t="str">
        <f>IF(MOV_CC_NACIONAL!A1461="","",MOV_CC_NACIONAL!A1461)</f>
        <v/>
      </c>
      <c r="B1461" s="22" t="str">
        <f>IF(MOV_CC_NACIONAL!B1461="","",MOV_CC_NACIONAL!B1461)</f>
        <v/>
      </c>
      <c r="C1461" s="21" t="str">
        <f>IF(MOV_CC_NACIONAL!C1461="","",MOV_CC_NACIONAL!C1461)</f>
        <v/>
      </c>
      <c r="D1461" s="22" t="str">
        <f t="shared" si="1"/>
        <v>Other</v>
      </c>
    </row>
    <row r="1462" ht="15.75" customHeight="1">
      <c r="A1462" s="22" t="str">
        <f>IF(MOV_CC_NACIONAL!A1462="","",MOV_CC_NACIONAL!A1462)</f>
        <v/>
      </c>
      <c r="B1462" s="22" t="str">
        <f>IF(MOV_CC_NACIONAL!B1462="","",MOV_CC_NACIONAL!B1462)</f>
        <v/>
      </c>
      <c r="C1462" s="21" t="str">
        <f>IF(MOV_CC_NACIONAL!C1462="","",MOV_CC_NACIONAL!C1462)</f>
        <v/>
      </c>
      <c r="D1462" s="22" t="str">
        <f t="shared" si="1"/>
        <v>Other</v>
      </c>
    </row>
    <row r="1463" ht="15.75" customHeight="1">
      <c r="A1463" s="22" t="str">
        <f>IF(MOV_CC_NACIONAL!A1463="","",MOV_CC_NACIONAL!A1463)</f>
        <v/>
      </c>
      <c r="B1463" s="22" t="str">
        <f>IF(MOV_CC_NACIONAL!B1463="","",MOV_CC_NACIONAL!B1463)</f>
        <v/>
      </c>
      <c r="C1463" s="21" t="str">
        <f>IF(MOV_CC_NACIONAL!C1463="","",MOV_CC_NACIONAL!C1463)</f>
        <v/>
      </c>
      <c r="D1463" s="22" t="str">
        <f t="shared" si="1"/>
        <v>Other</v>
      </c>
    </row>
    <row r="1464" ht="15.75" customHeight="1">
      <c r="A1464" s="22" t="str">
        <f>IF(MOV_CC_NACIONAL!A1464="","",MOV_CC_NACIONAL!A1464)</f>
        <v/>
      </c>
      <c r="B1464" s="22" t="str">
        <f>IF(MOV_CC_NACIONAL!B1464="","",MOV_CC_NACIONAL!B1464)</f>
        <v/>
      </c>
      <c r="C1464" s="21" t="str">
        <f>IF(MOV_CC_NACIONAL!C1464="","",MOV_CC_NACIONAL!C1464)</f>
        <v/>
      </c>
      <c r="D1464" s="22" t="str">
        <f t="shared" si="1"/>
        <v>Other</v>
      </c>
    </row>
    <row r="1465" ht="15.75" customHeight="1">
      <c r="A1465" s="22" t="str">
        <f>IF(MOV_CC_NACIONAL!A1465="","",MOV_CC_NACIONAL!A1465)</f>
        <v/>
      </c>
      <c r="B1465" s="22" t="str">
        <f>IF(MOV_CC_NACIONAL!B1465="","",MOV_CC_NACIONAL!B1465)</f>
        <v/>
      </c>
      <c r="C1465" s="21" t="str">
        <f>IF(MOV_CC_NACIONAL!C1465="","",MOV_CC_NACIONAL!C1465)</f>
        <v/>
      </c>
      <c r="D1465" s="22" t="str">
        <f t="shared" si="1"/>
        <v>Other</v>
      </c>
    </row>
    <row r="1466" ht="15.75" customHeight="1">
      <c r="A1466" s="22" t="str">
        <f>IF(MOV_CC_NACIONAL!A1466="","",MOV_CC_NACIONAL!A1466)</f>
        <v/>
      </c>
      <c r="B1466" s="22" t="str">
        <f>IF(MOV_CC_NACIONAL!B1466="","",MOV_CC_NACIONAL!B1466)</f>
        <v/>
      </c>
      <c r="C1466" s="21" t="str">
        <f>IF(MOV_CC_NACIONAL!C1466="","",MOV_CC_NACIONAL!C1466)</f>
        <v/>
      </c>
      <c r="D1466" s="22" t="str">
        <f t="shared" si="1"/>
        <v>Other</v>
      </c>
    </row>
    <row r="1467" ht="15.75" customHeight="1">
      <c r="A1467" s="22" t="str">
        <f>IF(MOV_CC_NACIONAL!A1467="","",MOV_CC_NACIONAL!A1467)</f>
        <v/>
      </c>
      <c r="B1467" s="22" t="str">
        <f>IF(MOV_CC_NACIONAL!B1467="","",MOV_CC_NACIONAL!B1467)</f>
        <v/>
      </c>
      <c r="C1467" s="21" t="str">
        <f>IF(MOV_CC_NACIONAL!C1467="","",MOV_CC_NACIONAL!C1467)</f>
        <v/>
      </c>
      <c r="D1467" s="22" t="str">
        <f t="shared" si="1"/>
        <v>Other</v>
      </c>
    </row>
    <row r="1468" ht="15.75" customHeight="1">
      <c r="A1468" s="22" t="str">
        <f>IF(MOV_CC_NACIONAL!A1468="","",MOV_CC_NACIONAL!A1468)</f>
        <v/>
      </c>
      <c r="B1468" s="22" t="str">
        <f>IF(MOV_CC_NACIONAL!B1468="","",MOV_CC_NACIONAL!B1468)</f>
        <v/>
      </c>
      <c r="C1468" s="21" t="str">
        <f>IF(MOV_CC_NACIONAL!C1468="","",MOV_CC_NACIONAL!C1468)</f>
        <v/>
      </c>
      <c r="D1468" s="22" t="str">
        <f t="shared" si="1"/>
        <v>Other</v>
      </c>
    </row>
    <row r="1469" ht="15.75" customHeight="1">
      <c r="A1469" s="22" t="str">
        <f>IF(MOV_CC_NACIONAL!A1469="","",MOV_CC_NACIONAL!A1469)</f>
        <v/>
      </c>
      <c r="B1469" s="22" t="str">
        <f>IF(MOV_CC_NACIONAL!B1469="","",MOV_CC_NACIONAL!B1469)</f>
        <v/>
      </c>
      <c r="C1469" s="21" t="str">
        <f>IF(MOV_CC_NACIONAL!C1469="","",MOV_CC_NACIONAL!C1469)</f>
        <v/>
      </c>
      <c r="D1469" s="22" t="str">
        <f t="shared" si="1"/>
        <v>Other</v>
      </c>
    </row>
    <row r="1470" ht="15.75" customHeight="1">
      <c r="A1470" s="22" t="str">
        <f>IF(MOV_CC_NACIONAL!A1470="","",MOV_CC_NACIONAL!A1470)</f>
        <v/>
      </c>
      <c r="B1470" s="22" t="str">
        <f>IF(MOV_CC_NACIONAL!B1470="","",MOV_CC_NACIONAL!B1470)</f>
        <v/>
      </c>
      <c r="C1470" s="21" t="str">
        <f>IF(MOV_CC_NACIONAL!C1470="","",MOV_CC_NACIONAL!C1470)</f>
        <v/>
      </c>
      <c r="D1470" s="22" t="str">
        <f t="shared" si="1"/>
        <v>Other</v>
      </c>
    </row>
    <row r="1471" ht="15.75" customHeight="1">
      <c r="A1471" s="22" t="str">
        <f>IF(MOV_CC_NACIONAL!A1471="","",MOV_CC_NACIONAL!A1471)</f>
        <v/>
      </c>
      <c r="B1471" s="22" t="str">
        <f>IF(MOV_CC_NACIONAL!B1471="","",MOV_CC_NACIONAL!B1471)</f>
        <v/>
      </c>
      <c r="C1471" s="21" t="str">
        <f>IF(MOV_CC_NACIONAL!C1471="","",MOV_CC_NACIONAL!C1471)</f>
        <v/>
      </c>
      <c r="D1471" s="22" t="str">
        <f t="shared" si="1"/>
        <v>Other</v>
      </c>
    </row>
    <row r="1472" ht="15.75" customHeight="1">
      <c r="A1472" s="22" t="str">
        <f>IF(MOV_CC_NACIONAL!A1472="","",MOV_CC_NACIONAL!A1472)</f>
        <v/>
      </c>
      <c r="B1472" s="22" t="str">
        <f>IF(MOV_CC_NACIONAL!B1472="","",MOV_CC_NACIONAL!B1472)</f>
        <v/>
      </c>
      <c r="C1472" s="21" t="str">
        <f>IF(MOV_CC_NACIONAL!C1472="","",MOV_CC_NACIONAL!C1472)</f>
        <v/>
      </c>
      <c r="D1472" s="22" t="str">
        <f t="shared" si="1"/>
        <v>Other</v>
      </c>
    </row>
    <row r="1473" ht="15.75" customHeight="1">
      <c r="A1473" s="22" t="str">
        <f>IF(MOV_CC_NACIONAL!A1473="","",MOV_CC_NACIONAL!A1473)</f>
        <v/>
      </c>
      <c r="B1473" s="22" t="str">
        <f>IF(MOV_CC_NACIONAL!B1473="","",MOV_CC_NACIONAL!B1473)</f>
        <v/>
      </c>
      <c r="C1473" s="21" t="str">
        <f>IF(MOV_CC_NACIONAL!C1473="","",MOV_CC_NACIONAL!C1473)</f>
        <v/>
      </c>
      <c r="D1473" s="22" t="str">
        <f t="shared" si="1"/>
        <v>Other</v>
      </c>
    </row>
    <row r="1474" ht="15.75" customHeight="1">
      <c r="A1474" s="22" t="str">
        <f>IF(MOV_CC_NACIONAL!A1474="","",MOV_CC_NACIONAL!A1474)</f>
        <v/>
      </c>
      <c r="B1474" s="22" t="str">
        <f>IF(MOV_CC_NACIONAL!B1474="","",MOV_CC_NACIONAL!B1474)</f>
        <v/>
      </c>
      <c r="C1474" s="21" t="str">
        <f>IF(MOV_CC_NACIONAL!C1474="","",MOV_CC_NACIONAL!C1474)</f>
        <v/>
      </c>
      <c r="D1474" s="22" t="str">
        <f t="shared" si="1"/>
        <v>Other</v>
      </c>
    </row>
    <row r="1475" ht="15.75" customHeight="1">
      <c r="A1475" s="22" t="str">
        <f>IF(MOV_CC_NACIONAL!A1475="","",MOV_CC_NACIONAL!A1475)</f>
        <v/>
      </c>
      <c r="B1475" s="22" t="str">
        <f>IF(MOV_CC_NACIONAL!B1475="","",MOV_CC_NACIONAL!B1475)</f>
        <v/>
      </c>
      <c r="C1475" s="21" t="str">
        <f>IF(MOV_CC_NACIONAL!C1475="","",MOV_CC_NACIONAL!C1475)</f>
        <v/>
      </c>
      <c r="D1475" s="22" t="str">
        <f t="shared" si="1"/>
        <v>Other</v>
      </c>
    </row>
    <row r="1476" ht="15.75" customHeight="1">
      <c r="A1476" s="22" t="str">
        <f>IF(MOV_CC_NACIONAL!A1476="","",MOV_CC_NACIONAL!A1476)</f>
        <v/>
      </c>
      <c r="B1476" s="22" t="str">
        <f>IF(MOV_CC_NACIONAL!B1476="","",MOV_CC_NACIONAL!B1476)</f>
        <v/>
      </c>
      <c r="C1476" s="21" t="str">
        <f>IF(MOV_CC_NACIONAL!C1476="","",MOV_CC_NACIONAL!C1476)</f>
        <v/>
      </c>
      <c r="D1476" s="22" t="str">
        <f t="shared" si="1"/>
        <v>Other</v>
      </c>
    </row>
    <row r="1477" ht="15.75" customHeight="1">
      <c r="A1477" s="22" t="str">
        <f>IF(MOV_CC_NACIONAL!A1477="","",MOV_CC_NACIONAL!A1477)</f>
        <v/>
      </c>
      <c r="B1477" s="22" t="str">
        <f>IF(MOV_CC_NACIONAL!B1477="","",MOV_CC_NACIONAL!B1477)</f>
        <v/>
      </c>
      <c r="C1477" s="21" t="str">
        <f>IF(MOV_CC_NACIONAL!C1477="","",MOV_CC_NACIONAL!C1477)</f>
        <v/>
      </c>
      <c r="D1477" s="22" t="str">
        <f t="shared" si="1"/>
        <v>Other</v>
      </c>
    </row>
    <row r="1478" ht="15.75" customHeight="1">
      <c r="A1478" s="22" t="str">
        <f>IF(MOV_CC_NACIONAL!A1478="","",MOV_CC_NACIONAL!A1478)</f>
        <v/>
      </c>
      <c r="B1478" s="22" t="str">
        <f>IF(MOV_CC_NACIONAL!B1478="","",MOV_CC_NACIONAL!B1478)</f>
        <v/>
      </c>
      <c r="C1478" s="21" t="str">
        <f>IF(MOV_CC_NACIONAL!C1478="","",MOV_CC_NACIONAL!C1478)</f>
        <v/>
      </c>
      <c r="D1478" s="22" t="str">
        <f t="shared" si="1"/>
        <v>Other</v>
      </c>
    </row>
    <row r="1479" ht="15.75" customHeight="1">
      <c r="A1479" s="22" t="str">
        <f>IF(MOV_CC_NACIONAL!A1479="","",MOV_CC_NACIONAL!A1479)</f>
        <v/>
      </c>
      <c r="B1479" s="22" t="str">
        <f>IF(MOV_CC_NACIONAL!B1479="","",MOV_CC_NACIONAL!B1479)</f>
        <v/>
      </c>
      <c r="C1479" s="21" t="str">
        <f>IF(MOV_CC_NACIONAL!C1479="","",MOV_CC_NACIONAL!C1479)</f>
        <v/>
      </c>
      <c r="D1479" s="22" t="str">
        <f t="shared" si="1"/>
        <v>Other</v>
      </c>
    </row>
    <row r="1480" ht="15.75" customHeight="1">
      <c r="A1480" s="22" t="str">
        <f>IF(MOV_CC_NACIONAL!A1480="","",MOV_CC_NACIONAL!A1480)</f>
        <v/>
      </c>
      <c r="B1480" s="22" t="str">
        <f>IF(MOV_CC_NACIONAL!B1480="","",MOV_CC_NACIONAL!B1480)</f>
        <v/>
      </c>
      <c r="C1480" s="21" t="str">
        <f>IF(MOV_CC_NACIONAL!C1480="","",MOV_CC_NACIONAL!C1480)</f>
        <v/>
      </c>
      <c r="D1480" s="22" t="str">
        <f t="shared" si="1"/>
        <v>Other</v>
      </c>
    </row>
    <row r="1481" ht="15.75" customHeight="1">
      <c r="A1481" s="22" t="str">
        <f>IF(MOV_CC_NACIONAL!A1481="","",MOV_CC_NACIONAL!A1481)</f>
        <v/>
      </c>
      <c r="B1481" s="22" t="str">
        <f>IF(MOV_CC_NACIONAL!B1481="","",MOV_CC_NACIONAL!B1481)</f>
        <v/>
      </c>
      <c r="C1481" s="21" t="str">
        <f>IF(MOV_CC_NACIONAL!C1481="","",MOV_CC_NACIONAL!C1481)</f>
        <v/>
      </c>
      <c r="D1481" s="22" t="str">
        <f t="shared" si="1"/>
        <v>Other</v>
      </c>
    </row>
    <row r="1482" ht="15.75" customHeight="1">
      <c r="A1482" s="22" t="str">
        <f>IF(MOV_CC_NACIONAL!A1482="","",MOV_CC_NACIONAL!A1482)</f>
        <v/>
      </c>
      <c r="B1482" s="22" t="str">
        <f>IF(MOV_CC_NACIONAL!B1482="","",MOV_CC_NACIONAL!B1482)</f>
        <v/>
      </c>
      <c r="C1482" s="21" t="str">
        <f>IF(MOV_CC_NACIONAL!C1482="","",MOV_CC_NACIONAL!C1482)</f>
        <v/>
      </c>
      <c r="D1482" s="22" t="str">
        <f t="shared" si="1"/>
        <v>Other</v>
      </c>
    </row>
    <row r="1483" ht="15.75" customHeight="1">
      <c r="A1483" s="22" t="str">
        <f>IF(MOV_CC_NACIONAL!A1483="","",MOV_CC_NACIONAL!A1483)</f>
        <v/>
      </c>
      <c r="B1483" s="22" t="str">
        <f>IF(MOV_CC_NACIONAL!B1483="","",MOV_CC_NACIONAL!B1483)</f>
        <v/>
      </c>
      <c r="C1483" s="21" t="str">
        <f>IF(MOV_CC_NACIONAL!C1483="","",MOV_CC_NACIONAL!C1483)</f>
        <v/>
      </c>
      <c r="D1483" s="22" t="str">
        <f t="shared" si="1"/>
        <v>Other</v>
      </c>
    </row>
    <row r="1484" ht="15.75" customHeight="1">
      <c r="A1484" s="22" t="str">
        <f>IF(MOV_CC_NACIONAL!A1484="","",MOV_CC_NACIONAL!A1484)</f>
        <v/>
      </c>
      <c r="B1484" s="22" t="str">
        <f>IF(MOV_CC_NACIONAL!B1484="","",MOV_CC_NACIONAL!B1484)</f>
        <v/>
      </c>
      <c r="C1484" s="21" t="str">
        <f>IF(MOV_CC_NACIONAL!C1484="","",MOV_CC_NACIONAL!C1484)</f>
        <v/>
      </c>
      <c r="D1484" s="22" t="str">
        <f t="shared" si="1"/>
        <v>Other</v>
      </c>
    </row>
    <row r="1485" ht="15.75" customHeight="1">
      <c r="A1485" s="22" t="str">
        <f>IF(MOV_CC_NACIONAL!A1485="","",MOV_CC_NACIONAL!A1485)</f>
        <v/>
      </c>
      <c r="B1485" s="22" t="str">
        <f>IF(MOV_CC_NACIONAL!B1485="","",MOV_CC_NACIONAL!B1485)</f>
        <v/>
      </c>
      <c r="C1485" s="21" t="str">
        <f>IF(MOV_CC_NACIONAL!C1485="","",MOV_CC_NACIONAL!C1485)</f>
        <v/>
      </c>
      <c r="D1485" s="22" t="str">
        <f t="shared" si="1"/>
        <v>Other</v>
      </c>
    </row>
    <row r="1486" ht="15.75" customHeight="1">
      <c r="A1486" s="22" t="str">
        <f>IF(MOV_CC_NACIONAL!A1486="","",MOV_CC_NACIONAL!A1486)</f>
        <v/>
      </c>
      <c r="B1486" s="22" t="str">
        <f>IF(MOV_CC_NACIONAL!B1486="","",MOV_CC_NACIONAL!B1486)</f>
        <v/>
      </c>
      <c r="C1486" s="21" t="str">
        <f>IF(MOV_CC_NACIONAL!C1486="","",MOV_CC_NACIONAL!C1486)</f>
        <v/>
      </c>
      <c r="D1486" s="22" t="str">
        <f t="shared" si="1"/>
        <v>Other</v>
      </c>
    </row>
    <row r="1487" ht="15.75" customHeight="1">
      <c r="A1487" s="22" t="str">
        <f>IF(MOV_CC_NACIONAL!A1487="","",MOV_CC_NACIONAL!A1487)</f>
        <v/>
      </c>
      <c r="B1487" s="22" t="str">
        <f>IF(MOV_CC_NACIONAL!B1487="","",MOV_CC_NACIONAL!B1487)</f>
        <v/>
      </c>
      <c r="C1487" s="21" t="str">
        <f>IF(MOV_CC_NACIONAL!C1487="","",MOV_CC_NACIONAL!C1487)</f>
        <v/>
      </c>
      <c r="D1487" s="22" t="str">
        <f t="shared" si="1"/>
        <v>Other</v>
      </c>
    </row>
    <row r="1488" ht="15.75" customHeight="1">
      <c r="A1488" s="22" t="str">
        <f>IF(MOV_CC_NACIONAL!A1488="","",MOV_CC_NACIONAL!A1488)</f>
        <v/>
      </c>
      <c r="B1488" s="22" t="str">
        <f>IF(MOV_CC_NACIONAL!B1488="","",MOV_CC_NACIONAL!B1488)</f>
        <v/>
      </c>
      <c r="C1488" s="21" t="str">
        <f>IF(MOV_CC_NACIONAL!C1488="","",MOV_CC_NACIONAL!C1488)</f>
        <v/>
      </c>
      <c r="D1488" s="22" t="str">
        <f t="shared" si="1"/>
        <v>Other</v>
      </c>
    </row>
    <row r="1489" ht="15.75" customHeight="1">
      <c r="A1489" s="22" t="str">
        <f>IF(MOV_CC_NACIONAL!A1489="","",MOV_CC_NACIONAL!A1489)</f>
        <v/>
      </c>
      <c r="B1489" s="22" t="str">
        <f>IF(MOV_CC_NACIONAL!B1489="","",MOV_CC_NACIONAL!B1489)</f>
        <v/>
      </c>
      <c r="C1489" s="21" t="str">
        <f>IF(MOV_CC_NACIONAL!C1489="","",MOV_CC_NACIONAL!C1489)</f>
        <v/>
      </c>
      <c r="D1489" s="22" t="str">
        <f t="shared" si="1"/>
        <v>Other</v>
      </c>
    </row>
    <row r="1490" ht="15.75" customHeight="1">
      <c r="A1490" s="22" t="str">
        <f>IF(MOV_CC_NACIONAL!A1490="","",MOV_CC_NACIONAL!A1490)</f>
        <v/>
      </c>
      <c r="B1490" s="22" t="str">
        <f>IF(MOV_CC_NACIONAL!B1490="","",MOV_CC_NACIONAL!B1490)</f>
        <v/>
      </c>
      <c r="C1490" s="21" t="str">
        <f>IF(MOV_CC_NACIONAL!C1490="","",MOV_CC_NACIONAL!C1490)</f>
        <v/>
      </c>
      <c r="D1490" s="22" t="str">
        <f t="shared" si="1"/>
        <v>Other</v>
      </c>
    </row>
    <row r="1491" ht="15.75" customHeight="1">
      <c r="A1491" s="22" t="str">
        <f>IF(MOV_CC_NACIONAL!A1491="","",MOV_CC_NACIONAL!A1491)</f>
        <v/>
      </c>
      <c r="B1491" s="22" t="str">
        <f>IF(MOV_CC_NACIONAL!B1491="","",MOV_CC_NACIONAL!B1491)</f>
        <v/>
      </c>
      <c r="C1491" s="21" t="str">
        <f>IF(MOV_CC_NACIONAL!C1491="","",MOV_CC_NACIONAL!C1491)</f>
        <v/>
      </c>
      <c r="D1491" s="22" t="str">
        <f t="shared" si="1"/>
        <v>Other</v>
      </c>
    </row>
    <row r="1492" ht="15.75" customHeight="1">
      <c r="A1492" s="22" t="str">
        <f>IF(MOV_CC_NACIONAL!A1492="","",MOV_CC_NACIONAL!A1492)</f>
        <v/>
      </c>
      <c r="B1492" s="22" t="str">
        <f>IF(MOV_CC_NACIONAL!B1492="","",MOV_CC_NACIONAL!B1492)</f>
        <v/>
      </c>
      <c r="C1492" s="21" t="str">
        <f>IF(MOV_CC_NACIONAL!C1492="","",MOV_CC_NACIONAL!C1492)</f>
        <v/>
      </c>
      <c r="D1492" s="22" t="str">
        <f t="shared" si="1"/>
        <v>Other</v>
      </c>
    </row>
    <row r="1493" ht="15.75" customHeight="1">
      <c r="A1493" s="22" t="str">
        <f>IF(MOV_CC_NACIONAL!A1493="","",MOV_CC_NACIONAL!A1493)</f>
        <v/>
      </c>
      <c r="B1493" s="22" t="str">
        <f>IF(MOV_CC_NACIONAL!B1493="","",MOV_CC_NACIONAL!B1493)</f>
        <v/>
      </c>
      <c r="C1493" s="21" t="str">
        <f>IF(MOV_CC_NACIONAL!C1493="","",MOV_CC_NACIONAL!C1493)</f>
        <v/>
      </c>
      <c r="D1493" s="22" t="str">
        <f t="shared" si="1"/>
        <v>Other</v>
      </c>
    </row>
    <row r="1494" ht="15.75" customHeight="1">
      <c r="A1494" s="22" t="str">
        <f>IF(MOV_CC_NACIONAL!A1494="","",MOV_CC_NACIONAL!A1494)</f>
        <v/>
      </c>
      <c r="B1494" s="22" t="str">
        <f>IF(MOV_CC_NACIONAL!B1494="","",MOV_CC_NACIONAL!B1494)</f>
        <v/>
      </c>
      <c r="C1494" s="21" t="str">
        <f>IF(MOV_CC_NACIONAL!C1494="","",MOV_CC_NACIONAL!C1494)</f>
        <v/>
      </c>
      <c r="D1494" s="22" t="str">
        <f t="shared" si="1"/>
        <v>Other</v>
      </c>
    </row>
    <row r="1495" ht="15.75" customHeight="1">
      <c r="A1495" s="22" t="str">
        <f>IF(MOV_CC_NACIONAL!A1495="","",MOV_CC_NACIONAL!A1495)</f>
        <v/>
      </c>
      <c r="B1495" s="22" t="str">
        <f>IF(MOV_CC_NACIONAL!B1495="","",MOV_CC_NACIONAL!B1495)</f>
        <v/>
      </c>
      <c r="C1495" s="21" t="str">
        <f>IF(MOV_CC_NACIONAL!C1495="","",MOV_CC_NACIONAL!C1495)</f>
        <v/>
      </c>
      <c r="D1495" s="22" t="str">
        <f t="shared" si="1"/>
        <v>Other</v>
      </c>
    </row>
    <row r="1496" ht="15.75" customHeight="1">
      <c r="A1496" s="22" t="str">
        <f>IF(MOV_CC_NACIONAL!A1496="","",MOV_CC_NACIONAL!A1496)</f>
        <v/>
      </c>
      <c r="B1496" s="22" t="str">
        <f>IF(MOV_CC_NACIONAL!B1496="","",MOV_CC_NACIONAL!B1496)</f>
        <v/>
      </c>
      <c r="C1496" s="21" t="str">
        <f>IF(MOV_CC_NACIONAL!C1496="","",MOV_CC_NACIONAL!C1496)</f>
        <v/>
      </c>
      <c r="D1496" s="22" t="str">
        <f t="shared" si="1"/>
        <v>Other</v>
      </c>
    </row>
    <row r="1497" ht="15.75" customHeight="1">
      <c r="A1497" s="22" t="str">
        <f>IF(MOV_CC_NACIONAL!A1497="","",MOV_CC_NACIONAL!A1497)</f>
        <v/>
      </c>
      <c r="B1497" s="22" t="str">
        <f>IF(MOV_CC_NACIONAL!B1497="","",MOV_CC_NACIONAL!B1497)</f>
        <v/>
      </c>
      <c r="C1497" s="21" t="str">
        <f>IF(MOV_CC_NACIONAL!C1497="","",MOV_CC_NACIONAL!C1497)</f>
        <v/>
      </c>
      <c r="D1497" s="22" t="str">
        <f t="shared" si="1"/>
        <v>Other</v>
      </c>
    </row>
    <row r="1498" ht="15.75" customHeight="1">
      <c r="A1498" s="22" t="str">
        <f>IF(MOV_CC_NACIONAL!A1498="","",MOV_CC_NACIONAL!A1498)</f>
        <v/>
      </c>
      <c r="B1498" s="22" t="str">
        <f>IF(MOV_CC_NACIONAL!B1498="","",MOV_CC_NACIONAL!B1498)</f>
        <v/>
      </c>
      <c r="C1498" s="21" t="str">
        <f>IF(MOV_CC_NACIONAL!C1498="","",MOV_CC_NACIONAL!C1498)</f>
        <v/>
      </c>
      <c r="D1498" s="22" t="str">
        <f t="shared" si="1"/>
        <v>Other</v>
      </c>
    </row>
    <row r="1499" ht="15.75" customHeight="1">
      <c r="A1499" s="22" t="str">
        <f>IF(MOV_CC_NACIONAL!A1499="","",MOV_CC_NACIONAL!A1499)</f>
        <v/>
      </c>
      <c r="B1499" s="22" t="str">
        <f>IF(MOV_CC_NACIONAL!B1499="","",MOV_CC_NACIONAL!B1499)</f>
        <v/>
      </c>
      <c r="C1499" s="21" t="str">
        <f>IF(MOV_CC_NACIONAL!C1499="","",MOV_CC_NACIONAL!C1499)</f>
        <v/>
      </c>
      <c r="D1499" s="22" t="str">
        <f t="shared" si="1"/>
        <v>Other</v>
      </c>
    </row>
    <row r="1500" ht="15.75" customHeight="1">
      <c r="A1500" s="22" t="str">
        <f>IF(MOV_CC_NACIONAL!A1500="","",MOV_CC_NACIONAL!A1500)</f>
        <v/>
      </c>
      <c r="B1500" s="22" t="str">
        <f>IF(MOV_CC_NACIONAL!B1500="","",MOV_CC_NACIONAL!B1500)</f>
        <v/>
      </c>
      <c r="C1500" s="21" t="str">
        <f>IF(MOV_CC_NACIONAL!C1500="","",MOV_CC_NACIONAL!C1500)</f>
        <v/>
      </c>
      <c r="D1500" s="22" t="str">
        <f t="shared" si="1"/>
        <v>Other</v>
      </c>
    </row>
    <row r="1501" ht="15.75" customHeight="1">
      <c r="A1501" s="22" t="str">
        <f>IF(MOV_CC_NACIONAL!A1501="","",MOV_CC_NACIONAL!A1501)</f>
        <v/>
      </c>
      <c r="B1501" s="22" t="str">
        <f>IF(MOV_CC_NACIONAL!B1501="","",MOV_CC_NACIONAL!B1501)</f>
        <v/>
      </c>
      <c r="C1501" s="21" t="str">
        <f>IF(MOV_CC_NACIONAL!C1501="","",MOV_CC_NACIONAL!C1501)</f>
        <v/>
      </c>
      <c r="D1501" s="22" t="str">
        <f t="shared" si="1"/>
        <v>Other</v>
      </c>
    </row>
    <row r="1502" ht="15.75" customHeight="1">
      <c r="A1502" s="22" t="str">
        <f>IF(MOV_CC_NACIONAL!A1502="","",MOV_CC_NACIONAL!A1502)</f>
        <v/>
      </c>
      <c r="B1502" s="22" t="str">
        <f>IF(MOV_CC_NACIONAL!B1502="","",MOV_CC_NACIONAL!B1502)</f>
        <v/>
      </c>
      <c r="C1502" s="21" t="str">
        <f>IF(MOV_CC_NACIONAL!C1502="","",MOV_CC_NACIONAL!C1502)</f>
        <v/>
      </c>
      <c r="D1502" s="22" t="str">
        <f t="shared" si="1"/>
        <v>Other</v>
      </c>
    </row>
    <row r="1503" ht="15.75" customHeight="1">
      <c r="A1503" s="22" t="str">
        <f>IF(MOV_CC_NACIONAL!A1503="","",MOV_CC_NACIONAL!A1503)</f>
        <v/>
      </c>
      <c r="B1503" s="22" t="str">
        <f>IF(MOV_CC_NACIONAL!B1503="","",MOV_CC_NACIONAL!B1503)</f>
        <v/>
      </c>
      <c r="C1503" s="21" t="str">
        <f>IF(MOV_CC_NACIONAL!C1503="","",MOV_CC_NACIONAL!C1503)</f>
        <v/>
      </c>
      <c r="D1503" s="22" t="str">
        <f t="shared" si="1"/>
        <v>Other</v>
      </c>
    </row>
    <row r="1504" ht="15.75" customHeight="1">
      <c r="A1504" s="22" t="str">
        <f>IF(MOV_CC_NACIONAL!A1504="","",MOV_CC_NACIONAL!A1504)</f>
        <v/>
      </c>
      <c r="B1504" s="22" t="str">
        <f>IF(MOV_CC_NACIONAL!B1504="","",MOV_CC_NACIONAL!B1504)</f>
        <v/>
      </c>
      <c r="C1504" s="21" t="str">
        <f>IF(MOV_CC_NACIONAL!C1504="","",MOV_CC_NACIONAL!C1504)</f>
        <v/>
      </c>
      <c r="D1504" s="22" t="str">
        <f t="shared" si="1"/>
        <v>Other</v>
      </c>
    </row>
    <row r="1505" ht="15.75" customHeight="1">
      <c r="A1505" s="22" t="str">
        <f>IF(MOV_CC_NACIONAL!A1505="","",MOV_CC_NACIONAL!A1505)</f>
        <v/>
      </c>
      <c r="B1505" s="22" t="str">
        <f>IF(MOV_CC_NACIONAL!B1505="","",MOV_CC_NACIONAL!B1505)</f>
        <v/>
      </c>
      <c r="C1505" s="21" t="str">
        <f>IF(MOV_CC_NACIONAL!C1505="","",MOV_CC_NACIONAL!C1505)</f>
        <v/>
      </c>
      <c r="D1505" s="22" t="str">
        <f t="shared" si="1"/>
        <v>Other</v>
      </c>
    </row>
    <row r="1506" ht="15.75" customHeight="1">
      <c r="A1506" s="22" t="str">
        <f>IF(MOV_CC_NACIONAL!A1506="","",MOV_CC_NACIONAL!A1506)</f>
        <v/>
      </c>
      <c r="B1506" s="22" t="str">
        <f>IF(MOV_CC_NACIONAL!B1506="","",MOV_CC_NACIONAL!B1506)</f>
        <v/>
      </c>
      <c r="C1506" s="21" t="str">
        <f>IF(MOV_CC_NACIONAL!C1506="","",MOV_CC_NACIONAL!C1506)</f>
        <v/>
      </c>
      <c r="D1506" s="22" t="str">
        <f t="shared" si="1"/>
        <v>Other</v>
      </c>
    </row>
    <row r="1507" ht="15.75" customHeight="1">
      <c r="A1507" s="22" t="str">
        <f>IF(MOV_CC_NACIONAL!A1507="","",MOV_CC_NACIONAL!A1507)</f>
        <v/>
      </c>
      <c r="B1507" s="22" t="str">
        <f>IF(MOV_CC_NACIONAL!B1507="","",MOV_CC_NACIONAL!B1507)</f>
        <v/>
      </c>
      <c r="C1507" s="21" t="str">
        <f>IF(MOV_CC_NACIONAL!C1507="","",MOV_CC_NACIONAL!C1507)</f>
        <v/>
      </c>
      <c r="D1507" s="22" t="str">
        <f t="shared" si="1"/>
        <v>Other</v>
      </c>
    </row>
    <row r="1508" ht="15.75" customHeight="1">
      <c r="A1508" s="22" t="str">
        <f>IF(MOV_CC_NACIONAL!A1508="","",MOV_CC_NACIONAL!A1508)</f>
        <v/>
      </c>
      <c r="B1508" s="22" t="str">
        <f>IF(MOV_CC_NACIONAL!B1508="","",MOV_CC_NACIONAL!B1508)</f>
        <v/>
      </c>
      <c r="C1508" s="21" t="str">
        <f>IF(MOV_CC_NACIONAL!C1508="","",MOV_CC_NACIONAL!C1508)</f>
        <v/>
      </c>
      <c r="D1508" s="22" t="str">
        <f t="shared" si="1"/>
        <v>Other</v>
      </c>
    </row>
    <row r="1509" ht="15.75" customHeight="1">
      <c r="A1509" s="22" t="str">
        <f>IF(MOV_CC_NACIONAL!A1509="","",MOV_CC_NACIONAL!A1509)</f>
        <v/>
      </c>
      <c r="B1509" s="22" t="str">
        <f>IF(MOV_CC_NACIONAL!B1509="","",MOV_CC_NACIONAL!B1509)</f>
        <v/>
      </c>
      <c r="C1509" s="21" t="str">
        <f>IF(MOV_CC_NACIONAL!C1509="","",MOV_CC_NACIONAL!C1509)</f>
        <v/>
      </c>
      <c r="D1509" s="22" t="str">
        <f t="shared" si="1"/>
        <v>Other</v>
      </c>
    </row>
    <row r="1510" ht="15.75" customHeight="1">
      <c r="A1510" s="22" t="str">
        <f>IF(MOV_CC_NACIONAL!A1510="","",MOV_CC_NACIONAL!A1510)</f>
        <v/>
      </c>
      <c r="B1510" s="22" t="str">
        <f>IF(MOV_CC_NACIONAL!B1510="","",MOV_CC_NACIONAL!B1510)</f>
        <v/>
      </c>
      <c r="C1510" s="21" t="str">
        <f>IF(MOV_CC_NACIONAL!C1510="","",MOV_CC_NACIONAL!C1510)</f>
        <v/>
      </c>
      <c r="D1510" s="22" t="str">
        <f t="shared" si="1"/>
        <v>Other</v>
      </c>
    </row>
    <row r="1511" ht="15.75" customHeight="1">
      <c r="A1511" s="22" t="str">
        <f>IF(MOV_CC_NACIONAL!A1511="","",MOV_CC_NACIONAL!A1511)</f>
        <v/>
      </c>
      <c r="B1511" s="22" t="str">
        <f>IF(MOV_CC_NACIONAL!B1511="","",MOV_CC_NACIONAL!B1511)</f>
        <v/>
      </c>
      <c r="C1511" s="21" t="str">
        <f>IF(MOV_CC_NACIONAL!C1511="","",MOV_CC_NACIONAL!C1511)</f>
        <v/>
      </c>
      <c r="D1511" s="22" t="str">
        <f t="shared" si="1"/>
        <v>Other</v>
      </c>
    </row>
    <row r="1512" ht="15.75" customHeight="1">
      <c r="A1512" s="22" t="str">
        <f>IF(MOV_CC_NACIONAL!A1512="","",MOV_CC_NACIONAL!A1512)</f>
        <v/>
      </c>
      <c r="B1512" s="22" t="str">
        <f>IF(MOV_CC_NACIONAL!B1512="","",MOV_CC_NACIONAL!B1512)</f>
        <v/>
      </c>
      <c r="C1512" s="21" t="str">
        <f>IF(MOV_CC_NACIONAL!C1512="","",MOV_CC_NACIONAL!C1512)</f>
        <v/>
      </c>
      <c r="D1512" s="22" t="str">
        <f t="shared" si="1"/>
        <v>Other</v>
      </c>
    </row>
    <row r="1513" ht="15.75" customHeight="1">
      <c r="A1513" s="22" t="str">
        <f>IF(MOV_CC_NACIONAL!A1513="","",MOV_CC_NACIONAL!A1513)</f>
        <v/>
      </c>
      <c r="B1513" s="22" t="str">
        <f>IF(MOV_CC_NACIONAL!B1513="","",MOV_CC_NACIONAL!B1513)</f>
        <v/>
      </c>
      <c r="C1513" s="21" t="str">
        <f>IF(MOV_CC_NACIONAL!C1513="","",MOV_CC_NACIONAL!C1513)</f>
        <v/>
      </c>
      <c r="D1513" s="22" t="str">
        <f t="shared" si="1"/>
        <v>Other</v>
      </c>
    </row>
    <row r="1514" ht="15.75" customHeight="1">
      <c r="A1514" s="22" t="str">
        <f>IF(MOV_CC_NACIONAL!A1514="","",MOV_CC_NACIONAL!A1514)</f>
        <v/>
      </c>
      <c r="B1514" s="22" t="str">
        <f>IF(MOV_CC_NACIONAL!B1514="","",MOV_CC_NACIONAL!B1514)</f>
        <v/>
      </c>
      <c r="C1514" s="21" t="str">
        <f>IF(MOV_CC_NACIONAL!C1514="","",MOV_CC_NACIONAL!C1514)</f>
        <v/>
      </c>
      <c r="D1514" s="22" t="str">
        <f t="shared" si="1"/>
        <v>Other</v>
      </c>
    </row>
    <row r="1515" ht="15.75" customHeight="1">
      <c r="A1515" s="22" t="str">
        <f>IF(MOV_CC_NACIONAL!A1515="","",MOV_CC_NACIONAL!A1515)</f>
        <v/>
      </c>
      <c r="B1515" s="22" t="str">
        <f>IF(MOV_CC_NACIONAL!B1515="","",MOV_CC_NACIONAL!B1515)</f>
        <v/>
      </c>
      <c r="C1515" s="21" t="str">
        <f>IF(MOV_CC_NACIONAL!C1515="","",MOV_CC_NACIONAL!C1515)</f>
        <v/>
      </c>
      <c r="D1515" s="22" t="str">
        <f t="shared" si="1"/>
        <v>Other</v>
      </c>
    </row>
    <row r="1516" ht="15.75" customHeight="1">
      <c r="A1516" s="22" t="str">
        <f>IF(MOV_CC_NACIONAL!A1516="","",MOV_CC_NACIONAL!A1516)</f>
        <v/>
      </c>
      <c r="B1516" s="22" t="str">
        <f>IF(MOV_CC_NACIONAL!B1516="","",MOV_CC_NACIONAL!B1516)</f>
        <v/>
      </c>
      <c r="C1516" s="21" t="str">
        <f>IF(MOV_CC_NACIONAL!C1516="","",MOV_CC_NACIONAL!C1516)</f>
        <v/>
      </c>
      <c r="D1516" s="22" t="str">
        <f t="shared" si="1"/>
        <v>Other</v>
      </c>
    </row>
    <row r="1517" ht="15.75" customHeight="1">
      <c r="A1517" s="22" t="str">
        <f>IF(MOV_CC_NACIONAL!A1517="","",MOV_CC_NACIONAL!A1517)</f>
        <v/>
      </c>
      <c r="B1517" s="22" t="str">
        <f>IF(MOV_CC_NACIONAL!B1517="","",MOV_CC_NACIONAL!B1517)</f>
        <v/>
      </c>
      <c r="C1517" s="21" t="str">
        <f>IF(MOV_CC_NACIONAL!C1517="","",MOV_CC_NACIONAL!C1517)</f>
        <v/>
      </c>
      <c r="D1517" s="22" t="str">
        <f t="shared" si="1"/>
        <v>Other</v>
      </c>
    </row>
    <row r="1518" ht="15.75" customHeight="1">
      <c r="A1518" s="22" t="str">
        <f>IF(MOV_CC_NACIONAL!A1518="","",MOV_CC_NACIONAL!A1518)</f>
        <v/>
      </c>
      <c r="B1518" s="22" t="str">
        <f>IF(MOV_CC_NACIONAL!B1518="","",MOV_CC_NACIONAL!B1518)</f>
        <v/>
      </c>
      <c r="C1518" s="21" t="str">
        <f>IF(MOV_CC_NACIONAL!C1518="","",MOV_CC_NACIONAL!C1518)</f>
        <v/>
      </c>
      <c r="D1518" s="22" t="str">
        <f t="shared" si="1"/>
        <v>Other</v>
      </c>
    </row>
    <row r="1519" ht="15.75" customHeight="1">
      <c r="A1519" s="22" t="str">
        <f>IF(MOV_CC_NACIONAL!A1519="","",MOV_CC_NACIONAL!A1519)</f>
        <v/>
      </c>
      <c r="B1519" s="22" t="str">
        <f>IF(MOV_CC_NACIONAL!B1519="","",MOV_CC_NACIONAL!B1519)</f>
        <v/>
      </c>
      <c r="C1519" s="21" t="str">
        <f>IF(MOV_CC_NACIONAL!C1519="","",MOV_CC_NACIONAL!C1519)</f>
        <v/>
      </c>
      <c r="D1519" s="22" t="str">
        <f t="shared" si="1"/>
        <v>Other</v>
      </c>
    </row>
    <row r="1520" ht="15.75" customHeight="1">
      <c r="A1520" s="22" t="str">
        <f>IF(MOV_CC_NACIONAL!A1520="","",MOV_CC_NACIONAL!A1520)</f>
        <v/>
      </c>
      <c r="B1520" s="22" t="str">
        <f>IF(MOV_CC_NACIONAL!B1520="","",MOV_CC_NACIONAL!B1520)</f>
        <v/>
      </c>
      <c r="C1520" s="21" t="str">
        <f>IF(MOV_CC_NACIONAL!C1520="","",MOV_CC_NACIONAL!C1520)</f>
        <v/>
      </c>
      <c r="D1520" s="22" t="str">
        <f t="shared" si="1"/>
        <v>Other</v>
      </c>
    </row>
    <row r="1521" ht="15.75" customHeight="1">
      <c r="A1521" s="22" t="str">
        <f>IF(MOV_CC_NACIONAL!A1521="","",MOV_CC_NACIONAL!A1521)</f>
        <v/>
      </c>
      <c r="B1521" s="22" t="str">
        <f>IF(MOV_CC_NACIONAL!B1521="","",MOV_CC_NACIONAL!B1521)</f>
        <v/>
      </c>
      <c r="C1521" s="21" t="str">
        <f>IF(MOV_CC_NACIONAL!C1521="","",MOV_CC_NACIONAL!C1521)</f>
        <v/>
      </c>
      <c r="D1521" s="22" t="str">
        <f t="shared" si="1"/>
        <v>Other</v>
      </c>
    </row>
    <row r="1522" ht="15.75" customHeight="1">
      <c r="A1522" s="22" t="str">
        <f>IF(MOV_CC_NACIONAL!A1522="","",MOV_CC_NACIONAL!A1522)</f>
        <v/>
      </c>
      <c r="B1522" s="22" t="str">
        <f>IF(MOV_CC_NACIONAL!B1522="","",MOV_CC_NACIONAL!B1522)</f>
        <v/>
      </c>
      <c r="C1522" s="21" t="str">
        <f>IF(MOV_CC_NACIONAL!C1522="","",MOV_CC_NACIONAL!C1522)</f>
        <v/>
      </c>
      <c r="D1522" s="22" t="str">
        <f t="shared" si="1"/>
        <v>Other</v>
      </c>
    </row>
    <row r="1523" ht="15.75" customHeight="1">
      <c r="A1523" s="22" t="str">
        <f>IF(MOV_CC_NACIONAL!A1523="","",MOV_CC_NACIONAL!A1523)</f>
        <v/>
      </c>
      <c r="B1523" s="22" t="str">
        <f>IF(MOV_CC_NACIONAL!B1523="","",MOV_CC_NACIONAL!B1523)</f>
        <v/>
      </c>
      <c r="C1523" s="21" t="str">
        <f>IF(MOV_CC_NACIONAL!C1523="","",MOV_CC_NACIONAL!C1523)</f>
        <v/>
      </c>
      <c r="D1523" s="22" t="str">
        <f t="shared" si="1"/>
        <v>Other</v>
      </c>
    </row>
    <row r="1524" ht="15.75" customHeight="1">
      <c r="A1524" s="22" t="str">
        <f>IF(MOV_CC_NACIONAL!A1524="","",MOV_CC_NACIONAL!A1524)</f>
        <v/>
      </c>
      <c r="B1524" s="22" t="str">
        <f>IF(MOV_CC_NACIONAL!B1524="","",MOV_CC_NACIONAL!B1524)</f>
        <v/>
      </c>
      <c r="C1524" s="21" t="str">
        <f>IF(MOV_CC_NACIONAL!C1524="","",MOV_CC_NACIONAL!C1524)</f>
        <v/>
      </c>
      <c r="D1524" s="22" t="str">
        <f t="shared" si="1"/>
        <v>Other</v>
      </c>
    </row>
    <row r="1525" ht="15.75" customHeight="1">
      <c r="A1525" s="22" t="str">
        <f>IF(MOV_CC_NACIONAL!A1525="","",MOV_CC_NACIONAL!A1525)</f>
        <v/>
      </c>
      <c r="B1525" s="22" t="str">
        <f>IF(MOV_CC_NACIONAL!B1525="","",MOV_CC_NACIONAL!B1525)</f>
        <v/>
      </c>
      <c r="C1525" s="21" t="str">
        <f>IF(MOV_CC_NACIONAL!C1525="","",MOV_CC_NACIONAL!C1525)</f>
        <v/>
      </c>
      <c r="D1525" s="22" t="str">
        <f t="shared" si="1"/>
        <v>Other</v>
      </c>
    </row>
    <row r="1526" ht="15.75" customHeight="1">
      <c r="A1526" s="22" t="str">
        <f>IF(MOV_CC_NACIONAL!A1526="","",MOV_CC_NACIONAL!A1526)</f>
        <v/>
      </c>
      <c r="B1526" s="22" t="str">
        <f>IF(MOV_CC_NACIONAL!B1526="","",MOV_CC_NACIONAL!B1526)</f>
        <v/>
      </c>
      <c r="C1526" s="21" t="str">
        <f>IF(MOV_CC_NACIONAL!C1526="","",MOV_CC_NACIONAL!C1526)</f>
        <v/>
      </c>
      <c r="D1526" s="22" t="str">
        <f t="shared" si="1"/>
        <v>Other</v>
      </c>
    </row>
    <row r="1527" ht="15.75" customHeight="1">
      <c r="A1527" s="22" t="str">
        <f>IF(MOV_CC_NACIONAL!A1527="","",MOV_CC_NACIONAL!A1527)</f>
        <v/>
      </c>
      <c r="B1527" s="22" t="str">
        <f>IF(MOV_CC_NACIONAL!B1527="","",MOV_CC_NACIONAL!B1527)</f>
        <v/>
      </c>
      <c r="C1527" s="21" t="str">
        <f>IF(MOV_CC_NACIONAL!C1527="","",MOV_CC_NACIONAL!C1527)</f>
        <v/>
      </c>
      <c r="D1527" s="22" t="str">
        <f t="shared" si="1"/>
        <v>Other</v>
      </c>
    </row>
    <row r="1528" ht="15.75" customHeight="1">
      <c r="A1528" s="22" t="str">
        <f>IF(MOV_CC_NACIONAL!A1528="","",MOV_CC_NACIONAL!A1528)</f>
        <v/>
      </c>
      <c r="B1528" s="22" t="str">
        <f>IF(MOV_CC_NACIONAL!B1528="","",MOV_CC_NACIONAL!B1528)</f>
        <v/>
      </c>
      <c r="C1528" s="21" t="str">
        <f>IF(MOV_CC_NACIONAL!C1528="","",MOV_CC_NACIONAL!C1528)</f>
        <v/>
      </c>
      <c r="D1528" s="22" t="str">
        <f t="shared" si="1"/>
        <v>Other</v>
      </c>
    </row>
    <row r="1529" ht="15.75" customHeight="1">
      <c r="A1529" s="22" t="str">
        <f>IF(MOV_CC_NACIONAL!A1529="","",MOV_CC_NACIONAL!A1529)</f>
        <v/>
      </c>
      <c r="B1529" s="22" t="str">
        <f>IF(MOV_CC_NACIONAL!B1529="","",MOV_CC_NACIONAL!B1529)</f>
        <v/>
      </c>
      <c r="C1529" s="21" t="str">
        <f>IF(MOV_CC_NACIONAL!C1529="","",MOV_CC_NACIONAL!C1529)</f>
        <v/>
      </c>
      <c r="D1529" s="22" t="str">
        <f t="shared" si="1"/>
        <v>Other</v>
      </c>
    </row>
    <row r="1530" ht="15.75" customHeight="1">
      <c r="A1530" s="22" t="str">
        <f>IF(MOV_CC_NACIONAL!A1530="","",MOV_CC_NACIONAL!A1530)</f>
        <v/>
      </c>
      <c r="B1530" s="22" t="str">
        <f>IF(MOV_CC_NACIONAL!B1530="","",MOV_CC_NACIONAL!B1530)</f>
        <v/>
      </c>
      <c r="C1530" s="21" t="str">
        <f>IF(MOV_CC_NACIONAL!C1530="","",MOV_CC_NACIONAL!C1530)</f>
        <v/>
      </c>
      <c r="D1530" s="22" t="str">
        <f t="shared" si="1"/>
        <v>Other</v>
      </c>
    </row>
    <row r="1531" ht="15.75" customHeight="1">
      <c r="A1531" s="22" t="str">
        <f>IF(MOV_CC_NACIONAL!A1531="","",MOV_CC_NACIONAL!A1531)</f>
        <v/>
      </c>
      <c r="B1531" s="22" t="str">
        <f>IF(MOV_CC_NACIONAL!B1531="","",MOV_CC_NACIONAL!B1531)</f>
        <v/>
      </c>
      <c r="C1531" s="21" t="str">
        <f>IF(MOV_CC_NACIONAL!C1531="","",MOV_CC_NACIONAL!C1531)</f>
        <v/>
      </c>
      <c r="D1531" s="22" t="str">
        <f t="shared" si="1"/>
        <v>Other</v>
      </c>
    </row>
    <row r="1532" ht="15.75" customHeight="1">
      <c r="A1532" s="22" t="str">
        <f>IF(MOV_CC_NACIONAL!A1532="","",MOV_CC_NACIONAL!A1532)</f>
        <v/>
      </c>
      <c r="B1532" s="22" t="str">
        <f>IF(MOV_CC_NACIONAL!B1532="","",MOV_CC_NACIONAL!B1532)</f>
        <v/>
      </c>
      <c r="C1532" s="21" t="str">
        <f>IF(MOV_CC_NACIONAL!C1532="","",MOV_CC_NACIONAL!C1532)</f>
        <v/>
      </c>
      <c r="D1532" s="22" t="str">
        <f t="shared" si="1"/>
        <v>Other</v>
      </c>
    </row>
    <row r="1533" ht="15.75" customHeight="1">
      <c r="A1533" s="22" t="str">
        <f>IF(MOV_CC_NACIONAL!A1533="","",MOV_CC_NACIONAL!A1533)</f>
        <v/>
      </c>
      <c r="B1533" s="22" t="str">
        <f>IF(MOV_CC_NACIONAL!B1533="","",MOV_CC_NACIONAL!B1533)</f>
        <v/>
      </c>
      <c r="C1533" s="21" t="str">
        <f>IF(MOV_CC_NACIONAL!C1533="","",MOV_CC_NACIONAL!C1533)</f>
        <v/>
      </c>
      <c r="D1533" s="22" t="str">
        <f t="shared" si="1"/>
        <v>Other</v>
      </c>
    </row>
    <row r="1534" ht="15.75" customHeight="1">
      <c r="A1534" s="22" t="str">
        <f>IF(MOV_CC_NACIONAL!A1534="","",MOV_CC_NACIONAL!A1534)</f>
        <v/>
      </c>
      <c r="B1534" s="22" t="str">
        <f>IF(MOV_CC_NACIONAL!B1534="","",MOV_CC_NACIONAL!B1534)</f>
        <v/>
      </c>
      <c r="C1534" s="21" t="str">
        <f>IF(MOV_CC_NACIONAL!C1534="","",MOV_CC_NACIONAL!C1534)</f>
        <v/>
      </c>
      <c r="D1534" s="22" t="str">
        <f t="shared" si="1"/>
        <v>Other</v>
      </c>
    </row>
    <row r="1535" ht="15.75" customHeight="1">
      <c r="A1535" s="22" t="str">
        <f>IF(MOV_CC_NACIONAL!A1535="","",MOV_CC_NACIONAL!A1535)</f>
        <v/>
      </c>
      <c r="B1535" s="22" t="str">
        <f>IF(MOV_CC_NACIONAL!B1535="","",MOV_CC_NACIONAL!B1535)</f>
        <v/>
      </c>
      <c r="C1535" s="21" t="str">
        <f>IF(MOV_CC_NACIONAL!C1535="","",MOV_CC_NACIONAL!C1535)</f>
        <v/>
      </c>
      <c r="D1535" s="22" t="str">
        <f t="shared" si="1"/>
        <v>Other</v>
      </c>
    </row>
    <row r="1536" ht="15.75" customHeight="1">
      <c r="A1536" s="22" t="str">
        <f>IF(MOV_CC_NACIONAL!A1536="","",MOV_CC_NACIONAL!A1536)</f>
        <v/>
      </c>
      <c r="B1536" s="22" t="str">
        <f>IF(MOV_CC_NACIONAL!B1536="","",MOV_CC_NACIONAL!B1536)</f>
        <v/>
      </c>
      <c r="C1536" s="21" t="str">
        <f>IF(MOV_CC_NACIONAL!C1536="","",MOV_CC_NACIONAL!C1536)</f>
        <v/>
      </c>
      <c r="D1536" s="22" t="str">
        <f t="shared" si="1"/>
        <v>Other</v>
      </c>
    </row>
    <row r="1537" ht="15.75" customHeight="1">
      <c r="A1537" s="22" t="str">
        <f>IF(MOV_CC_NACIONAL!A1537="","",MOV_CC_NACIONAL!A1537)</f>
        <v/>
      </c>
      <c r="B1537" s="22" t="str">
        <f>IF(MOV_CC_NACIONAL!B1537="","",MOV_CC_NACIONAL!B1537)</f>
        <v/>
      </c>
      <c r="C1537" s="21" t="str">
        <f>IF(MOV_CC_NACIONAL!C1537="","",MOV_CC_NACIONAL!C1537)</f>
        <v/>
      </c>
      <c r="D1537" s="22" t="str">
        <f t="shared" si="1"/>
        <v>Other</v>
      </c>
    </row>
    <row r="1538" ht="15.75" customHeight="1">
      <c r="A1538" s="22" t="str">
        <f>IF(MOV_CC_NACIONAL!A1538="","",MOV_CC_NACIONAL!A1538)</f>
        <v/>
      </c>
      <c r="B1538" s="22" t="str">
        <f>IF(MOV_CC_NACIONAL!B1538="","",MOV_CC_NACIONAL!B1538)</f>
        <v/>
      </c>
      <c r="C1538" s="21" t="str">
        <f>IF(MOV_CC_NACIONAL!C1538="","",MOV_CC_NACIONAL!C1538)</f>
        <v/>
      </c>
      <c r="D1538" s="22" t="str">
        <f t="shared" si="1"/>
        <v>Other</v>
      </c>
    </row>
    <row r="1539" ht="15.75" customHeight="1">
      <c r="A1539" s="22" t="str">
        <f>IF(MOV_CC_NACIONAL!A1539="","",MOV_CC_NACIONAL!A1539)</f>
        <v/>
      </c>
      <c r="B1539" s="22" t="str">
        <f>IF(MOV_CC_NACIONAL!B1539="","",MOV_CC_NACIONAL!B1539)</f>
        <v/>
      </c>
      <c r="C1539" s="21" t="str">
        <f>IF(MOV_CC_NACIONAL!C1539="","",MOV_CC_NACIONAL!C1539)</f>
        <v/>
      </c>
      <c r="D1539" s="22" t="str">
        <f t="shared" si="1"/>
        <v>Other</v>
      </c>
    </row>
    <row r="1540" ht="15.75" customHeight="1">
      <c r="A1540" s="22" t="str">
        <f>IF(MOV_CC_NACIONAL!A1540="","",MOV_CC_NACIONAL!A1540)</f>
        <v/>
      </c>
      <c r="B1540" s="22" t="str">
        <f>IF(MOV_CC_NACIONAL!B1540="","",MOV_CC_NACIONAL!B1540)</f>
        <v/>
      </c>
      <c r="C1540" s="21" t="str">
        <f>IF(MOV_CC_NACIONAL!C1540="","",MOV_CC_NACIONAL!C1540)</f>
        <v/>
      </c>
      <c r="D1540" s="22" t="str">
        <f t="shared" si="1"/>
        <v>Other</v>
      </c>
    </row>
    <row r="1541" ht="15.75" customHeight="1">
      <c r="A1541" s="22" t="str">
        <f>IF(MOV_CC_NACIONAL!A1541="","",MOV_CC_NACIONAL!A1541)</f>
        <v/>
      </c>
      <c r="B1541" s="22" t="str">
        <f>IF(MOV_CC_NACIONAL!B1541="","",MOV_CC_NACIONAL!B1541)</f>
        <v/>
      </c>
      <c r="C1541" s="21" t="str">
        <f>IF(MOV_CC_NACIONAL!C1541="","",MOV_CC_NACIONAL!C1541)</f>
        <v/>
      </c>
      <c r="D1541" s="22" t="str">
        <f t="shared" si="1"/>
        <v>Other</v>
      </c>
    </row>
    <row r="1542" ht="15.75" customHeight="1">
      <c r="A1542" s="22" t="str">
        <f>IF(MOV_CC_NACIONAL!A1542="","",MOV_CC_NACIONAL!A1542)</f>
        <v/>
      </c>
      <c r="B1542" s="22" t="str">
        <f>IF(MOV_CC_NACIONAL!B1542="","",MOV_CC_NACIONAL!B1542)</f>
        <v/>
      </c>
      <c r="C1542" s="21" t="str">
        <f>IF(MOV_CC_NACIONAL!C1542="","",MOV_CC_NACIONAL!C1542)</f>
        <v/>
      </c>
      <c r="D1542" s="22" t="str">
        <f t="shared" si="1"/>
        <v>Other</v>
      </c>
    </row>
    <row r="1543" ht="15.75" customHeight="1">
      <c r="A1543" s="22" t="str">
        <f>IF(MOV_CC_NACIONAL!A1543="","",MOV_CC_NACIONAL!A1543)</f>
        <v/>
      </c>
      <c r="B1543" s="22" t="str">
        <f>IF(MOV_CC_NACIONAL!B1543="","",MOV_CC_NACIONAL!B1543)</f>
        <v/>
      </c>
      <c r="C1543" s="21" t="str">
        <f>IF(MOV_CC_NACIONAL!C1543="","",MOV_CC_NACIONAL!C1543)</f>
        <v/>
      </c>
      <c r="D1543" s="22" t="str">
        <f t="shared" si="1"/>
        <v>Other</v>
      </c>
    </row>
    <row r="1544" ht="15.75" customHeight="1">
      <c r="A1544" s="22" t="str">
        <f>IF(MOV_CC_NACIONAL!A1544="","",MOV_CC_NACIONAL!A1544)</f>
        <v/>
      </c>
      <c r="B1544" s="22" t="str">
        <f>IF(MOV_CC_NACIONAL!B1544="","",MOV_CC_NACIONAL!B1544)</f>
        <v/>
      </c>
      <c r="C1544" s="21" t="str">
        <f>IF(MOV_CC_NACIONAL!C1544="","",MOV_CC_NACIONAL!C1544)</f>
        <v/>
      </c>
      <c r="D1544" s="22" t="str">
        <f t="shared" si="1"/>
        <v>Other</v>
      </c>
    </row>
    <row r="1545" ht="15.75" customHeight="1">
      <c r="A1545" s="22" t="str">
        <f>IF(MOV_CC_NACIONAL!A1545="","",MOV_CC_NACIONAL!A1545)</f>
        <v/>
      </c>
      <c r="B1545" s="22" t="str">
        <f>IF(MOV_CC_NACIONAL!B1545="","",MOV_CC_NACIONAL!B1545)</f>
        <v/>
      </c>
      <c r="C1545" s="21" t="str">
        <f>IF(MOV_CC_NACIONAL!C1545="","",MOV_CC_NACIONAL!C1545)</f>
        <v/>
      </c>
      <c r="D1545" s="22" t="str">
        <f t="shared" si="1"/>
        <v>Other</v>
      </c>
    </row>
    <row r="1546" ht="15.75" customHeight="1">
      <c r="A1546" s="22" t="str">
        <f>IF(MOV_CC_NACIONAL!A1546="","",MOV_CC_NACIONAL!A1546)</f>
        <v/>
      </c>
      <c r="B1546" s="22" t="str">
        <f>IF(MOV_CC_NACIONAL!B1546="","",MOV_CC_NACIONAL!B1546)</f>
        <v/>
      </c>
      <c r="C1546" s="21" t="str">
        <f>IF(MOV_CC_NACIONAL!C1546="","",MOV_CC_NACIONAL!C1546)</f>
        <v/>
      </c>
      <c r="D1546" s="22" t="str">
        <f t="shared" si="1"/>
        <v>Other</v>
      </c>
    </row>
    <row r="1547" ht="15.75" customHeight="1">
      <c r="A1547" s="22" t="str">
        <f>IF(MOV_CC_NACIONAL!A1547="","",MOV_CC_NACIONAL!A1547)</f>
        <v/>
      </c>
      <c r="B1547" s="22" t="str">
        <f>IF(MOV_CC_NACIONAL!B1547="","",MOV_CC_NACIONAL!B1547)</f>
        <v/>
      </c>
      <c r="C1547" s="21" t="str">
        <f>IF(MOV_CC_NACIONAL!C1547="","",MOV_CC_NACIONAL!C1547)</f>
        <v/>
      </c>
      <c r="D1547" s="22" t="str">
        <f t="shared" si="1"/>
        <v>Other</v>
      </c>
    </row>
    <row r="1548" ht="15.75" customHeight="1">
      <c r="A1548" s="22" t="str">
        <f>IF(MOV_CC_NACIONAL!A1548="","",MOV_CC_NACIONAL!A1548)</f>
        <v/>
      </c>
      <c r="B1548" s="22" t="str">
        <f>IF(MOV_CC_NACIONAL!B1548="","",MOV_CC_NACIONAL!B1548)</f>
        <v/>
      </c>
      <c r="C1548" s="21" t="str">
        <f>IF(MOV_CC_NACIONAL!C1548="","",MOV_CC_NACIONAL!C1548)</f>
        <v/>
      </c>
      <c r="D1548" s="22" t="str">
        <f t="shared" si="1"/>
        <v>Other</v>
      </c>
    </row>
    <row r="1549" ht="15.75" customHeight="1">
      <c r="A1549" s="22" t="str">
        <f>IF(MOV_CC_NACIONAL!A1549="","",MOV_CC_NACIONAL!A1549)</f>
        <v/>
      </c>
      <c r="B1549" s="22" t="str">
        <f>IF(MOV_CC_NACIONAL!B1549="","",MOV_CC_NACIONAL!B1549)</f>
        <v/>
      </c>
      <c r="C1549" s="21" t="str">
        <f>IF(MOV_CC_NACIONAL!C1549="","",MOV_CC_NACIONAL!C1549)</f>
        <v/>
      </c>
      <c r="D1549" s="22" t="str">
        <f t="shared" si="1"/>
        <v>Other</v>
      </c>
    </row>
    <row r="1550" ht="15.75" customHeight="1">
      <c r="A1550" s="22" t="str">
        <f>IF(MOV_CC_NACIONAL!A1550="","",MOV_CC_NACIONAL!A1550)</f>
        <v/>
      </c>
      <c r="B1550" s="22" t="str">
        <f>IF(MOV_CC_NACIONAL!B1550="","",MOV_CC_NACIONAL!B1550)</f>
        <v/>
      </c>
      <c r="C1550" s="21" t="str">
        <f>IF(MOV_CC_NACIONAL!C1550="","",MOV_CC_NACIONAL!C1550)</f>
        <v/>
      </c>
      <c r="D1550" s="22" t="str">
        <f t="shared" si="1"/>
        <v>Other</v>
      </c>
    </row>
    <row r="1551" ht="15.75" customHeight="1">
      <c r="A1551" s="22" t="str">
        <f>IF(MOV_CC_NACIONAL!A1551="","",MOV_CC_NACIONAL!A1551)</f>
        <v/>
      </c>
      <c r="B1551" s="22" t="str">
        <f>IF(MOV_CC_NACIONAL!B1551="","",MOV_CC_NACIONAL!B1551)</f>
        <v/>
      </c>
      <c r="C1551" s="21" t="str">
        <f>IF(MOV_CC_NACIONAL!C1551="","",MOV_CC_NACIONAL!C1551)</f>
        <v/>
      </c>
      <c r="D1551" s="22" t="str">
        <f t="shared" si="1"/>
        <v>Other</v>
      </c>
    </row>
    <row r="1552" ht="15.75" customHeight="1">
      <c r="A1552" s="22" t="str">
        <f>IF(MOV_CC_NACIONAL!A1552="","",MOV_CC_NACIONAL!A1552)</f>
        <v/>
      </c>
      <c r="B1552" s="22" t="str">
        <f>IF(MOV_CC_NACIONAL!B1552="","",MOV_CC_NACIONAL!B1552)</f>
        <v/>
      </c>
      <c r="C1552" s="21" t="str">
        <f>IF(MOV_CC_NACIONAL!C1552="","",MOV_CC_NACIONAL!C1552)</f>
        <v/>
      </c>
      <c r="D1552" s="22" t="str">
        <f t="shared" si="1"/>
        <v>Other</v>
      </c>
    </row>
    <row r="1553" ht="15.75" customHeight="1">
      <c r="A1553" s="22" t="str">
        <f>IF(MOV_CC_NACIONAL!A1553="","",MOV_CC_NACIONAL!A1553)</f>
        <v/>
      </c>
      <c r="B1553" s="22" t="str">
        <f>IF(MOV_CC_NACIONAL!B1553="","",MOV_CC_NACIONAL!B1553)</f>
        <v/>
      </c>
      <c r="C1553" s="21" t="str">
        <f>IF(MOV_CC_NACIONAL!C1553="","",MOV_CC_NACIONAL!C1553)</f>
        <v/>
      </c>
      <c r="D1553" s="22" t="str">
        <f t="shared" si="1"/>
        <v>Other</v>
      </c>
    </row>
    <row r="1554" ht="15.75" customHeight="1">
      <c r="A1554" s="22" t="str">
        <f>IF(MOV_CC_NACIONAL!A1554="","",MOV_CC_NACIONAL!A1554)</f>
        <v/>
      </c>
      <c r="B1554" s="22" t="str">
        <f>IF(MOV_CC_NACIONAL!B1554="","",MOV_CC_NACIONAL!B1554)</f>
        <v/>
      </c>
      <c r="C1554" s="21" t="str">
        <f>IF(MOV_CC_NACIONAL!C1554="","",MOV_CC_NACIONAL!C1554)</f>
        <v/>
      </c>
      <c r="D1554" s="22" t="str">
        <f t="shared" si="1"/>
        <v>Other</v>
      </c>
    </row>
    <row r="1555" ht="15.75" customHeight="1">
      <c r="A1555" s="22" t="str">
        <f>IF(MOV_CC_NACIONAL!A1555="","",MOV_CC_NACIONAL!A1555)</f>
        <v/>
      </c>
      <c r="B1555" s="22" t="str">
        <f>IF(MOV_CC_NACIONAL!B1555="","",MOV_CC_NACIONAL!B1555)</f>
        <v/>
      </c>
      <c r="C1555" s="21" t="str">
        <f>IF(MOV_CC_NACIONAL!C1555="","",MOV_CC_NACIONAL!C1555)</f>
        <v/>
      </c>
      <c r="D1555" s="22" t="str">
        <f t="shared" si="1"/>
        <v>Other</v>
      </c>
    </row>
    <row r="1556" ht="15.75" customHeight="1">
      <c r="A1556" s="22" t="str">
        <f>IF(MOV_CC_NACIONAL!A1556="","",MOV_CC_NACIONAL!A1556)</f>
        <v/>
      </c>
      <c r="B1556" s="22" t="str">
        <f>IF(MOV_CC_NACIONAL!B1556="","",MOV_CC_NACIONAL!B1556)</f>
        <v/>
      </c>
      <c r="C1556" s="21" t="str">
        <f>IF(MOV_CC_NACIONAL!C1556="","",MOV_CC_NACIONAL!C1556)</f>
        <v/>
      </c>
      <c r="D1556" s="22" t="str">
        <f t="shared" si="1"/>
        <v>Other</v>
      </c>
    </row>
    <row r="1557" ht="15.75" customHeight="1">
      <c r="A1557" s="22" t="str">
        <f>IF(MOV_CC_NACIONAL!A1557="","",MOV_CC_NACIONAL!A1557)</f>
        <v/>
      </c>
      <c r="B1557" s="22" t="str">
        <f>IF(MOV_CC_NACIONAL!B1557="","",MOV_CC_NACIONAL!B1557)</f>
        <v/>
      </c>
      <c r="C1557" s="21" t="str">
        <f>IF(MOV_CC_NACIONAL!C1557="","",MOV_CC_NACIONAL!C1557)</f>
        <v/>
      </c>
      <c r="D1557" s="22" t="str">
        <f t="shared" si="1"/>
        <v>Other</v>
      </c>
    </row>
    <row r="1558" ht="15.75" customHeight="1">
      <c r="A1558" s="22" t="str">
        <f>IF(MOV_CC_NACIONAL!A1558="","",MOV_CC_NACIONAL!A1558)</f>
        <v/>
      </c>
      <c r="B1558" s="22" t="str">
        <f>IF(MOV_CC_NACIONAL!B1558="","",MOV_CC_NACIONAL!B1558)</f>
        <v/>
      </c>
      <c r="C1558" s="21" t="str">
        <f>IF(MOV_CC_NACIONAL!C1558="","",MOV_CC_NACIONAL!C1558)</f>
        <v/>
      </c>
      <c r="D1558" s="22" t="str">
        <f t="shared" si="1"/>
        <v>Other</v>
      </c>
    </row>
    <row r="1559" ht="15.75" customHeight="1">
      <c r="A1559" s="22" t="str">
        <f>IF(MOV_CC_NACIONAL!A1559="","",MOV_CC_NACIONAL!A1559)</f>
        <v/>
      </c>
      <c r="B1559" s="22" t="str">
        <f>IF(MOV_CC_NACIONAL!B1559="","",MOV_CC_NACIONAL!B1559)</f>
        <v/>
      </c>
      <c r="C1559" s="21" t="str">
        <f>IF(MOV_CC_NACIONAL!C1559="","",MOV_CC_NACIONAL!C1559)</f>
        <v/>
      </c>
      <c r="D1559" s="22" t="str">
        <f t="shared" si="1"/>
        <v>Other</v>
      </c>
    </row>
    <row r="1560" ht="15.75" customHeight="1">
      <c r="A1560" s="22" t="str">
        <f>IF(MOV_CC_NACIONAL!A1560="","",MOV_CC_NACIONAL!A1560)</f>
        <v/>
      </c>
      <c r="B1560" s="22" t="str">
        <f>IF(MOV_CC_NACIONAL!B1560="","",MOV_CC_NACIONAL!B1560)</f>
        <v/>
      </c>
      <c r="C1560" s="21" t="str">
        <f>IF(MOV_CC_NACIONAL!C1560="","",MOV_CC_NACIONAL!C1560)</f>
        <v/>
      </c>
      <c r="D1560" s="22" t="str">
        <f t="shared" si="1"/>
        <v>Other</v>
      </c>
    </row>
    <row r="1561" ht="15.75" customHeight="1">
      <c r="A1561" s="22" t="str">
        <f>IF(MOV_CC_NACIONAL!A1561="","",MOV_CC_NACIONAL!A1561)</f>
        <v/>
      </c>
      <c r="B1561" s="22" t="str">
        <f>IF(MOV_CC_NACIONAL!B1561="","",MOV_CC_NACIONAL!B1561)</f>
        <v/>
      </c>
      <c r="C1561" s="21" t="str">
        <f>IF(MOV_CC_NACIONAL!C1561="","",MOV_CC_NACIONAL!C1561)</f>
        <v/>
      </c>
      <c r="D1561" s="22" t="str">
        <f t="shared" si="1"/>
        <v>Other</v>
      </c>
    </row>
    <row r="1562" ht="15.75" customHeight="1">
      <c r="A1562" s="22" t="str">
        <f>IF(MOV_CC_NACIONAL!A1562="","",MOV_CC_NACIONAL!A1562)</f>
        <v/>
      </c>
      <c r="B1562" s="22" t="str">
        <f>IF(MOV_CC_NACIONAL!B1562="","",MOV_CC_NACIONAL!B1562)</f>
        <v/>
      </c>
      <c r="C1562" s="21" t="str">
        <f>IF(MOV_CC_NACIONAL!C1562="","",MOV_CC_NACIONAL!C1562)</f>
        <v/>
      </c>
      <c r="D1562" s="22" t="str">
        <f t="shared" si="1"/>
        <v>Other</v>
      </c>
    </row>
    <row r="1563" ht="15.75" customHeight="1">
      <c r="A1563" s="22" t="str">
        <f>IF(MOV_CC_NACIONAL!A1563="","",MOV_CC_NACIONAL!A1563)</f>
        <v/>
      </c>
      <c r="B1563" s="22" t="str">
        <f>IF(MOV_CC_NACIONAL!B1563="","",MOV_CC_NACIONAL!B1563)</f>
        <v/>
      </c>
      <c r="C1563" s="21" t="str">
        <f>IF(MOV_CC_NACIONAL!C1563="","",MOV_CC_NACIONAL!C1563)</f>
        <v/>
      </c>
      <c r="D1563" s="22" t="str">
        <f t="shared" si="1"/>
        <v>Other</v>
      </c>
    </row>
    <row r="1564" ht="15.75" customHeight="1">
      <c r="A1564" s="22" t="str">
        <f>IF(MOV_CC_NACIONAL!A1564="","",MOV_CC_NACIONAL!A1564)</f>
        <v/>
      </c>
      <c r="B1564" s="22" t="str">
        <f>IF(MOV_CC_NACIONAL!B1564="","",MOV_CC_NACIONAL!B1564)</f>
        <v/>
      </c>
      <c r="C1564" s="21" t="str">
        <f>IF(MOV_CC_NACIONAL!C1564="","",MOV_CC_NACIONAL!C1564)</f>
        <v/>
      </c>
      <c r="D1564" s="22" t="str">
        <f t="shared" si="1"/>
        <v>Other</v>
      </c>
    </row>
    <row r="1565" ht="15.75" customHeight="1">
      <c r="A1565" s="22" t="str">
        <f>IF(MOV_CC_NACIONAL!A1565="","",MOV_CC_NACIONAL!A1565)</f>
        <v/>
      </c>
      <c r="B1565" s="22" t="str">
        <f>IF(MOV_CC_NACIONAL!B1565="","",MOV_CC_NACIONAL!B1565)</f>
        <v/>
      </c>
      <c r="C1565" s="21" t="str">
        <f>IF(MOV_CC_NACIONAL!C1565="","",MOV_CC_NACIONAL!C1565)</f>
        <v/>
      </c>
      <c r="D1565" s="22" t="str">
        <f t="shared" si="1"/>
        <v>Other</v>
      </c>
    </row>
    <row r="1566" ht="15.75" customHeight="1">
      <c r="A1566" s="22" t="str">
        <f>IF(MOV_CC_NACIONAL!A1566="","",MOV_CC_NACIONAL!A1566)</f>
        <v/>
      </c>
      <c r="B1566" s="22" t="str">
        <f>IF(MOV_CC_NACIONAL!B1566="","",MOV_CC_NACIONAL!B1566)</f>
        <v/>
      </c>
      <c r="C1566" s="21" t="str">
        <f>IF(MOV_CC_NACIONAL!C1566="","",MOV_CC_NACIONAL!C1566)</f>
        <v/>
      </c>
      <c r="D1566" s="22" t="str">
        <f t="shared" si="1"/>
        <v>Other</v>
      </c>
    </row>
    <row r="1567" ht="15.75" customHeight="1">
      <c r="A1567" s="22" t="str">
        <f>IF(MOV_CC_NACIONAL!A1567="","",MOV_CC_NACIONAL!A1567)</f>
        <v/>
      </c>
      <c r="B1567" s="22" t="str">
        <f>IF(MOV_CC_NACIONAL!B1567="","",MOV_CC_NACIONAL!B1567)</f>
        <v/>
      </c>
      <c r="C1567" s="21" t="str">
        <f>IF(MOV_CC_NACIONAL!C1567="","",MOV_CC_NACIONAL!C1567)</f>
        <v/>
      </c>
      <c r="D1567" s="22" t="str">
        <f t="shared" si="1"/>
        <v>Other</v>
      </c>
    </row>
    <row r="1568" ht="15.75" customHeight="1">
      <c r="A1568" s="22" t="str">
        <f>IF(MOV_CC_NACIONAL!A1568="","",MOV_CC_NACIONAL!A1568)</f>
        <v/>
      </c>
      <c r="B1568" s="22" t="str">
        <f>IF(MOV_CC_NACIONAL!B1568="","",MOV_CC_NACIONAL!B1568)</f>
        <v/>
      </c>
      <c r="C1568" s="21" t="str">
        <f>IF(MOV_CC_NACIONAL!C1568="","",MOV_CC_NACIONAL!C1568)</f>
        <v/>
      </c>
      <c r="D1568" s="22" t="str">
        <f t="shared" si="1"/>
        <v>Other</v>
      </c>
    </row>
    <row r="1569" ht="15.75" customHeight="1">
      <c r="A1569" s="22" t="str">
        <f>IF(MOV_CC_NACIONAL!A1569="","",MOV_CC_NACIONAL!A1569)</f>
        <v/>
      </c>
      <c r="B1569" s="22" t="str">
        <f>IF(MOV_CC_NACIONAL!B1569="","",MOV_CC_NACIONAL!B1569)</f>
        <v/>
      </c>
      <c r="C1569" s="21" t="str">
        <f>IF(MOV_CC_NACIONAL!C1569="","",MOV_CC_NACIONAL!C1569)</f>
        <v/>
      </c>
      <c r="D1569" s="22" t="str">
        <f t="shared" si="1"/>
        <v>Other</v>
      </c>
    </row>
    <row r="1570" ht="15.75" customHeight="1">
      <c r="A1570" s="22" t="str">
        <f>IF(MOV_CC_NACIONAL!A1570="","",MOV_CC_NACIONAL!A1570)</f>
        <v/>
      </c>
      <c r="B1570" s="22" t="str">
        <f>IF(MOV_CC_NACIONAL!B1570="","",MOV_CC_NACIONAL!B1570)</f>
        <v/>
      </c>
      <c r="C1570" s="21" t="str">
        <f>IF(MOV_CC_NACIONAL!C1570="","",MOV_CC_NACIONAL!C1570)</f>
        <v/>
      </c>
      <c r="D1570" s="22" t="str">
        <f t="shared" si="1"/>
        <v>Other</v>
      </c>
    </row>
    <row r="1571" ht="15.75" customHeight="1">
      <c r="A1571" s="22" t="str">
        <f>IF(MOV_CC_NACIONAL!A1571="","",MOV_CC_NACIONAL!A1571)</f>
        <v/>
      </c>
      <c r="B1571" s="22" t="str">
        <f>IF(MOV_CC_NACIONAL!B1571="","",MOV_CC_NACIONAL!B1571)</f>
        <v/>
      </c>
      <c r="C1571" s="21" t="str">
        <f>IF(MOV_CC_NACIONAL!C1571="","",MOV_CC_NACIONAL!C1571)</f>
        <v/>
      </c>
      <c r="D1571" s="22" t="str">
        <f t="shared" si="1"/>
        <v>Other</v>
      </c>
    </row>
    <row r="1572" ht="15.75" customHeight="1">
      <c r="A1572" s="22" t="str">
        <f>IF(MOV_CC_NACIONAL!A1572="","",MOV_CC_NACIONAL!A1572)</f>
        <v/>
      </c>
      <c r="B1572" s="22" t="str">
        <f>IF(MOV_CC_NACIONAL!B1572="","",MOV_CC_NACIONAL!B1572)</f>
        <v/>
      </c>
      <c r="C1572" s="21" t="str">
        <f>IF(MOV_CC_NACIONAL!C1572="","",MOV_CC_NACIONAL!C1572)</f>
        <v/>
      </c>
      <c r="D1572" s="22" t="str">
        <f t="shared" si="1"/>
        <v>Other</v>
      </c>
    </row>
    <row r="1573" ht="15.75" customHeight="1">
      <c r="A1573" s="22" t="str">
        <f>IF(MOV_CC_NACIONAL!A1573="","",MOV_CC_NACIONAL!A1573)</f>
        <v/>
      </c>
      <c r="B1573" s="22" t="str">
        <f>IF(MOV_CC_NACIONAL!B1573="","",MOV_CC_NACIONAL!B1573)</f>
        <v/>
      </c>
      <c r="C1573" s="21" t="str">
        <f>IF(MOV_CC_NACIONAL!C1573="","",MOV_CC_NACIONAL!C1573)</f>
        <v/>
      </c>
      <c r="D1573" s="22" t="str">
        <f t="shared" si="1"/>
        <v>Other</v>
      </c>
    </row>
    <row r="1574" ht="15.75" customHeight="1">
      <c r="A1574" s="22" t="str">
        <f>IF(MOV_CC_NACIONAL!A1574="","",MOV_CC_NACIONAL!A1574)</f>
        <v/>
      </c>
      <c r="B1574" s="22" t="str">
        <f>IF(MOV_CC_NACIONAL!B1574="","",MOV_CC_NACIONAL!B1574)</f>
        <v/>
      </c>
      <c r="C1574" s="21" t="str">
        <f>IF(MOV_CC_NACIONAL!C1574="","",MOV_CC_NACIONAL!C1574)</f>
        <v/>
      </c>
      <c r="D1574" s="22" t="str">
        <f t="shared" si="1"/>
        <v>Other</v>
      </c>
    </row>
    <row r="1575" ht="15.75" customHeight="1">
      <c r="A1575" s="22" t="str">
        <f>IF(MOV_CC_NACIONAL!A1575="","",MOV_CC_NACIONAL!A1575)</f>
        <v/>
      </c>
      <c r="B1575" s="22" t="str">
        <f>IF(MOV_CC_NACIONAL!B1575="","",MOV_CC_NACIONAL!B1575)</f>
        <v/>
      </c>
      <c r="C1575" s="21" t="str">
        <f>IF(MOV_CC_NACIONAL!C1575="","",MOV_CC_NACIONAL!C1575)</f>
        <v/>
      </c>
      <c r="D1575" s="22" t="str">
        <f t="shared" si="1"/>
        <v>Other</v>
      </c>
    </row>
    <row r="1576" ht="15.75" customHeight="1">
      <c r="A1576" s="22" t="str">
        <f>IF(MOV_CC_NACIONAL!A1576="","",MOV_CC_NACIONAL!A1576)</f>
        <v/>
      </c>
      <c r="B1576" s="22" t="str">
        <f>IF(MOV_CC_NACIONAL!B1576="","",MOV_CC_NACIONAL!B1576)</f>
        <v/>
      </c>
      <c r="C1576" s="21" t="str">
        <f>IF(MOV_CC_NACIONAL!C1576="","",MOV_CC_NACIONAL!C1576)</f>
        <v/>
      </c>
      <c r="D1576" s="22" t="str">
        <f t="shared" si="1"/>
        <v>Other</v>
      </c>
    </row>
    <row r="1577" ht="15.75" customHeight="1">
      <c r="A1577" s="22" t="str">
        <f>IF(MOV_CC_NACIONAL!A1577="","",MOV_CC_NACIONAL!A1577)</f>
        <v/>
      </c>
      <c r="B1577" s="22" t="str">
        <f>IF(MOV_CC_NACIONAL!B1577="","",MOV_CC_NACIONAL!B1577)</f>
        <v/>
      </c>
      <c r="C1577" s="21" t="str">
        <f>IF(MOV_CC_NACIONAL!C1577="","",MOV_CC_NACIONAL!C1577)</f>
        <v/>
      </c>
      <c r="D1577" s="22" t="str">
        <f t="shared" si="1"/>
        <v>Other</v>
      </c>
    </row>
    <row r="1578" ht="15.75" customHeight="1">
      <c r="A1578" s="22" t="str">
        <f>IF(MOV_CC_NACIONAL!A1578="","",MOV_CC_NACIONAL!A1578)</f>
        <v/>
      </c>
      <c r="B1578" s="22" t="str">
        <f>IF(MOV_CC_NACIONAL!B1578="","",MOV_CC_NACIONAL!B1578)</f>
        <v/>
      </c>
      <c r="C1578" s="21" t="str">
        <f>IF(MOV_CC_NACIONAL!C1578="","",MOV_CC_NACIONAL!C1578)</f>
        <v/>
      </c>
      <c r="D1578" s="22" t="str">
        <f t="shared" si="1"/>
        <v>Other</v>
      </c>
    </row>
    <row r="1579" ht="15.75" customHeight="1">
      <c r="A1579" s="22" t="str">
        <f>IF(MOV_CC_NACIONAL!A1579="","",MOV_CC_NACIONAL!A1579)</f>
        <v/>
      </c>
      <c r="B1579" s="22" t="str">
        <f>IF(MOV_CC_NACIONAL!B1579="","",MOV_CC_NACIONAL!B1579)</f>
        <v/>
      </c>
      <c r="C1579" s="21" t="str">
        <f>IF(MOV_CC_NACIONAL!C1579="","",MOV_CC_NACIONAL!C1579)</f>
        <v/>
      </c>
      <c r="D1579" s="22" t="str">
        <f t="shared" si="1"/>
        <v>Other</v>
      </c>
    </row>
    <row r="1580" ht="15.75" customHeight="1">
      <c r="A1580" s="22" t="str">
        <f>IF(MOV_CC_NACIONAL!A1580="","",MOV_CC_NACIONAL!A1580)</f>
        <v/>
      </c>
      <c r="B1580" s="22" t="str">
        <f>IF(MOV_CC_NACIONAL!B1580="","",MOV_CC_NACIONAL!B1580)</f>
        <v/>
      </c>
      <c r="C1580" s="21" t="str">
        <f>IF(MOV_CC_NACIONAL!C1580="","",MOV_CC_NACIONAL!C1580)</f>
        <v/>
      </c>
      <c r="D1580" s="22" t="str">
        <f t="shared" si="1"/>
        <v>Other</v>
      </c>
    </row>
    <row r="1581" ht="15.75" customHeight="1">
      <c r="A1581" s="22" t="str">
        <f>IF(MOV_CC_NACIONAL!A1581="","",MOV_CC_NACIONAL!A1581)</f>
        <v/>
      </c>
      <c r="B1581" s="22" t="str">
        <f>IF(MOV_CC_NACIONAL!B1581="","",MOV_CC_NACIONAL!B1581)</f>
        <v/>
      </c>
      <c r="C1581" s="21" t="str">
        <f>IF(MOV_CC_NACIONAL!C1581="","",MOV_CC_NACIONAL!C1581)</f>
        <v/>
      </c>
      <c r="D1581" s="22" t="str">
        <f t="shared" si="1"/>
        <v>Other</v>
      </c>
    </row>
    <row r="1582" ht="15.75" customHeight="1">
      <c r="A1582" s="22" t="str">
        <f>IF(MOV_CC_NACIONAL!A1582="","",MOV_CC_NACIONAL!A1582)</f>
        <v/>
      </c>
      <c r="B1582" s="22" t="str">
        <f>IF(MOV_CC_NACIONAL!B1582="","",MOV_CC_NACIONAL!B1582)</f>
        <v/>
      </c>
      <c r="C1582" s="21" t="str">
        <f>IF(MOV_CC_NACIONAL!C1582="","",MOV_CC_NACIONAL!C1582)</f>
        <v/>
      </c>
      <c r="D1582" s="22" t="str">
        <f t="shared" si="1"/>
        <v>Other</v>
      </c>
    </row>
    <row r="1583" ht="15.75" customHeight="1">
      <c r="A1583" s="22" t="str">
        <f>IF(MOV_CC_NACIONAL!A1583="","",MOV_CC_NACIONAL!A1583)</f>
        <v/>
      </c>
      <c r="B1583" s="22" t="str">
        <f>IF(MOV_CC_NACIONAL!B1583="","",MOV_CC_NACIONAL!B1583)</f>
        <v/>
      </c>
      <c r="C1583" s="21" t="str">
        <f>IF(MOV_CC_NACIONAL!C1583="","",MOV_CC_NACIONAL!C1583)</f>
        <v/>
      </c>
      <c r="D1583" s="22" t="str">
        <f t="shared" si="1"/>
        <v>Other</v>
      </c>
    </row>
    <row r="1584" ht="15.75" customHeight="1">
      <c r="A1584" s="22" t="str">
        <f>IF(MOV_CC_NACIONAL!A1584="","",MOV_CC_NACIONAL!A1584)</f>
        <v/>
      </c>
      <c r="B1584" s="22" t="str">
        <f>IF(MOV_CC_NACIONAL!B1584="","",MOV_CC_NACIONAL!B1584)</f>
        <v/>
      </c>
      <c r="C1584" s="21" t="str">
        <f>IF(MOV_CC_NACIONAL!C1584="","",MOV_CC_NACIONAL!C1584)</f>
        <v/>
      </c>
      <c r="D1584" s="22" t="str">
        <f t="shared" si="1"/>
        <v>Other</v>
      </c>
    </row>
    <row r="1585" ht="15.75" customHeight="1">
      <c r="A1585" s="22" t="str">
        <f>IF(MOV_CC_NACIONAL!A1585="","",MOV_CC_NACIONAL!A1585)</f>
        <v/>
      </c>
      <c r="B1585" s="22" t="str">
        <f>IF(MOV_CC_NACIONAL!B1585="","",MOV_CC_NACIONAL!B1585)</f>
        <v/>
      </c>
      <c r="C1585" s="21" t="str">
        <f>IF(MOV_CC_NACIONAL!C1585="","",MOV_CC_NACIONAL!C1585)</f>
        <v/>
      </c>
      <c r="D1585" s="22" t="str">
        <f t="shared" si="1"/>
        <v>Other</v>
      </c>
    </row>
    <row r="1586" ht="15.75" customHeight="1">
      <c r="A1586" s="22" t="str">
        <f>IF(MOV_CC_NACIONAL!A1586="","",MOV_CC_NACIONAL!A1586)</f>
        <v/>
      </c>
      <c r="B1586" s="22" t="str">
        <f>IF(MOV_CC_NACIONAL!B1586="","",MOV_CC_NACIONAL!B1586)</f>
        <v/>
      </c>
      <c r="C1586" s="21" t="str">
        <f>IF(MOV_CC_NACIONAL!C1586="","",MOV_CC_NACIONAL!C1586)</f>
        <v/>
      </c>
      <c r="D1586" s="22" t="str">
        <f t="shared" si="1"/>
        <v>Other</v>
      </c>
    </row>
    <row r="1587" ht="15.75" customHeight="1">
      <c r="A1587" s="22" t="str">
        <f>IF(MOV_CC_NACIONAL!A1587="","",MOV_CC_NACIONAL!A1587)</f>
        <v/>
      </c>
      <c r="B1587" s="22" t="str">
        <f>IF(MOV_CC_NACIONAL!B1587="","",MOV_CC_NACIONAL!B1587)</f>
        <v/>
      </c>
      <c r="C1587" s="21" t="str">
        <f>IF(MOV_CC_NACIONAL!C1587="","",MOV_CC_NACIONAL!C1587)</f>
        <v/>
      </c>
      <c r="D1587" s="22" t="str">
        <f t="shared" si="1"/>
        <v>Other</v>
      </c>
    </row>
    <row r="1588" ht="15.75" customHeight="1">
      <c r="A1588" s="22" t="str">
        <f>IF(MOV_CC_NACIONAL!A1588="","",MOV_CC_NACIONAL!A1588)</f>
        <v/>
      </c>
      <c r="B1588" s="22" t="str">
        <f>IF(MOV_CC_NACIONAL!B1588="","",MOV_CC_NACIONAL!B1588)</f>
        <v/>
      </c>
      <c r="C1588" s="21" t="str">
        <f>IF(MOV_CC_NACIONAL!C1588="","",MOV_CC_NACIONAL!C1588)</f>
        <v/>
      </c>
      <c r="D1588" s="22" t="str">
        <f t="shared" si="1"/>
        <v>Other</v>
      </c>
    </row>
    <row r="1589" ht="15.75" customHeight="1">
      <c r="A1589" s="22" t="str">
        <f>IF(MOV_CC_NACIONAL!A1589="","",MOV_CC_NACIONAL!A1589)</f>
        <v/>
      </c>
      <c r="B1589" s="22" t="str">
        <f>IF(MOV_CC_NACIONAL!B1589="","",MOV_CC_NACIONAL!B1589)</f>
        <v/>
      </c>
      <c r="C1589" s="21" t="str">
        <f>IF(MOV_CC_NACIONAL!C1589="","",MOV_CC_NACIONAL!C1589)</f>
        <v/>
      </c>
      <c r="D1589" s="22" t="str">
        <f t="shared" si="1"/>
        <v>Other</v>
      </c>
    </row>
    <row r="1590" ht="15.75" customHeight="1">
      <c r="A1590" s="22" t="str">
        <f>IF(MOV_CC_NACIONAL!A1590="","",MOV_CC_NACIONAL!A1590)</f>
        <v/>
      </c>
      <c r="B1590" s="22" t="str">
        <f>IF(MOV_CC_NACIONAL!B1590="","",MOV_CC_NACIONAL!B1590)</f>
        <v/>
      </c>
      <c r="C1590" s="21" t="str">
        <f>IF(MOV_CC_NACIONAL!C1590="","",MOV_CC_NACIONAL!C1590)</f>
        <v/>
      </c>
      <c r="D1590" s="22" t="str">
        <f t="shared" si="1"/>
        <v>Other</v>
      </c>
    </row>
    <row r="1591" ht="15.75" customHeight="1">
      <c r="A1591" s="22" t="str">
        <f>IF(MOV_CC_NACIONAL!A1591="","",MOV_CC_NACIONAL!A1591)</f>
        <v/>
      </c>
      <c r="B1591" s="22" t="str">
        <f>IF(MOV_CC_NACIONAL!B1591="","",MOV_CC_NACIONAL!B1591)</f>
        <v/>
      </c>
      <c r="C1591" s="21" t="str">
        <f>IF(MOV_CC_NACIONAL!C1591="","",MOV_CC_NACIONAL!C1591)</f>
        <v/>
      </c>
      <c r="D1591" s="22" t="str">
        <f t="shared" si="1"/>
        <v>Other</v>
      </c>
    </row>
    <row r="1592" ht="15.75" customHeight="1">
      <c r="A1592" s="22" t="str">
        <f>IF(MOV_CC_NACIONAL!A1592="","",MOV_CC_NACIONAL!A1592)</f>
        <v/>
      </c>
      <c r="B1592" s="22" t="str">
        <f>IF(MOV_CC_NACIONAL!B1592="","",MOV_CC_NACIONAL!B1592)</f>
        <v/>
      </c>
      <c r="C1592" s="21" t="str">
        <f>IF(MOV_CC_NACIONAL!C1592="","",MOV_CC_NACIONAL!C1592)</f>
        <v/>
      </c>
      <c r="D1592" s="22" t="str">
        <f t="shared" si="1"/>
        <v>Other</v>
      </c>
    </row>
    <row r="1593" ht="15.75" customHeight="1">
      <c r="A1593" s="22" t="str">
        <f>IF(MOV_CC_NACIONAL!A1593="","",MOV_CC_NACIONAL!A1593)</f>
        <v/>
      </c>
      <c r="B1593" s="22" t="str">
        <f>IF(MOV_CC_NACIONAL!B1593="","",MOV_CC_NACIONAL!B1593)</f>
        <v/>
      </c>
      <c r="C1593" s="21" t="str">
        <f>IF(MOV_CC_NACIONAL!C1593="","",MOV_CC_NACIONAL!C1593)</f>
        <v/>
      </c>
      <c r="D1593" s="22" t="str">
        <f t="shared" si="1"/>
        <v>Other</v>
      </c>
    </row>
    <row r="1594" ht="15.75" customHeight="1">
      <c r="A1594" s="22" t="str">
        <f>IF(MOV_CC_NACIONAL!A1594="","",MOV_CC_NACIONAL!A1594)</f>
        <v/>
      </c>
      <c r="B1594" s="22" t="str">
        <f>IF(MOV_CC_NACIONAL!B1594="","",MOV_CC_NACIONAL!B1594)</f>
        <v/>
      </c>
      <c r="C1594" s="21" t="str">
        <f>IF(MOV_CC_NACIONAL!C1594="","",MOV_CC_NACIONAL!C1594)</f>
        <v/>
      </c>
      <c r="D1594" s="22" t="str">
        <f t="shared" si="1"/>
        <v>Other</v>
      </c>
    </row>
    <row r="1595" ht="15.75" customHeight="1">
      <c r="A1595" s="22" t="str">
        <f>IF(MOV_CC_NACIONAL!A1595="","",MOV_CC_NACIONAL!A1595)</f>
        <v/>
      </c>
      <c r="B1595" s="22" t="str">
        <f>IF(MOV_CC_NACIONAL!B1595="","",MOV_CC_NACIONAL!B1595)</f>
        <v/>
      </c>
      <c r="C1595" s="21" t="str">
        <f>IF(MOV_CC_NACIONAL!C1595="","",MOV_CC_NACIONAL!C1595)</f>
        <v/>
      </c>
      <c r="D1595" s="22" t="str">
        <f t="shared" si="1"/>
        <v>Other</v>
      </c>
    </row>
    <row r="1596" ht="15.75" customHeight="1">
      <c r="A1596" s="22" t="str">
        <f>IF(MOV_CC_NACIONAL!A1596="","",MOV_CC_NACIONAL!A1596)</f>
        <v/>
      </c>
      <c r="B1596" s="22" t="str">
        <f>IF(MOV_CC_NACIONAL!B1596="","",MOV_CC_NACIONAL!B1596)</f>
        <v/>
      </c>
      <c r="C1596" s="21" t="str">
        <f>IF(MOV_CC_NACIONAL!C1596="","",MOV_CC_NACIONAL!C1596)</f>
        <v/>
      </c>
      <c r="D1596" s="22" t="str">
        <f t="shared" si="1"/>
        <v>Other</v>
      </c>
    </row>
    <row r="1597" ht="15.75" customHeight="1">
      <c r="A1597" s="22" t="str">
        <f>IF(MOV_CC_NACIONAL!A1597="","",MOV_CC_NACIONAL!A1597)</f>
        <v/>
      </c>
      <c r="B1597" s="22" t="str">
        <f>IF(MOV_CC_NACIONAL!B1597="","",MOV_CC_NACIONAL!B1597)</f>
        <v/>
      </c>
      <c r="C1597" s="21" t="str">
        <f>IF(MOV_CC_NACIONAL!C1597="","",MOV_CC_NACIONAL!C1597)</f>
        <v/>
      </c>
      <c r="D1597" s="22" t="str">
        <f t="shared" si="1"/>
        <v>Other</v>
      </c>
    </row>
    <row r="1598" ht="15.75" customHeight="1">
      <c r="A1598" s="22" t="str">
        <f>IF(MOV_CC_NACIONAL!A1598="","",MOV_CC_NACIONAL!A1598)</f>
        <v/>
      </c>
      <c r="B1598" s="22" t="str">
        <f>IF(MOV_CC_NACIONAL!B1598="","",MOV_CC_NACIONAL!B1598)</f>
        <v/>
      </c>
      <c r="C1598" s="21" t="str">
        <f>IF(MOV_CC_NACIONAL!C1598="","",MOV_CC_NACIONAL!C1598)</f>
        <v/>
      </c>
      <c r="D1598" s="22" t="str">
        <f t="shared" si="1"/>
        <v>Other</v>
      </c>
    </row>
    <row r="1599" ht="15.75" customHeight="1">
      <c r="A1599" s="22" t="str">
        <f>IF(MOV_CC_NACIONAL!A1599="","",MOV_CC_NACIONAL!A1599)</f>
        <v/>
      </c>
      <c r="B1599" s="22" t="str">
        <f>IF(MOV_CC_NACIONAL!B1599="","",MOV_CC_NACIONAL!B1599)</f>
        <v/>
      </c>
      <c r="C1599" s="21" t="str">
        <f>IF(MOV_CC_NACIONAL!C1599="","",MOV_CC_NACIONAL!C1599)</f>
        <v/>
      </c>
      <c r="D1599" s="22" t="str">
        <f t="shared" si="1"/>
        <v>Other</v>
      </c>
    </row>
    <row r="1600" ht="15.75" customHeight="1">
      <c r="A1600" s="22" t="str">
        <f>IF(MOV_CC_NACIONAL!A1600="","",MOV_CC_NACIONAL!A1600)</f>
        <v/>
      </c>
      <c r="B1600" s="22" t="str">
        <f>IF(MOV_CC_NACIONAL!B1600="","",MOV_CC_NACIONAL!B1600)</f>
        <v/>
      </c>
      <c r="C1600" s="21" t="str">
        <f>IF(MOV_CC_NACIONAL!C1600="","",MOV_CC_NACIONAL!C1600)</f>
        <v/>
      </c>
      <c r="D1600" s="22" t="str">
        <f t="shared" si="1"/>
        <v>Other</v>
      </c>
    </row>
    <row r="1601" ht="15.75" customHeight="1">
      <c r="A1601" s="22" t="str">
        <f>IF(MOV_CC_NACIONAL!A1601="","",MOV_CC_NACIONAL!A1601)</f>
        <v/>
      </c>
      <c r="B1601" s="22" t="str">
        <f>IF(MOV_CC_NACIONAL!B1601="","",MOV_CC_NACIONAL!B1601)</f>
        <v/>
      </c>
      <c r="C1601" s="21" t="str">
        <f>IF(MOV_CC_NACIONAL!C1601="","",MOV_CC_NACIONAL!C1601)</f>
        <v/>
      </c>
      <c r="D1601" s="22" t="str">
        <f t="shared" si="1"/>
        <v>Other</v>
      </c>
    </row>
    <row r="1602" ht="15.75" customHeight="1">
      <c r="A1602" s="22" t="str">
        <f>IF(MOV_CC_NACIONAL!A1602="","",MOV_CC_NACIONAL!A1602)</f>
        <v/>
      </c>
      <c r="B1602" s="22" t="str">
        <f>IF(MOV_CC_NACIONAL!B1602="","",MOV_CC_NACIONAL!B1602)</f>
        <v/>
      </c>
      <c r="C1602" s="21" t="str">
        <f>IF(MOV_CC_NACIONAL!C1602="","",MOV_CC_NACIONAL!C1602)</f>
        <v/>
      </c>
      <c r="D1602" s="22" t="str">
        <f t="shared" si="1"/>
        <v>Other</v>
      </c>
    </row>
    <row r="1603" ht="15.75" customHeight="1">
      <c r="A1603" s="22" t="str">
        <f>IF(MOV_CC_NACIONAL!A1603="","",MOV_CC_NACIONAL!A1603)</f>
        <v/>
      </c>
      <c r="B1603" s="22" t="str">
        <f>IF(MOV_CC_NACIONAL!B1603="","",MOV_CC_NACIONAL!B1603)</f>
        <v/>
      </c>
      <c r="C1603" s="21" t="str">
        <f>IF(MOV_CC_NACIONAL!C1603="","",MOV_CC_NACIONAL!C1603)</f>
        <v/>
      </c>
      <c r="D1603" s="22" t="str">
        <f t="shared" si="1"/>
        <v>Other</v>
      </c>
    </row>
    <row r="1604" ht="15.75" customHeight="1">
      <c r="A1604" s="22" t="str">
        <f>IF(MOV_CC_NACIONAL!A1604="","",MOV_CC_NACIONAL!A1604)</f>
        <v/>
      </c>
      <c r="B1604" s="22" t="str">
        <f>IF(MOV_CC_NACIONAL!B1604="","",MOV_CC_NACIONAL!B1604)</f>
        <v/>
      </c>
      <c r="C1604" s="21" t="str">
        <f>IF(MOV_CC_NACIONAL!C1604="","",MOV_CC_NACIONAL!C1604)</f>
        <v/>
      </c>
      <c r="D1604" s="22" t="str">
        <f t="shared" si="1"/>
        <v>Other</v>
      </c>
    </row>
    <row r="1605" ht="15.75" customHeight="1">
      <c r="A1605" s="22" t="str">
        <f>IF(MOV_CC_NACIONAL!A1605="","",MOV_CC_NACIONAL!A1605)</f>
        <v/>
      </c>
      <c r="B1605" s="22" t="str">
        <f>IF(MOV_CC_NACIONAL!B1605="","",MOV_CC_NACIONAL!B1605)</f>
        <v/>
      </c>
      <c r="C1605" s="21" t="str">
        <f>IF(MOV_CC_NACIONAL!C1605="","",MOV_CC_NACIONAL!C1605)</f>
        <v/>
      </c>
      <c r="D1605" s="22" t="str">
        <f t="shared" si="1"/>
        <v>Other</v>
      </c>
    </row>
    <row r="1606" ht="15.75" customHeight="1">
      <c r="A1606" s="22" t="str">
        <f>IF(MOV_CC_NACIONAL!A1606="","",MOV_CC_NACIONAL!A1606)</f>
        <v/>
      </c>
      <c r="B1606" s="22" t="str">
        <f>IF(MOV_CC_NACIONAL!B1606="","",MOV_CC_NACIONAL!B1606)</f>
        <v/>
      </c>
      <c r="C1606" s="21" t="str">
        <f>IF(MOV_CC_NACIONAL!C1606="","",MOV_CC_NACIONAL!C1606)</f>
        <v/>
      </c>
      <c r="D1606" s="22" t="str">
        <f t="shared" si="1"/>
        <v>Other</v>
      </c>
    </row>
    <row r="1607" ht="15.75" customHeight="1">
      <c r="A1607" s="22" t="str">
        <f>IF(MOV_CC_NACIONAL!A1607="","",MOV_CC_NACIONAL!A1607)</f>
        <v/>
      </c>
      <c r="B1607" s="22" t="str">
        <f>IF(MOV_CC_NACIONAL!B1607="","",MOV_CC_NACIONAL!B1607)</f>
        <v/>
      </c>
      <c r="C1607" s="21" t="str">
        <f>IF(MOV_CC_NACIONAL!C1607="","",MOV_CC_NACIONAL!C1607)</f>
        <v/>
      </c>
      <c r="D1607" s="22" t="str">
        <f t="shared" si="1"/>
        <v>Other</v>
      </c>
    </row>
    <row r="1608" ht="15.75" customHeight="1">
      <c r="A1608" s="22" t="str">
        <f>IF(MOV_CC_NACIONAL!A1608="","",MOV_CC_NACIONAL!A1608)</f>
        <v/>
      </c>
      <c r="B1608" s="22" t="str">
        <f>IF(MOV_CC_NACIONAL!B1608="","",MOV_CC_NACIONAL!B1608)</f>
        <v/>
      </c>
      <c r="C1608" s="21" t="str">
        <f>IF(MOV_CC_NACIONAL!C1608="","",MOV_CC_NACIONAL!C1608)</f>
        <v/>
      </c>
      <c r="D1608" s="22" t="str">
        <f t="shared" si="1"/>
        <v>Other</v>
      </c>
    </row>
    <row r="1609" ht="15.75" customHeight="1">
      <c r="A1609" s="22" t="str">
        <f>IF(MOV_CC_NACIONAL!A1609="","",MOV_CC_NACIONAL!A1609)</f>
        <v/>
      </c>
      <c r="B1609" s="22" t="str">
        <f>IF(MOV_CC_NACIONAL!B1609="","",MOV_CC_NACIONAL!B1609)</f>
        <v/>
      </c>
      <c r="C1609" s="21" t="str">
        <f>IF(MOV_CC_NACIONAL!C1609="","",MOV_CC_NACIONAL!C1609)</f>
        <v/>
      </c>
      <c r="D1609" s="22" t="str">
        <f t="shared" si="1"/>
        <v>Other</v>
      </c>
    </row>
    <row r="1610" ht="15.75" customHeight="1">
      <c r="A1610" s="22" t="str">
        <f>IF(MOV_CC_NACIONAL!A1610="","",MOV_CC_NACIONAL!A1610)</f>
        <v/>
      </c>
      <c r="B1610" s="22" t="str">
        <f>IF(MOV_CC_NACIONAL!B1610="","",MOV_CC_NACIONAL!B1610)</f>
        <v/>
      </c>
      <c r="C1610" s="21" t="str">
        <f>IF(MOV_CC_NACIONAL!C1610="","",MOV_CC_NACIONAL!C1610)</f>
        <v/>
      </c>
      <c r="D1610" s="22" t="str">
        <f t="shared" si="1"/>
        <v>Other</v>
      </c>
    </row>
    <row r="1611" ht="15.75" customHeight="1">
      <c r="A1611" s="22" t="str">
        <f>IF(MOV_CC_NACIONAL!A1611="","",MOV_CC_NACIONAL!A1611)</f>
        <v/>
      </c>
      <c r="B1611" s="22" t="str">
        <f>IF(MOV_CC_NACIONAL!B1611="","",MOV_CC_NACIONAL!B1611)</f>
        <v/>
      </c>
      <c r="C1611" s="21" t="str">
        <f>IF(MOV_CC_NACIONAL!C1611="","",MOV_CC_NACIONAL!C1611)</f>
        <v/>
      </c>
      <c r="D1611" s="22" t="str">
        <f t="shared" si="1"/>
        <v>Other</v>
      </c>
    </row>
    <row r="1612" ht="15.75" customHeight="1">
      <c r="A1612" s="22" t="str">
        <f>IF(MOV_CC_NACIONAL!A1612="","",MOV_CC_NACIONAL!A1612)</f>
        <v/>
      </c>
      <c r="B1612" s="22" t="str">
        <f>IF(MOV_CC_NACIONAL!B1612="","",MOV_CC_NACIONAL!B1612)</f>
        <v/>
      </c>
      <c r="C1612" s="21" t="str">
        <f>IF(MOV_CC_NACIONAL!C1612="","",MOV_CC_NACIONAL!C1612)</f>
        <v/>
      </c>
      <c r="D1612" s="22" t="str">
        <f t="shared" si="1"/>
        <v>Other</v>
      </c>
    </row>
    <row r="1613" ht="15.75" customHeight="1">
      <c r="A1613" s="22" t="str">
        <f>IF(MOV_CC_NACIONAL!A1613="","",MOV_CC_NACIONAL!A1613)</f>
        <v/>
      </c>
      <c r="B1613" s="22" t="str">
        <f>IF(MOV_CC_NACIONAL!B1613="","",MOV_CC_NACIONAL!B1613)</f>
        <v/>
      </c>
      <c r="C1613" s="21" t="str">
        <f>IF(MOV_CC_NACIONAL!C1613="","",MOV_CC_NACIONAL!C1613)</f>
        <v/>
      </c>
      <c r="D1613" s="22" t="str">
        <f t="shared" si="1"/>
        <v>Other</v>
      </c>
    </row>
    <row r="1614" ht="15.75" customHeight="1">
      <c r="A1614" s="22" t="str">
        <f>IF(MOV_CC_NACIONAL!A1614="","",MOV_CC_NACIONAL!A1614)</f>
        <v/>
      </c>
      <c r="B1614" s="22" t="str">
        <f>IF(MOV_CC_NACIONAL!B1614="","",MOV_CC_NACIONAL!B1614)</f>
        <v/>
      </c>
      <c r="C1614" s="21" t="str">
        <f>IF(MOV_CC_NACIONAL!C1614="","",MOV_CC_NACIONAL!C1614)</f>
        <v/>
      </c>
      <c r="D1614" s="22" t="str">
        <f t="shared" si="1"/>
        <v>Other</v>
      </c>
    </row>
    <row r="1615" ht="15.75" customHeight="1">
      <c r="A1615" s="22" t="str">
        <f>IF(MOV_CC_NACIONAL!A1615="","",MOV_CC_NACIONAL!A1615)</f>
        <v/>
      </c>
      <c r="B1615" s="22" t="str">
        <f>IF(MOV_CC_NACIONAL!B1615="","",MOV_CC_NACIONAL!B1615)</f>
        <v/>
      </c>
      <c r="C1615" s="21" t="str">
        <f>IF(MOV_CC_NACIONAL!C1615="","",MOV_CC_NACIONAL!C1615)</f>
        <v/>
      </c>
      <c r="D1615" s="22" t="str">
        <f t="shared" si="1"/>
        <v>Other</v>
      </c>
    </row>
    <row r="1616" ht="15.75" customHeight="1">
      <c r="A1616" s="22" t="str">
        <f>IF(MOV_CC_NACIONAL!A1616="","",MOV_CC_NACIONAL!A1616)</f>
        <v/>
      </c>
      <c r="B1616" s="22" t="str">
        <f>IF(MOV_CC_NACIONAL!B1616="","",MOV_CC_NACIONAL!B1616)</f>
        <v/>
      </c>
      <c r="C1616" s="21" t="str">
        <f>IF(MOV_CC_NACIONAL!C1616="","",MOV_CC_NACIONAL!C1616)</f>
        <v/>
      </c>
      <c r="D1616" s="22" t="str">
        <f t="shared" si="1"/>
        <v>Other</v>
      </c>
    </row>
    <row r="1617" ht="15.75" customHeight="1">
      <c r="A1617" s="22" t="str">
        <f>IF(MOV_CC_NACIONAL!A1617="","",MOV_CC_NACIONAL!A1617)</f>
        <v/>
      </c>
      <c r="B1617" s="22" t="str">
        <f>IF(MOV_CC_NACIONAL!B1617="","",MOV_CC_NACIONAL!B1617)</f>
        <v/>
      </c>
      <c r="C1617" s="21" t="str">
        <f>IF(MOV_CC_NACIONAL!C1617="","",MOV_CC_NACIONAL!C1617)</f>
        <v/>
      </c>
      <c r="D1617" s="22" t="str">
        <f t="shared" si="1"/>
        <v>Other</v>
      </c>
    </row>
    <row r="1618" ht="15.75" customHeight="1">
      <c r="A1618" s="22" t="str">
        <f>IF(MOV_CC_NACIONAL!A1618="","",MOV_CC_NACIONAL!A1618)</f>
        <v/>
      </c>
      <c r="B1618" s="22" t="str">
        <f>IF(MOV_CC_NACIONAL!B1618="","",MOV_CC_NACIONAL!B1618)</f>
        <v/>
      </c>
      <c r="C1618" s="21" t="str">
        <f>IF(MOV_CC_NACIONAL!C1618="","",MOV_CC_NACIONAL!C1618)</f>
        <v/>
      </c>
      <c r="D1618" s="22" t="str">
        <f t="shared" si="1"/>
        <v>Other</v>
      </c>
    </row>
    <row r="1619" ht="15.75" customHeight="1">
      <c r="A1619" s="22" t="str">
        <f>IF(MOV_CC_NACIONAL!A1619="","",MOV_CC_NACIONAL!A1619)</f>
        <v/>
      </c>
      <c r="B1619" s="22" t="str">
        <f>IF(MOV_CC_NACIONAL!B1619="","",MOV_CC_NACIONAL!B1619)</f>
        <v/>
      </c>
      <c r="C1619" s="21" t="str">
        <f>IF(MOV_CC_NACIONAL!C1619="","",MOV_CC_NACIONAL!C1619)</f>
        <v/>
      </c>
      <c r="D1619" s="22" t="str">
        <f t="shared" si="1"/>
        <v>Other</v>
      </c>
    </row>
    <row r="1620" ht="15.75" customHeight="1">
      <c r="A1620" s="22" t="str">
        <f>IF(MOV_CC_NACIONAL!A1620="","",MOV_CC_NACIONAL!A1620)</f>
        <v/>
      </c>
      <c r="B1620" s="22" t="str">
        <f>IF(MOV_CC_NACIONAL!B1620="","",MOV_CC_NACIONAL!B1620)</f>
        <v/>
      </c>
      <c r="C1620" s="21" t="str">
        <f>IF(MOV_CC_NACIONAL!C1620="","",MOV_CC_NACIONAL!C1620)</f>
        <v/>
      </c>
      <c r="D1620" s="22" t="str">
        <f t="shared" si="1"/>
        <v>Other</v>
      </c>
    </row>
    <row r="1621" ht="15.75" customHeight="1">
      <c r="A1621" s="22" t="str">
        <f>IF(MOV_CC_NACIONAL!A1621="","",MOV_CC_NACIONAL!A1621)</f>
        <v/>
      </c>
      <c r="B1621" s="22" t="str">
        <f>IF(MOV_CC_NACIONAL!B1621="","",MOV_CC_NACIONAL!B1621)</f>
        <v/>
      </c>
      <c r="C1621" s="21" t="str">
        <f>IF(MOV_CC_NACIONAL!C1621="","",MOV_CC_NACIONAL!C1621)</f>
        <v/>
      </c>
      <c r="D1621" s="22" t="str">
        <f t="shared" si="1"/>
        <v>Other</v>
      </c>
    </row>
    <row r="1622" ht="15.75" customHeight="1">
      <c r="A1622" s="22" t="str">
        <f>IF(MOV_CC_NACIONAL!A1622="","",MOV_CC_NACIONAL!A1622)</f>
        <v/>
      </c>
      <c r="B1622" s="22" t="str">
        <f>IF(MOV_CC_NACIONAL!B1622="","",MOV_CC_NACIONAL!B1622)</f>
        <v/>
      </c>
      <c r="C1622" s="21" t="str">
        <f>IF(MOV_CC_NACIONAL!C1622="","",MOV_CC_NACIONAL!C1622)</f>
        <v/>
      </c>
      <c r="D1622" s="22" t="str">
        <f t="shared" si="1"/>
        <v>Other</v>
      </c>
    </row>
    <row r="1623" ht="15.75" customHeight="1">
      <c r="A1623" s="22" t="str">
        <f>IF(MOV_CC_NACIONAL!A1623="","",MOV_CC_NACIONAL!A1623)</f>
        <v/>
      </c>
      <c r="B1623" s="22" t="str">
        <f>IF(MOV_CC_NACIONAL!B1623="","",MOV_CC_NACIONAL!B1623)</f>
        <v/>
      </c>
      <c r="C1623" s="21" t="str">
        <f>IF(MOV_CC_NACIONAL!C1623="","",MOV_CC_NACIONAL!C1623)</f>
        <v/>
      </c>
      <c r="D1623" s="22" t="str">
        <f t="shared" si="1"/>
        <v>Other</v>
      </c>
    </row>
    <row r="1624" ht="15.75" customHeight="1">
      <c r="A1624" s="22" t="str">
        <f>IF(MOV_CC_NACIONAL!A1624="","",MOV_CC_NACIONAL!A1624)</f>
        <v/>
      </c>
      <c r="B1624" s="22" t="str">
        <f>IF(MOV_CC_NACIONAL!B1624="","",MOV_CC_NACIONAL!B1624)</f>
        <v/>
      </c>
      <c r="C1624" s="21" t="str">
        <f>IF(MOV_CC_NACIONAL!C1624="","",MOV_CC_NACIONAL!C1624)</f>
        <v/>
      </c>
      <c r="D1624" s="22" t="str">
        <f t="shared" si="1"/>
        <v>Other</v>
      </c>
    </row>
    <row r="1625" ht="15.75" customHeight="1">
      <c r="A1625" s="22" t="str">
        <f>IF(MOV_CC_NACIONAL!A1625="","",MOV_CC_NACIONAL!A1625)</f>
        <v/>
      </c>
      <c r="B1625" s="22" t="str">
        <f>IF(MOV_CC_NACIONAL!B1625="","",MOV_CC_NACIONAL!B1625)</f>
        <v/>
      </c>
      <c r="C1625" s="21" t="str">
        <f>IF(MOV_CC_NACIONAL!C1625="","",MOV_CC_NACIONAL!C1625)</f>
        <v/>
      </c>
      <c r="D1625" s="22" t="str">
        <f t="shared" si="1"/>
        <v>Other</v>
      </c>
    </row>
    <row r="1626" ht="15.75" customHeight="1">
      <c r="A1626" s="22" t="str">
        <f>IF(MOV_CC_NACIONAL!A1626="","",MOV_CC_NACIONAL!A1626)</f>
        <v/>
      </c>
      <c r="B1626" s="22" t="str">
        <f>IF(MOV_CC_NACIONAL!B1626="","",MOV_CC_NACIONAL!B1626)</f>
        <v/>
      </c>
      <c r="C1626" s="21" t="str">
        <f>IF(MOV_CC_NACIONAL!C1626="","",MOV_CC_NACIONAL!C1626)</f>
        <v/>
      </c>
      <c r="D1626" s="22" t="str">
        <f t="shared" si="1"/>
        <v>Other</v>
      </c>
    </row>
    <row r="1627" ht="15.75" customHeight="1">
      <c r="A1627" s="22" t="str">
        <f>IF(MOV_CC_NACIONAL!A1627="","",MOV_CC_NACIONAL!A1627)</f>
        <v/>
      </c>
      <c r="B1627" s="22" t="str">
        <f>IF(MOV_CC_NACIONAL!B1627="","",MOV_CC_NACIONAL!B1627)</f>
        <v/>
      </c>
      <c r="C1627" s="21" t="str">
        <f>IF(MOV_CC_NACIONAL!C1627="","",MOV_CC_NACIONAL!C1627)</f>
        <v/>
      </c>
      <c r="D1627" s="22" t="str">
        <f t="shared" si="1"/>
        <v>Other</v>
      </c>
    </row>
    <row r="1628" ht="15.75" customHeight="1">
      <c r="A1628" s="22" t="str">
        <f>IF(MOV_CC_NACIONAL!A1628="","",MOV_CC_NACIONAL!A1628)</f>
        <v/>
      </c>
      <c r="B1628" s="22" t="str">
        <f>IF(MOV_CC_NACIONAL!B1628="","",MOV_CC_NACIONAL!B1628)</f>
        <v/>
      </c>
      <c r="C1628" s="21" t="str">
        <f>IF(MOV_CC_NACIONAL!C1628="","",MOV_CC_NACIONAL!C1628)</f>
        <v/>
      </c>
      <c r="D1628" s="22" t="str">
        <f t="shared" si="1"/>
        <v>Other</v>
      </c>
    </row>
    <row r="1629" ht="15.75" customHeight="1">
      <c r="A1629" s="22" t="str">
        <f>IF(MOV_CC_NACIONAL!A1629="","",MOV_CC_NACIONAL!A1629)</f>
        <v/>
      </c>
      <c r="B1629" s="22" t="str">
        <f>IF(MOV_CC_NACIONAL!B1629="","",MOV_CC_NACIONAL!B1629)</f>
        <v/>
      </c>
      <c r="C1629" s="21" t="str">
        <f>IF(MOV_CC_NACIONAL!C1629="","",MOV_CC_NACIONAL!C1629)</f>
        <v/>
      </c>
      <c r="D1629" s="22" t="str">
        <f t="shared" si="1"/>
        <v>Other</v>
      </c>
    </row>
    <row r="1630" ht="15.75" customHeight="1">
      <c r="A1630" s="22" t="str">
        <f>IF(MOV_CC_NACIONAL!A1630="","",MOV_CC_NACIONAL!A1630)</f>
        <v/>
      </c>
      <c r="B1630" s="22" t="str">
        <f>IF(MOV_CC_NACIONAL!B1630="","",MOV_CC_NACIONAL!B1630)</f>
        <v/>
      </c>
      <c r="C1630" s="21" t="str">
        <f>IF(MOV_CC_NACIONAL!C1630="","",MOV_CC_NACIONAL!C1630)</f>
        <v/>
      </c>
      <c r="D1630" s="22" t="str">
        <f t="shared" si="1"/>
        <v>Other</v>
      </c>
    </row>
    <row r="1631" ht="15.75" customHeight="1">
      <c r="A1631" s="22" t="str">
        <f>IF(MOV_CC_NACIONAL!A1631="","",MOV_CC_NACIONAL!A1631)</f>
        <v/>
      </c>
      <c r="B1631" s="22" t="str">
        <f>IF(MOV_CC_NACIONAL!B1631="","",MOV_CC_NACIONAL!B1631)</f>
        <v/>
      </c>
      <c r="C1631" s="21" t="str">
        <f>IF(MOV_CC_NACIONAL!C1631="","",MOV_CC_NACIONAL!C1631)</f>
        <v/>
      </c>
      <c r="D1631" s="22" t="str">
        <f t="shared" si="1"/>
        <v>Other</v>
      </c>
    </row>
    <row r="1632" ht="15.75" customHeight="1">
      <c r="A1632" s="22" t="str">
        <f>IF(MOV_CC_NACIONAL!A1632="","",MOV_CC_NACIONAL!A1632)</f>
        <v/>
      </c>
      <c r="B1632" s="22" t="str">
        <f>IF(MOV_CC_NACIONAL!B1632="","",MOV_CC_NACIONAL!B1632)</f>
        <v/>
      </c>
      <c r="C1632" s="21" t="str">
        <f>IF(MOV_CC_NACIONAL!C1632="","",MOV_CC_NACIONAL!C1632)</f>
        <v/>
      </c>
      <c r="D1632" s="22" t="str">
        <f t="shared" si="1"/>
        <v>Other</v>
      </c>
    </row>
    <row r="1633" ht="15.75" customHeight="1">
      <c r="A1633" s="22" t="str">
        <f>IF(MOV_CC_NACIONAL!A1633="","",MOV_CC_NACIONAL!A1633)</f>
        <v/>
      </c>
      <c r="B1633" s="22" t="str">
        <f>IF(MOV_CC_NACIONAL!B1633="","",MOV_CC_NACIONAL!B1633)</f>
        <v/>
      </c>
      <c r="C1633" s="21" t="str">
        <f>IF(MOV_CC_NACIONAL!C1633="","",MOV_CC_NACIONAL!C1633)</f>
        <v/>
      </c>
      <c r="D1633" s="22" t="str">
        <f t="shared" si="1"/>
        <v>Other</v>
      </c>
    </row>
    <row r="1634" ht="15.75" customHeight="1">
      <c r="A1634" s="22" t="str">
        <f>IF(MOV_CC_NACIONAL!A1634="","",MOV_CC_NACIONAL!A1634)</f>
        <v/>
      </c>
      <c r="B1634" s="22" t="str">
        <f>IF(MOV_CC_NACIONAL!B1634="","",MOV_CC_NACIONAL!B1634)</f>
        <v/>
      </c>
      <c r="C1634" s="21" t="str">
        <f>IF(MOV_CC_NACIONAL!C1634="","",MOV_CC_NACIONAL!C1634)</f>
        <v/>
      </c>
      <c r="D1634" s="22" t="str">
        <f t="shared" si="1"/>
        <v>Other</v>
      </c>
    </row>
    <row r="1635" ht="15.75" customHeight="1">
      <c r="A1635" s="22" t="str">
        <f>IF(MOV_CC_NACIONAL!A1635="","",MOV_CC_NACIONAL!A1635)</f>
        <v/>
      </c>
      <c r="B1635" s="22" t="str">
        <f>IF(MOV_CC_NACIONAL!B1635="","",MOV_CC_NACIONAL!B1635)</f>
        <v/>
      </c>
      <c r="C1635" s="21" t="str">
        <f>IF(MOV_CC_NACIONAL!C1635="","",MOV_CC_NACIONAL!C1635)</f>
        <v/>
      </c>
      <c r="D1635" s="22" t="str">
        <f t="shared" si="1"/>
        <v>Other</v>
      </c>
    </row>
    <row r="1636" ht="15.75" customHeight="1">
      <c r="A1636" s="22" t="str">
        <f>IF(MOV_CC_NACIONAL!A1636="","",MOV_CC_NACIONAL!A1636)</f>
        <v/>
      </c>
      <c r="B1636" s="22" t="str">
        <f>IF(MOV_CC_NACIONAL!B1636="","",MOV_CC_NACIONAL!B1636)</f>
        <v/>
      </c>
      <c r="C1636" s="21" t="str">
        <f>IF(MOV_CC_NACIONAL!C1636="","",MOV_CC_NACIONAL!C1636)</f>
        <v/>
      </c>
      <c r="D1636" s="22" t="str">
        <f t="shared" si="1"/>
        <v>Other</v>
      </c>
    </row>
    <row r="1637" ht="15.75" customHeight="1">
      <c r="A1637" s="22" t="str">
        <f>IF(MOV_CC_NACIONAL!A1637="","",MOV_CC_NACIONAL!A1637)</f>
        <v/>
      </c>
      <c r="B1637" s="22" t="str">
        <f>IF(MOV_CC_NACIONAL!B1637="","",MOV_CC_NACIONAL!B1637)</f>
        <v/>
      </c>
      <c r="C1637" s="21" t="str">
        <f>IF(MOV_CC_NACIONAL!C1637="","",MOV_CC_NACIONAL!C1637)</f>
        <v/>
      </c>
      <c r="D1637" s="22" t="str">
        <f t="shared" si="1"/>
        <v>Other</v>
      </c>
    </row>
    <row r="1638" ht="15.75" customHeight="1">
      <c r="A1638" s="22" t="str">
        <f>IF(MOV_CC_NACIONAL!A1638="","",MOV_CC_NACIONAL!A1638)</f>
        <v/>
      </c>
      <c r="B1638" s="22" t="str">
        <f>IF(MOV_CC_NACIONAL!B1638="","",MOV_CC_NACIONAL!B1638)</f>
        <v/>
      </c>
      <c r="C1638" s="21" t="str">
        <f>IF(MOV_CC_NACIONAL!C1638="","",MOV_CC_NACIONAL!C1638)</f>
        <v/>
      </c>
      <c r="D1638" s="22" t="str">
        <f t="shared" si="1"/>
        <v>Other</v>
      </c>
    </row>
    <row r="1639" ht="15.75" customHeight="1">
      <c r="A1639" s="22" t="str">
        <f>IF(MOV_CC_NACIONAL!A1639="","",MOV_CC_NACIONAL!A1639)</f>
        <v/>
      </c>
      <c r="B1639" s="22" t="str">
        <f>IF(MOV_CC_NACIONAL!B1639="","",MOV_CC_NACIONAL!B1639)</f>
        <v/>
      </c>
      <c r="C1639" s="21" t="str">
        <f>IF(MOV_CC_NACIONAL!C1639="","",MOV_CC_NACIONAL!C1639)</f>
        <v/>
      </c>
      <c r="D1639" s="22" t="str">
        <f t="shared" si="1"/>
        <v>Other</v>
      </c>
    </row>
    <row r="1640" ht="15.75" customHeight="1">
      <c r="A1640" s="22" t="str">
        <f>IF(MOV_CC_NACIONAL!A1640="","",MOV_CC_NACIONAL!A1640)</f>
        <v/>
      </c>
      <c r="B1640" s="22" t="str">
        <f>IF(MOV_CC_NACIONAL!B1640="","",MOV_CC_NACIONAL!B1640)</f>
        <v/>
      </c>
      <c r="C1640" s="21" t="str">
        <f>IF(MOV_CC_NACIONAL!C1640="","",MOV_CC_NACIONAL!C1640)</f>
        <v/>
      </c>
      <c r="D1640" s="22" t="str">
        <f t="shared" si="1"/>
        <v>Other</v>
      </c>
    </row>
    <row r="1641" ht="15.75" customHeight="1">
      <c r="A1641" s="22" t="str">
        <f>IF(MOV_CC_NACIONAL!A1641="","",MOV_CC_NACIONAL!A1641)</f>
        <v/>
      </c>
      <c r="B1641" s="22" t="str">
        <f>IF(MOV_CC_NACIONAL!B1641="","",MOV_CC_NACIONAL!B1641)</f>
        <v/>
      </c>
      <c r="C1641" s="21" t="str">
        <f>IF(MOV_CC_NACIONAL!C1641="","",MOV_CC_NACIONAL!C1641)</f>
        <v/>
      </c>
      <c r="D1641" s="22" t="str">
        <f t="shared" si="1"/>
        <v>Other</v>
      </c>
    </row>
    <row r="1642" ht="15.75" customHeight="1">
      <c r="A1642" s="22" t="str">
        <f>IF(MOV_CC_NACIONAL!A1642="","",MOV_CC_NACIONAL!A1642)</f>
        <v/>
      </c>
      <c r="B1642" s="22" t="str">
        <f>IF(MOV_CC_NACIONAL!B1642="","",MOV_CC_NACIONAL!B1642)</f>
        <v/>
      </c>
      <c r="C1642" s="21" t="str">
        <f>IF(MOV_CC_NACIONAL!C1642="","",MOV_CC_NACIONAL!C1642)</f>
        <v/>
      </c>
      <c r="D1642" s="22" t="str">
        <f t="shared" si="1"/>
        <v>Other</v>
      </c>
    </row>
    <row r="1643" ht="15.75" customHeight="1">
      <c r="A1643" s="22" t="str">
        <f>IF(MOV_CC_NACIONAL!A1643="","",MOV_CC_NACIONAL!A1643)</f>
        <v/>
      </c>
      <c r="B1643" s="22" t="str">
        <f>IF(MOV_CC_NACIONAL!B1643="","",MOV_CC_NACIONAL!B1643)</f>
        <v/>
      </c>
      <c r="C1643" s="21" t="str">
        <f>IF(MOV_CC_NACIONAL!C1643="","",MOV_CC_NACIONAL!C1643)</f>
        <v/>
      </c>
      <c r="D1643" s="22" t="str">
        <f t="shared" si="1"/>
        <v>Other</v>
      </c>
    </row>
    <row r="1644" ht="15.75" customHeight="1">
      <c r="A1644" s="22" t="str">
        <f>IF(MOV_CC_NACIONAL!A1644="","",MOV_CC_NACIONAL!A1644)</f>
        <v/>
      </c>
      <c r="B1644" s="22" t="str">
        <f>IF(MOV_CC_NACIONAL!B1644="","",MOV_CC_NACIONAL!B1644)</f>
        <v/>
      </c>
      <c r="C1644" s="21" t="str">
        <f>IF(MOV_CC_NACIONAL!C1644="","",MOV_CC_NACIONAL!C1644)</f>
        <v/>
      </c>
      <c r="D1644" s="22" t="str">
        <f t="shared" si="1"/>
        <v>Other</v>
      </c>
    </row>
    <row r="1645" ht="15.75" customHeight="1">
      <c r="A1645" s="22" t="str">
        <f>IF(MOV_CC_NACIONAL!A1645="","",MOV_CC_NACIONAL!A1645)</f>
        <v/>
      </c>
      <c r="B1645" s="22" t="str">
        <f>IF(MOV_CC_NACIONAL!B1645="","",MOV_CC_NACIONAL!B1645)</f>
        <v/>
      </c>
      <c r="C1645" s="21" t="str">
        <f>IF(MOV_CC_NACIONAL!C1645="","",MOV_CC_NACIONAL!C1645)</f>
        <v/>
      </c>
      <c r="D1645" s="22" t="str">
        <f t="shared" si="1"/>
        <v>Other</v>
      </c>
    </row>
    <row r="1646" ht="15.75" customHeight="1">
      <c r="A1646" s="22" t="str">
        <f>IF(MOV_CC_NACIONAL!A1646="","",MOV_CC_NACIONAL!A1646)</f>
        <v/>
      </c>
      <c r="B1646" s="22" t="str">
        <f>IF(MOV_CC_NACIONAL!B1646="","",MOV_CC_NACIONAL!B1646)</f>
        <v/>
      </c>
      <c r="C1646" s="21" t="str">
        <f>IF(MOV_CC_NACIONAL!C1646="","",MOV_CC_NACIONAL!C1646)</f>
        <v/>
      </c>
      <c r="D1646" s="22" t="str">
        <f t="shared" si="1"/>
        <v>Other</v>
      </c>
    </row>
    <row r="1647" ht="15.75" customHeight="1">
      <c r="A1647" s="22" t="str">
        <f>IF(MOV_CC_NACIONAL!A1647="","",MOV_CC_NACIONAL!A1647)</f>
        <v/>
      </c>
      <c r="B1647" s="22" t="str">
        <f>IF(MOV_CC_NACIONAL!B1647="","",MOV_CC_NACIONAL!B1647)</f>
        <v/>
      </c>
      <c r="C1647" s="21" t="str">
        <f>IF(MOV_CC_NACIONAL!C1647="","",MOV_CC_NACIONAL!C1647)</f>
        <v/>
      </c>
      <c r="D1647" s="22" t="str">
        <f t="shared" si="1"/>
        <v>Other</v>
      </c>
    </row>
    <row r="1648" ht="15.75" customHeight="1">
      <c r="A1648" s="22" t="str">
        <f>IF(MOV_CC_NACIONAL!A1648="","",MOV_CC_NACIONAL!A1648)</f>
        <v/>
      </c>
      <c r="B1648" s="22" t="str">
        <f>IF(MOV_CC_NACIONAL!B1648="","",MOV_CC_NACIONAL!B1648)</f>
        <v/>
      </c>
      <c r="C1648" s="21" t="str">
        <f>IF(MOV_CC_NACIONAL!C1648="","",MOV_CC_NACIONAL!C1648)</f>
        <v/>
      </c>
      <c r="D1648" s="22" t="str">
        <f t="shared" si="1"/>
        <v>Other</v>
      </c>
    </row>
    <row r="1649" ht="15.75" customHeight="1">
      <c r="A1649" s="22" t="str">
        <f>IF(MOV_CC_NACIONAL!A1649="","",MOV_CC_NACIONAL!A1649)</f>
        <v/>
      </c>
      <c r="B1649" s="22" t="str">
        <f>IF(MOV_CC_NACIONAL!B1649="","",MOV_CC_NACIONAL!B1649)</f>
        <v/>
      </c>
      <c r="C1649" s="21" t="str">
        <f>IF(MOV_CC_NACIONAL!C1649="","",MOV_CC_NACIONAL!C1649)</f>
        <v/>
      </c>
      <c r="D1649" s="22" t="str">
        <f t="shared" si="1"/>
        <v>Other</v>
      </c>
    </row>
    <row r="1650" ht="15.75" customHeight="1">
      <c r="A1650" s="22" t="str">
        <f>IF(MOV_CC_NACIONAL!A1650="","",MOV_CC_NACIONAL!A1650)</f>
        <v/>
      </c>
      <c r="B1650" s="22" t="str">
        <f>IF(MOV_CC_NACIONAL!B1650="","",MOV_CC_NACIONAL!B1650)</f>
        <v/>
      </c>
      <c r="C1650" s="21" t="str">
        <f>IF(MOV_CC_NACIONAL!C1650="","",MOV_CC_NACIONAL!C1650)</f>
        <v/>
      </c>
      <c r="D1650" s="22" t="str">
        <f t="shared" si="1"/>
        <v>Other</v>
      </c>
    </row>
    <row r="1651" ht="15.75" customHeight="1">
      <c r="A1651" s="22" t="str">
        <f>IF(MOV_CC_NACIONAL!A1651="","",MOV_CC_NACIONAL!A1651)</f>
        <v/>
      </c>
      <c r="B1651" s="22" t="str">
        <f>IF(MOV_CC_NACIONAL!B1651="","",MOV_CC_NACIONAL!B1651)</f>
        <v/>
      </c>
      <c r="C1651" s="21" t="str">
        <f>IF(MOV_CC_NACIONAL!C1651="","",MOV_CC_NACIONAL!C1651)</f>
        <v/>
      </c>
      <c r="D1651" s="22" t="str">
        <f t="shared" si="1"/>
        <v>Other</v>
      </c>
    </row>
    <row r="1652" ht="15.75" customHeight="1">
      <c r="A1652" s="22" t="str">
        <f>IF(MOV_CC_NACIONAL!A1652="","",MOV_CC_NACIONAL!A1652)</f>
        <v/>
      </c>
      <c r="B1652" s="22" t="str">
        <f>IF(MOV_CC_NACIONAL!B1652="","",MOV_CC_NACIONAL!B1652)</f>
        <v/>
      </c>
      <c r="C1652" s="21" t="str">
        <f>IF(MOV_CC_NACIONAL!C1652="","",MOV_CC_NACIONAL!C1652)</f>
        <v/>
      </c>
      <c r="D1652" s="22" t="str">
        <f t="shared" si="1"/>
        <v>Other</v>
      </c>
    </row>
    <row r="1653" ht="15.75" customHeight="1">
      <c r="A1653" s="22" t="str">
        <f>IF(MOV_CC_NACIONAL!A1653="","",MOV_CC_NACIONAL!A1653)</f>
        <v/>
      </c>
      <c r="B1653" s="22" t="str">
        <f>IF(MOV_CC_NACIONAL!B1653="","",MOV_CC_NACIONAL!B1653)</f>
        <v/>
      </c>
      <c r="C1653" s="21" t="str">
        <f>IF(MOV_CC_NACIONAL!C1653="","",MOV_CC_NACIONAL!C1653)</f>
        <v/>
      </c>
      <c r="D1653" s="22" t="str">
        <f t="shared" si="1"/>
        <v>Other</v>
      </c>
    </row>
    <row r="1654" ht="15.75" customHeight="1">
      <c r="A1654" s="22" t="str">
        <f>IF(MOV_CC_NACIONAL!A1654="","",MOV_CC_NACIONAL!A1654)</f>
        <v/>
      </c>
      <c r="B1654" s="22" t="str">
        <f>IF(MOV_CC_NACIONAL!B1654="","",MOV_CC_NACIONAL!B1654)</f>
        <v/>
      </c>
      <c r="C1654" s="21" t="str">
        <f>IF(MOV_CC_NACIONAL!C1654="","",MOV_CC_NACIONAL!C1654)</f>
        <v/>
      </c>
      <c r="D1654" s="22" t="str">
        <f t="shared" si="1"/>
        <v>Other</v>
      </c>
    </row>
    <row r="1655" ht="15.75" customHeight="1">
      <c r="A1655" s="22" t="str">
        <f>IF(MOV_CC_NACIONAL!A1655="","",MOV_CC_NACIONAL!A1655)</f>
        <v/>
      </c>
      <c r="B1655" s="22" t="str">
        <f>IF(MOV_CC_NACIONAL!B1655="","",MOV_CC_NACIONAL!B1655)</f>
        <v/>
      </c>
      <c r="C1655" s="21" t="str">
        <f>IF(MOV_CC_NACIONAL!C1655="","",MOV_CC_NACIONAL!C1655)</f>
        <v/>
      </c>
      <c r="D1655" s="22" t="str">
        <f t="shared" si="1"/>
        <v>Other</v>
      </c>
    </row>
    <row r="1656" ht="15.75" customHeight="1">
      <c r="A1656" s="22" t="str">
        <f>IF(MOV_CC_NACIONAL!A1656="","",MOV_CC_NACIONAL!A1656)</f>
        <v/>
      </c>
      <c r="B1656" s="22" t="str">
        <f>IF(MOV_CC_NACIONAL!B1656="","",MOV_CC_NACIONAL!B1656)</f>
        <v/>
      </c>
      <c r="C1656" s="21" t="str">
        <f>IF(MOV_CC_NACIONAL!C1656="","",MOV_CC_NACIONAL!C1656)</f>
        <v/>
      </c>
      <c r="D1656" s="22" t="str">
        <f t="shared" si="1"/>
        <v>Other</v>
      </c>
    </row>
    <row r="1657" ht="15.75" customHeight="1">
      <c r="A1657" s="22" t="str">
        <f>IF(MOV_CC_NACIONAL!A1657="","",MOV_CC_NACIONAL!A1657)</f>
        <v/>
      </c>
      <c r="B1657" s="22" t="str">
        <f>IF(MOV_CC_NACIONAL!B1657="","",MOV_CC_NACIONAL!B1657)</f>
        <v/>
      </c>
      <c r="C1657" s="21" t="str">
        <f>IF(MOV_CC_NACIONAL!C1657="","",MOV_CC_NACIONAL!C1657)</f>
        <v/>
      </c>
      <c r="D1657" s="22" t="str">
        <f t="shared" si="1"/>
        <v>Other</v>
      </c>
    </row>
    <row r="1658" ht="15.75" customHeight="1">
      <c r="A1658" s="22" t="str">
        <f>IF(MOV_CC_NACIONAL!A1658="","",MOV_CC_NACIONAL!A1658)</f>
        <v/>
      </c>
      <c r="B1658" s="22" t="str">
        <f>IF(MOV_CC_NACIONAL!B1658="","",MOV_CC_NACIONAL!B1658)</f>
        <v/>
      </c>
      <c r="C1658" s="21" t="str">
        <f>IF(MOV_CC_NACIONAL!C1658="","",MOV_CC_NACIONAL!C1658)</f>
        <v/>
      </c>
      <c r="D1658" s="22" t="str">
        <f t="shared" si="1"/>
        <v>Other</v>
      </c>
    </row>
    <row r="1659" ht="15.75" customHeight="1">
      <c r="A1659" s="22" t="str">
        <f>IF(MOV_CC_NACIONAL!A1659="","",MOV_CC_NACIONAL!A1659)</f>
        <v/>
      </c>
      <c r="B1659" s="22" t="str">
        <f>IF(MOV_CC_NACIONAL!B1659="","",MOV_CC_NACIONAL!B1659)</f>
        <v/>
      </c>
      <c r="C1659" s="21" t="str">
        <f>IF(MOV_CC_NACIONAL!C1659="","",MOV_CC_NACIONAL!C1659)</f>
        <v/>
      </c>
      <c r="D1659" s="22" t="str">
        <f t="shared" si="1"/>
        <v>Other</v>
      </c>
    </row>
    <row r="1660" ht="15.75" customHeight="1">
      <c r="A1660" s="22" t="str">
        <f>IF(MOV_CC_NACIONAL!A1660="","",MOV_CC_NACIONAL!A1660)</f>
        <v/>
      </c>
      <c r="B1660" s="22" t="str">
        <f>IF(MOV_CC_NACIONAL!B1660="","",MOV_CC_NACIONAL!B1660)</f>
        <v/>
      </c>
      <c r="C1660" s="21" t="str">
        <f>IF(MOV_CC_NACIONAL!C1660="","",MOV_CC_NACIONAL!C1660)</f>
        <v/>
      </c>
      <c r="D1660" s="22" t="str">
        <f t="shared" si="1"/>
        <v>Other</v>
      </c>
    </row>
    <row r="1661" ht="15.75" customHeight="1">
      <c r="A1661" s="22" t="str">
        <f>IF(MOV_CC_NACIONAL!A1661="","",MOV_CC_NACIONAL!A1661)</f>
        <v/>
      </c>
      <c r="B1661" s="22" t="str">
        <f>IF(MOV_CC_NACIONAL!B1661="","",MOV_CC_NACIONAL!B1661)</f>
        <v/>
      </c>
      <c r="C1661" s="21" t="str">
        <f>IF(MOV_CC_NACIONAL!C1661="","",MOV_CC_NACIONAL!C1661)</f>
        <v/>
      </c>
      <c r="D1661" s="22" t="str">
        <f t="shared" si="1"/>
        <v>Other</v>
      </c>
    </row>
    <row r="1662" ht="15.75" customHeight="1">
      <c r="A1662" s="22" t="str">
        <f>IF(MOV_CC_NACIONAL!A1662="","",MOV_CC_NACIONAL!A1662)</f>
        <v/>
      </c>
      <c r="B1662" s="22" t="str">
        <f>IF(MOV_CC_NACIONAL!B1662="","",MOV_CC_NACIONAL!B1662)</f>
        <v/>
      </c>
      <c r="C1662" s="21" t="str">
        <f>IF(MOV_CC_NACIONAL!C1662="","",MOV_CC_NACIONAL!C1662)</f>
        <v/>
      </c>
      <c r="D1662" s="22" t="str">
        <f t="shared" si="1"/>
        <v>Other</v>
      </c>
    </row>
    <row r="1663" ht="15.75" customHeight="1">
      <c r="A1663" s="22" t="str">
        <f>IF(MOV_CC_NACIONAL!A1663="","",MOV_CC_NACIONAL!A1663)</f>
        <v/>
      </c>
      <c r="B1663" s="22" t="str">
        <f>IF(MOV_CC_NACIONAL!B1663="","",MOV_CC_NACIONAL!B1663)</f>
        <v/>
      </c>
      <c r="C1663" s="21" t="str">
        <f>IF(MOV_CC_NACIONAL!C1663="","",MOV_CC_NACIONAL!C1663)</f>
        <v/>
      </c>
      <c r="D1663" s="22" t="str">
        <f t="shared" si="1"/>
        <v>Other</v>
      </c>
    </row>
    <row r="1664" ht="15.75" customHeight="1">
      <c r="A1664" s="22" t="str">
        <f>IF(MOV_CC_NACIONAL!A1664="","",MOV_CC_NACIONAL!A1664)</f>
        <v/>
      </c>
      <c r="B1664" s="22" t="str">
        <f>IF(MOV_CC_NACIONAL!B1664="","",MOV_CC_NACIONAL!B1664)</f>
        <v/>
      </c>
      <c r="C1664" s="21" t="str">
        <f>IF(MOV_CC_NACIONAL!C1664="","",MOV_CC_NACIONAL!C1664)</f>
        <v/>
      </c>
      <c r="D1664" s="22" t="str">
        <f t="shared" si="1"/>
        <v>Other</v>
      </c>
    </row>
    <row r="1665" ht="15.75" customHeight="1">
      <c r="A1665" s="22" t="str">
        <f>IF(MOV_CC_NACIONAL!A1665="","",MOV_CC_NACIONAL!A1665)</f>
        <v/>
      </c>
      <c r="B1665" s="22" t="str">
        <f>IF(MOV_CC_NACIONAL!B1665="","",MOV_CC_NACIONAL!B1665)</f>
        <v/>
      </c>
      <c r="C1665" s="21" t="str">
        <f>IF(MOV_CC_NACIONAL!C1665="","",MOV_CC_NACIONAL!C1665)</f>
        <v/>
      </c>
      <c r="D1665" s="22" t="str">
        <f t="shared" si="1"/>
        <v>Other</v>
      </c>
    </row>
    <row r="1666" ht="15.75" customHeight="1">
      <c r="A1666" s="22" t="str">
        <f>IF(MOV_CC_NACIONAL!A1666="","",MOV_CC_NACIONAL!A1666)</f>
        <v/>
      </c>
      <c r="B1666" s="22" t="str">
        <f>IF(MOV_CC_NACIONAL!B1666="","",MOV_CC_NACIONAL!B1666)</f>
        <v/>
      </c>
      <c r="C1666" s="21" t="str">
        <f>IF(MOV_CC_NACIONAL!C1666="","",MOV_CC_NACIONAL!C1666)</f>
        <v/>
      </c>
      <c r="D1666" s="22" t="str">
        <f t="shared" si="1"/>
        <v>Other</v>
      </c>
    </row>
    <row r="1667" ht="15.75" customHeight="1">
      <c r="A1667" s="22" t="str">
        <f>IF(MOV_CC_NACIONAL!A1667="","",MOV_CC_NACIONAL!A1667)</f>
        <v/>
      </c>
      <c r="B1667" s="22" t="str">
        <f>IF(MOV_CC_NACIONAL!B1667="","",MOV_CC_NACIONAL!B1667)</f>
        <v/>
      </c>
      <c r="C1667" s="21" t="str">
        <f>IF(MOV_CC_NACIONAL!C1667="","",MOV_CC_NACIONAL!C1667)</f>
        <v/>
      </c>
      <c r="D1667" s="22" t="str">
        <f t="shared" si="1"/>
        <v>Other</v>
      </c>
    </row>
    <row r="1668" ht="15.75" customHeight="1">
      <c r="A1668" s="22" t="str">
        <f>IF(MOV_CC_NACIONAL!A1668="","",MOV_CC_NACIONAL!A1668)</f>
        <v/>
      </c>
      <c r="B1668" s="22" t="str">
        <f>IF(MOV_CC_NACIONAL!B1668="","",MOV_CC_NACIONAL!B1668)</f>
        <v/>
      </c>
      <c r="C1668" s="21" t="str">
        <f>IF(MOV_CC_NACIONAL!C1668="","",MOV_CC_NACIONAL!C1668)</f>
        <v/>
      </c>
      <c r="D1668" s="22" t="str">
        <f t="shared" si="1"/>
        <v>Other</v>
      </c>
    </row>
    <row r="1669" ht="15.75" customHeight="1">
      <c r="A1669" s="22" t="str">
        <f>IF(MOV_CC_NACIONAL!A1669="","",MOV_CC_NACIONAL!A1669)</f>
        <v/>
      </c>
      <c r="B1669" s="22" t="str">
        <f>IF(MOV_CC_NACIONAL!B1669="","",MOV_CC_NACIONAL!B1669)</f>
        <v/>
      </c>
      <c r="C1669" s="21" t="str">
        <f>IF(MOV_CC_NACIONAL!C1669="","",MOV_CC_NACIONAL!C1669)</f>
        <v/>
      </c>
      <c r="D1669" s="22" t="str">
        <f t="shared" si="1"/>
        <v>Other</v>
      </c>
    </row>
    <row r="1670" ht="15.75" customHeight="1">
      <c r="A1670" s="22" t="str">
        <f>IF(MOV_CC_NACIONAL!A1670="","",MOV_CC_NACIONAL!A1670)</f>
        <v/>
      </c>
      <c r="B1670" s="22" t="str">
        <f>IF(MOV_CC_NACIONAL!B1670="","",MOV_CC_NACIONAL!B1670)</f>
        <v/>
      </c>
      <c r="C1670" s="21" t="str">
        <f>IF(MOV_CC_NACIONAL!C1670="","",MOV_CC_NACIONAL!C1670)</f>
        <v/>
      </c>
      <c r="D1670" s="22" t="str">
        <f t="shared" si="1"/>
        <v>Other</v>
      </c>
    </row>
    <row r="1671" ht="15.75" customHeight="1">
      <c r="A1671" s="22" t="str">
        <f>IF(MOV_CC_NACIONAL!A1671="","",MOV_CC_NACIONAL!A1671)</f>
        <v/>
      </c>
      <c r="B1671" s="22" t="str">
        <f>IF(MOV_CC_NACIONAL!B1671="","",MOV_CC_NACIONAL!B1671)</f>
        <v/>
      </c>
      <c r="C1671" s="21" t="str">
        <f>IF(MOV_CC_NACIONAL!C1671="","",MOV_CC_NACIONAL!C1671)</f>
        <v/>
      </c>
      <c r="D1671" s="22" t="str">
        <f t="shared" si="1"/>
        <v>Other</v>
      </c>
    </row>
    <row r="1672" ht="15.75" customHeight="1">
      <c r="A1672" s="22" t="str">
        <f>IF(MOV_CC_NACIONAL!A1672="","",MOV_CC_NACIONAL!A1672)</f>
        <v/>
      </c>
      <c r="B1672" s="22" t="str">
        <f>IF(MOV_CC_NACIONAL!B1672="","",MOV_CC_NACIONAL!B1672)</f>
        <v/>
      </c>
      <c r="C1672" s="21" t="str">
        <f>IF(MOV_CC_NACIONAL!C1672="","",MOV_CC_NACIONAL!C1672)</f>
        <v/>
      </c>
      <c r="D1672" s="22" t="str">
        <f t="shared" si="1"/>
        <v>Other</v>
      </c>
    </row>
    <row r="1673" ht="15.75" customHeight="1">
      <c r="A1673" s="22" t="str">
        <f>IF(MOV_CC_NACIONAL!A1673="","",MOV_CC_NACIONAL!A1673)</f>
        <v/>
      </c>
      <c r="B1673" s="22" t="str">
        <f>IF(MOV_CC_NACIONAL!B1673="","",MOV_CC_NACIONAL!B1673)</f>
        <v/>
      </c>
      <c r="C1673" s="21" t="str">
        <f>IF(MOV_CC_NACIONAL!C1673="","",MOV_CC_NACIONAL!C1673)</f>
        <v/>
      </c>
      <c r="D1673" s="22" t="str">
        <f t="shared" si="1"/>
        <v>Other</v>
      </c>
    </row>
    <row r="1674" ht="15.75" customHeight="1">
      <c r="A1674" s="22" t="str">
        <f>IF(MOV_CC_NACIONAL!A1674="","",MOV_CC_NACIONAL!A1674)</f>
        <v/>
      </c>
      <c r="B1674" s="22" t="str">
        <f>IF(MOV_CC_NACIONAL!B1674="","",MOV_CC_NACIONAL!B1674)</f>
        <v/>
      </c>
      <c r="C1674" s="21" t="str">
        <f>IF(MOV_CC_NACIONAL!C1674="","",MOV_CC_NACIONAL!C1674)</f>
        <v/>
      </c>
      <c r="D1674" s="22" t="str">
        <f t="shared" si="1"/>
        <v>Other</v>
      </c>
    </row>
    <row r="1675" ht="15.75" customHeight="1">
      <c r="A1675" s="22" t="str">
        <f>IF(MOV_CC_NACIONAL!A1675="","",MOV_CC_NACIONAL!A1675)</f>
        <v/>
      </c>
      <c r="B1675" s="22" t="str">
        <f>IF(MOV_CC_NACIONAL!B1675="","",MOV_CC_NACIONAL!B1675)</f>
        <v/>
      </c>
      <c r="C1675" s="21" t="str">
        <f>IF(MOV_CC_NACIONAL!C1675="","",MOV_CC_NACIONAL!C1675)</f>
        <v/>
      </c>
      <c r="D1675" s="22" t="str">
        <f t="shared" si="1"/>
        <v>Other</v>
      </c>
    </row>
    <row r="1676" ht="15.75" customHeight="1">
      <c r="A1676" s="22" t="str">
        <f>IF(MOV_CC_NACIONAL!A1676="","",MOV_CC_NACIONAL!A1676)</f>
        <v/>
      </c>
      <c r="B1676" s="22" t="str">
        <f>IF(MOV_CC_NACIONAL!B1676="","",MOV_CC_NACIONAL!B1676)</f>
        <v/>
      </c>
      <c r="C1676" s="21" t="str">
        <f>IF(MOV_CC_NACIONAL!C1676="","",MOV_CC_NACIONAL!C1676)</f>
        <v/>
      </c>
      <c r="D1676" s="22" t="str">
        <f t="shared" si="1"/>
        <v>Other</v>
      </c>
    </row>
    <row r="1677" ht="15.75" customHeight="1">
      <c r="A1677" s="22" t="str">
        <f>IF(MOV_CC_NACIONAL!A1677="","",MOV_CC_NACIONAL!A1677)</f>
        <v/>
      </c>
      <c r="B1677" s="22" t="str">
        <f>IF(MOV_CC_NACIONAL!B1677="","",MOV_CC_NACIONAL!B1677)</f>
        <v/>
      </c>
      <c r="C1677" s="21" t="str">
        <f>IF(MOV_CC_NACIONAL!C1677="","",MOV_CC_NACIONAL!C1677)</f>
        <v/>
      </c>
      <c r="D1677" s="22" t="str">
        <f t="shared" si="1"/>
        <v>Other</v>
      </c>
    </row>
    <row r="1678" ht="15.75" customHeight="1">
      <c r="A1678" s="22" t="str">
        <f>IF(MOV_CC_NACIONAL!A1678="","",MOV_CC_NACIONAL!A1678)</f>
        <v/>
      </c>
      <c r="B1678" s="22" t="str">
        <f>IF(MOV_CC_NACIONAL!B1678="","",MOV_CC_NACIONAL!B1678)</f>
        <v/>
      </c>
      <c r="C1678" s="21" t="str">
        <f>IF(MOV_CC_NACIONAL!C1678="","",MOV_CC_NACIONAL!C1678)</f>
        <v/>
      </c>
      <c r="D1678" s="22" t="str">
        <f t="shared" si="1"/>
        <v>Other</v>
      </c>
    </row>
    <row r="1679" ht="15.75" customHeight="1">
      <c r="A1679" s="22" t="str">
        <f>IF(MOV_CC_NACIONAL!A1679="","",MOV_CC_NACIONAL!A1679)</f>
        <v/>
      </c>
      <c r="B1679" s="22" t="str">
        <f>IF(MOV_CC_NACIONAL!B1679="","",MOV_CC_NACIONAL!B1679)</f>
        <v/>
      </c>
      <c r="C1679" s="21" t="str">
        <f>IF(MOV_CC_NACIONAL!C1679="","",MOV_CC_NACIONAL!C1679)</f>
        <v/>
      </c>
      <c r="D1679" s="22" t="str">
        <f t="shared" si="1"/>
        <v>Other</v>
      </c>
    </row>
    <row r="1680" ht="15.75" customHeight="1">
      <c r="A1680" s="22" t="str">
        <f>IF(MOV_CC_NACIONAL!A1680="","",MOV_CC_NACIONAL!A1680)</f>
        <v/>
      </c>
      <c r="B1680" s="22" t="str">
        <f>IF(MOV_CC_NACIONAL!B1680="","",MOV_CC_NACIONAL!B1680)</f>
        <v/>
      </c>
      <c r="C1680" s="21" t="str">
        <f>IF(MOV_CC_NACIONAL!C1680="","",MOV_CC_NACIONAL!C1680)</f>
        <v/>
      </c>
      <c r="D1680" s="22" t="str">
        <f t="shared" si="1"/>
        <v>Other</v>
      </c>
    </row>
    <row r="1681" ht="15.75" customHeight="1">
      <c r="A1681" s="22" t="str">
        <f>IF(MOV_CC_NACIONAL!A1681="","",MOV_CC_NACIONAL!A1681)</f>
        <v/>
      </c>
      <c r="B1681" s="22" t="str">
        <f>IF(MOV_CC_NACIONAL!B1681="","",MOV_CC_NACIONAL!B1681)</f>
        <v/>
      </c>
      <c r="C1681" s="21" t="str">
        <f>IF(MOV_CC_NACIONAL!C1681="","",MOV_CC_NACIONAL!C1681)</f>
        <v/>
      </c>
      <c r="D1681" s="22" t="str">
        <f t="shared" si="1"/>
        <v>Other</v>
      </c>
    </row>
    <row r="1682" ht="15.75" customHeight="1">
      <c r="A1682" s="22" t="str">
        <f>IF(MOV_CC_NACIONAL!A1682="","",MOV_CC_NACIONAL!A1682)</f>
        <v/>
      </c>
      <c r="B1682" s="22" t="str">
        <f>IF(MOV_CC_NACIONAL!B1682="","",MOV_CC_NACIONAL!B1682)</f>
        <v/>
      </c>
      <c r="C1682" s="21" t="str">
        <f>IF(MOV_CC_NACIONAL!C1682="","",MOV_CC_NACIONAL!C1682)</f>
        <v/>
      </c>
      <c r="D1682" s="22" t="str">
        <f t="shared" si="1"/>
        <v>Other</v>
      </c>
    </row>
    <row r="1683" ht="15.75" customHeight="1">
      <c r="A1683" s="22" t="str">
        <f>IF(MOV_CC_NACIONAL!A1683="","",MOV_CC_NACIONAL!A1683)</f>
        <v/>
      </c>
      <c r="B1683" s="22" t="str">
        <f>IF(MOV_CC_NACIONAL!B1683="","",MOV_CC_NACIONAL!B1683)</f>
        <v/>
      </c>
      <c r="C1683" s="21" t="str">
        <f>IF(MOV_CC_NACIONAL!C1683="","",MOV_CC_NACIONAL!C1683)</f>
        <v/>
      </c>
      <c r="D1683" s="22" t="str">
        <f t="shared" si="1"/>
        <v>Other</v>
      </c>
    </row>
    <row r="1684" ht="15.75" customHeight="1">
      <c r="A1684" s="22" t="str">
        <f>IF(MOV_CC_NACIONAL!A1684="","",MOV_CC_NACIONAL!A1684)</f>
        <v/>
      </c>
      <c r="B1684" s="22" t="str">
        <f>IF(MOV_CC_NACIONAL!B1684="","",MOV_CC_NACIONAL!B1684)</f>
        <v/>
      </c>
      <c r="C1684" s="21" t="str">
        <f>IF(MOV_CC_NACIONAL!C1684="","",MOV_CC_NACIONAL!C1684)</f>
        <v/>
      </c>
      <c r="D1684" s="22" t="str">
        <f t="shared" si="1"/>
        <v>Other</v>
      </c>
    </row>
    <row r="1685" ht="15.75" customHeight="1">
      <c r="A1685" s="22" t="str">
        <f>IF(MOV_CC_NACIONAL!A1685="","",MOV_CC_NACIONAL!A1685)</f>
        <v/>
      </c>
      <c r="B1685" s="22" t="str">
        <f>IF(MOV_CC_NACIONAL!B1685="","",MOV_CC_NACIONAL!B1685)</f>
        <v/>
      </c>
      <c r="C1685" s="21" t="str">
        <f>IF(MOV_CC_NACIONAL!C1685="","",MOV_CC_NACIONAL!C1685)</f>
        <v/>
      </c>
      <c r="D1685" s="22" t="str">
        <f t="shared" si="1"/>
        <v>Other</v>
      </c>
    </row>
    <row r="1686" ht="15.75" customHeight="1">
      <c r="A1686" s="22" t="str">
        <f>IF(MOV_CC_NACIONAL!A1686="","",MOV_CC_NACIONAL!A1686)</f>
        <v/>
      </c>
      <c r="B1686" s="22" t="str">
        <f>IF(MOV_CC_NACIONAL!B1686="","",MOV_CC_NACIONAL!B1686)</f>
        <v/>
      </c>
      <c r="C1686" s="21" t="str">
        <f>IF(MOV_CC_NACIONAL!C1686="","",MOV_CC_NACIONAL!C1686)</f>
        <v/>
      </c>
      <c r="D1686" s="22" t="str">
        <f t="shared" si="1"/>
        <v>Other</v>
      </c>
    </row>
    <row r="1687" ht="15.75" customHeight="1">
      <c r="A1687" s="22" t="str">
        <f>IF(MOV_CC_NACIONAL!A1687="","",MOV_CC_NACIONAL!A1687)</f>
        <v/>
      </c>
      <c r="B1687" s="22" t="str">
        <f>IF(MOV_CC_NACIONAL!B1687="","",MOV_CC_NACIONAL!B1687)</f>
        <v/>
      </c>
      <c r="C1687" s="21" t="str">
        <f>IF(MOV_CC_NACIONAL!C1687="","",MOV_CC_NACIONAL!C1687)</f>
        <v/>
      </c>
      <c r="D1687" s="22" t="str">
        <f t="shared" si="1"/>
        <v>Other</v>
      </c>
    </row>
    <row r="1688" ht="15.75" customHeight="1">
      <c r="A1688" s="22" t="str">
        <f>IF(MOV_CC_NACIONAL!A1688="","",MOV_CC_NACIONAL!A1688)</f>
        <v/>
      </c>
      <c r="B1688" s="22" t="str">
        <f>IF(MOV_CC_NACIONAL!B1688="","",MOV_CC_NACIONAL!B1688)</f>
        <v/>
      </c>
      <c r="C1688" s="21" t="str">
        <f>IF(MOV_CC_NACIONAL!C1688="","",MOV_CC_NACIONAL!C1688)</f>
        <v/>
      </c>
      <c r="D1688" s="22" t="str">
        <f t="shared" si="1"/>
        <v>Other</v>
      </c>
    </row>
    <row r="1689" ht="15.75" customHeight="1">
      <c r="A1689" s="22" t="str">
        <f>IF(MOV_CC_NACIONAL!A1689="","",MOV_CC_NACIONAL!A1689)</f>
        <v/>
      </c>
      <c r="B1689" s="22" t="str">
        <f>IF(MOV_CC_NACIONAL!B1689="","",MOV_CC_NACIONAL!B1689)</f>
        <v/>
      </c>
      <c r="C1689" s="21" t="str">
        <f>IF(MOV_CC_NACIONAL!C1689="","",MOV_CC_NACIONAL!C1689)</f>
        <v/>
      </c>
      <c r="D1689" s="22" t="str">
        <f t="shared" si="1"/>
        <v>Other</v>
      </c>
    </row>
    <row r="1690" ht="15.75" customHeight="1">
      <c r="A1690" s="22" t="str">
        <f>IF(MOV_CC_NACIONAL!A1690="","",MOV_CC_NACIONAL!A1690)</f>
        <v/>
      </c>
      <c r="B1690" s="22" t="str">
        <f>IF(MOV_CC_NACIONAL!B1690="","",MOV_CC_NACIONAL!B1690)</f>
        <v/>
      </c>
      <c r="C1690" s="21" t="str">
        <f>IF(MOV_CC_NACIONAL!C1690="","",MOV_CC_NACIONAL!C1690)</f>
        <v/>
      </c>
      <c r="D1690" s="22" t="str">
        <f t="shared" si="1"/>
        <v>Other</v>
      </c>
    </row>
    <row r="1691" ht="15.75" customHeight="1">
      <c r="A1691" s="22" t="str">
        <f>IF(MOV_CC_NACIONAL!A1691="","",MOV_CC_NACIONAL!A1691)</f>
        <v/>
      </c>
      <c r="B1691" s="22" t="str">
        <f>IF(MOV_CC_NACIONAL!B1691="","",MOV_CC_NACIONAL!B1691)</f>
        <v/>
      </c>
      <c r="C1691" s="21" t="str">
        <f>IF(MOV_CC_NACIONAL!C1691="","",MOV_CC_NACIONAL!C1691)</f>
        <v/>
      </c>
      <c r="D1691" s="22" t="str">
        <f t="shared" si="1"/>
        <v>Other</v>
      </c>
    </row>
    <row r="1692" ht="15.75" customHeight="1">
      <c r="A1692" s="22" t="str">
        <f>IF(MOV_CC_NACIONAL!A1692="","",MOV_CC_NACIONAL!A1692)</f>
        <v/>
      </c>
      <c r="B1692" s="22" t="str">
        <f>IF(MOV_CC_NACIONAL!B1692="","",MOV_CC_NACIONAL!B1692)</f>
        <v/>
      </c>
      <c r="C1692" s="21" t="str">
        <f>IF(MOV_CC_NACIONAL!C1692="","",MOV_CC_NACIONAL!C1692)</f>
        <v/>
      </c>
      <c r="D1692" s="22" t="str">
        <f t="shared" si="1"/>
        <v>Other</v>
      </c>
    </row>
    <row r="1693" ht="15.75" customHeight="1">
      <c r="A1693" s="22" t="str">
        <f>IF(MOV_CC_NACIONAL!A1693="","",MOV_CC_NACIONAL!A1693)</f>
        <v/>
      </c>
      <c r="B1693" s="22" t="str">
        <f>IF(MOV_CC_NACIONAL!B1693="","",MOV_CC_NACIONAL!B1693)</f>
        <v/>
      </c>
      <c r="C1693" s="21" t="str">
        <f>IF(MOV_CC_NACIONAL!C1693="","",MOV_CC_NACIONAL!C1693)</f>
        <v/>
      </c>
      <c r="D1693" s="22" t="str">
        <f t="shared" si="1"/>
        <v>Other</v>
      </c>
    </row>
    <row r="1694" ht="15.75" customHeight="1">
      <c r="A1694" s="22" t="str">
        <f>IF(MOV_CC_NACIONAL!A1694="","",MOV_CC_NACIONAL!A1694)</f>
        <v/>
      </c>
      <c r="B1694" s="22" t="str">
        <f>IF(MOV_CC_NACIONAL!B1694="","",MOV_CC_NACIONAL!B1694)</f>
        <v/>
      </c>
      <c r="C1694" s="21" t="str">
        <f>IF(MOV_CC_NACIONAL!C1694="","",MOV_CC_NACIONAL!C1694)</f>
        <v/>
      </c>
      <c r="D1694" s="22" t="str">
        <f t="shared" si="1"/>
        <v>Other</v>
      </c>
    </row>
    <row r="1695" ht="15.75" customHeight="1">
      <c r="A1695" s="22" t="str">
        <f>IF(MOV_CC_NACIONAL!A1695="","",MOV_CC_NACIONAL!A1695)</f>
        <v/>
      </c>
      <c r="B1695" s="22" t="str">
        <f>IF(MOV_CC_NACIONAL!B1695="","",MOV_CC_NACIONAL!B1695)</f>
        <v/>
      </c>
      <c r="C1695" s="21" t="str">
        <f>IF(MOV_CC_NACIONAL!C1695="","",MOV_CC_NACIONAL!C1695)</f>
        <v/>
      </c>
      <c r="D1695" s="22" t="str">
        <f t="shared" si="1"/>
        <v>Other</v>
      </c>
    </row>
    <row r="1696" ht="15.75" customHeight="1">
      <c r="A1696" s="22" t="str">
        <f>IF(MOV_CC_NACIONAL!A1696="","",MOV_CC_NACIONAL!A1696)</f>
        <v/>
      </c>
      <c r="B1696" s="22" t="str">
        <f>IF(MOV_CC_NACIONAL!B1696="","",MOV_CC_NACIONAL!B1696)</f>
        <v/>
      </c>
      <c r="C1696" s="21" t="str">
        <f>IF(MOV_CC_NACIONAL!C1696="","",MOV_CC_NACIONAL!C1696)</f>
        <v/>
      </c>
      <c r="D1696" s="22" t="str">
        <f t="shared" si="1"/>
        <v>Other</v>
      </c>
    </row>
    <row r="1697" ht="15.75" customHeight="1">
      <c r="A1697" s="22" t="str">
        <f>IF(MOV_CC_NACIONAL!A1697="","",MOV_CC_NACIONAL!A1697)</f>
        <v/>
      </c>
      <c r="B1697" s="22" t="str">
        <f>IF(MOV_CC_NACIONAL!B1697="","",MOV_CC_NACIONAL!B1697)</f>
        <v/>
      </c>
      <c r="C1697" s="21" t="str">
        <f>IF(MOV_CC_NACIONAL!C1697="","",MOV_CC_NACIONAL!C1697)</f>
        <v/>
      </c>
      <c r="D1697" s="22" t="str">
        <f t="shared" si="1"/>
        <v>Other</v>
      </c>
    </row>
    <row r="1698" ht="15.75" customHeight="1">
      <c r="A1698" s="22" t="str">
        <f>IF(MOV_CC_NACIONAL!A1698="","",MOV_CC_NACIONAL!A1698)</f>
        <v/>
      </c>
      <c r="B1698" s="22" t="str">
        <f>IF(MOV_CC_NACIONAL!B1698="","",MOV_CC_NACIONAL!B1698)</f>
        <v/>
      </c>
      <c r="C1698" s="21" t="str">
        <f>IF(MOV_CC_NACIONAL!C1698="","",MOV_CC_NACIONAL!C1698)</f>
        <v/>
      </c>
      <c r="D1698" s="22" t="str">
        <f t="shared" si="1"/>
        <v>Other</v>
      </c>
    </row>
    <row r="1699" ht="15.75" customHeight="1">
      <c r="A1699" s="22" t="str">
        <f>IF(MOV_CC_NACIONAL!A1699="","",MOV_CC_NACIONAL!A1699)</f>
        <v/>
      </c>
      <c r="B1699" s="22" t="str">
        <f>IF(MOV_CC_NACIONAL!B1699="","",MOV_CC_NACIONAL!B1699)</f>
        <v/>
      </c>
      <c r="C1699" s="21" t="str">
        <f>IF(MOV_CC_NACIONAL!C1699="","",MOV_CC_NACIONAL!C1699)</f>
        <v/>
      </c>
      <c r="D1699" s="22" t="str">
        <f t="shared" si="1"/>
        <v>Other</v>
      </c>
    </row>
    <row r="1700" ht="15.75" customHeight="1">
      <c r="A1700" s="22" t="str">
        <f>IF(MOV_CC_NACIONAL!A1700="","",MOV_CC_NACIONAL!A1700)</f>
        <v/>
      </c>
      <c r="B1700" s="22" t="str">
        <f>IF(MOV_CC_NACIONAL!B1700="","",MOV_CC_NACIONAL!B1700)</f>
        <v/>
      </c>
      <c r="C1700" s="21" t="str">
        <f>IF(MOV_CC_NACIONAL!C1700="","",MOV_CC_NACIONAL!C1700)</f>
        <v/>
      </c>
      <c r="D1700" s="22" t="str">
        <f t="shared" si="1"/>
        <v>Other</v>
      </c>
    </row>
    <row r="1701" ht="15.75" customHeight="1">
      <c r="A1701" s="22" t="str">
        <f>IF(MOV_CC_NACIONAL!A1701="","",MOV_CC_NACIONAL!A1701)</f>
        <v/>
      </c>
      <c r="B1701" s="22" t="str">
        <f>IF(MOV_CC_NACIONAL!B1701="","",MOV_CC_NACIONAL!B1701)</f>
        <v/>
      </c>
      <c r="C1701" s="21" t="str">
        <f>IF(MOV_CC_NACIONAL!C1701="","",MOV_CC_NACIONAL!C1701)</f>
        <v/>
      </c>
      <c r="D1701" s="22" t="str">
        <f t="shared" si="1"/>
        <v>Other</v>
      </c>
    </row>
    <row r="1702" ht="15.75" customHeight="1">
      <c r="A1702" s="22" t="str">
        <f>IF(MOV_CC_NACIONAL!A1702="","",MOV_CC_NACIONAL!A1702)</f>
        <v/>
      </c>
      <c r="B1702" s="22" t="str">
        <f>IF(MOV_CC_NACIONAL!B1702="","",MOV_CC_NACIONAL!B1702)</f>
        <v/>
      </c>
      <c r="C1702" s="21" t="str">
        <f>IF(MOV_CC_NACIONAL!C1702="","",MOV_CC_NACIONAL!C1702)</f>
        <v/>
      </c>
      <c r="D1702" s="22" t="str">
        <f t="shared" si="1"/>
        <v>Other</v>
      </c>
    </row>
    <row r="1703" ht="15.75" customHeight="1">
      <c r="A1703" s="22" t="str">
        <f>IF(MOV_CC_NACIONAL!A1703="","",MOV_CC_NACIONAL!A1703)</f>
        <v/>
      </c>
      <c r="B1703" s="22" t="str">
        <f>IF(MOV_CC_NACIONAL!B1703="","",MOV_CC_NACIONAL!B1703)</f>
        <v/>
      </c>
      <c r="C1703" s="21" t="str">
        <f>IF(MOV_CC_NACIONAL!C1703="","",MOV_CC_NACIONAL!C1703)</f>
        <v/>
      </c>
      <c r="D1703" s="22" t="str">
        <f t="shared" si="1"/>
        <v>Other</v>
      </c>
    </row>
    <row r="1704" ht="15.75" customHeight="1">
      <c r="A1704" s="22" t="str">
        <f>IF(MOV_CC_NACIONAL!A1704="","",MOV_CC_NACIONAL!A1704)</f>
        <v/>
      </c>
      <c r="B1704" s="22" t="str">
        <f>IF(MOV_CC_NACIONAL!B1704="","",MOV_CC_NACIONAL!B1704)</f>
        <v/>
      </c>
      <c r="C1704" s="21" t="str">
        <f>IF(MOV_CC_NACIONAL!C1704="","",MOV_CC_NACIONAL!C1704)</f>
        <v/>
      </c>
      <c r="D1704" s="22" t="str">
        <f t="shared" si="1"/>
        <v>Other</v>
      </c>
    </row>
    <row r="1705" ht="15.75" customHeight="1">
      <c r="A1705" s="22" t="str">
        <f>IF(MOV_CC_NACIONAL!A1705="","",MOV_CC_NACIONAL!A1705)</f>
        <v/>
      </c>
      <c r="B1705" s="22" t="str">
        <f>IF(MOV_CC_NACIONAL!B1705="","",MOV_CC_NACIONAL!B1705)</f>
        <v/>
      </c>
      <c r="C1705" s="21" t="str">
        <f>IF(MOV_CC_NACIONAL!C1705="","",MOV_CC_NACIONAL!C1705)</f>
        <v/>
      </c>
      <c r="D1705" s="22" t="str">
        <f t="shared" si="1"/>
        <v>Other</v>
      </c>
    </row>
    <row r="1706" ht="15.75" customHeight="1">
      <c r="A1706" s="22" t="str">
        <f>IF(MOV_CC_NACIONAL!A1706="","",MOV_CC_NACIONAL!A1706)</f>
        <v/>
      </c>
      <c r="B1706" s="22" t="str">
        <f>IF(MOV_CC_NACIONAL!B1706="","",MOV_CC_NACIONAL!B1706)</f>
        <v/>
      </c>
      <c r="C1706" s="21" t="str">
        <f>IF(MOV_CC_NACIONAL!C1706="","",MOV_CC_NACIONAL!C1706)</f>
        <v/>
      </c>
      <c r="D1706" s="22" t="str">
        <f t="shared" si="1"/>
        <v>Other</v>
      </c>
    </row>
    <row r="1707" ht="15.75" customHeight="1">
      <c r="A1707" s="22" t="str">
        <f>IF(MOV_CC_NACIONAL!A1707="","",MOV_CC_NACIONAL!A1707)</f>
        <v/>
      </c>
      <c r="B1707" s="22" t="str">
        <f>IF(MOV_CC_NACIONAL!B1707="","",MOV_CC_NACIONAL!B1707)</f>
        <v/>
      </c>
      <c r="C1707" s="21" t="str">
        <f>IF(MOV_CC_NACIONAL!C1707="","",MOV_CC_NACIONAL!C1707)</f>
        <v/>
      </c>
      <c r="D1707" s="22" t="str">
        <f t="shared" si="1"/>
        <v>Other</v>
      </c>
    </row>
    <row r="1708" ht="15.75" customHeight="1">
      <c r="A1708" s="22" t="str">
        <f>IF(MOV_CC_NACIONAL!A1708="","",MOV_CC_NACIONAL!A1708)</f>
        <v/>
      </c>
      <c r="B1708" s="22" t="str">
        <f>IF(MOV_CC_NACIONAL!B1708="","",MOV_CC_NACIONAL!B1708)</f>
        <v/>
      </c>
      <c r="C1708" s="21" t="str">
        <f>IF(MOV_CC_NACIONAL!C1708="","",MOV_CC_NACIONAL!C1708)</f>
        <v/>
      </c>
      <c r="D1708" s="22" t="str">
        <f t="shared" si="1"/>
        <v>Other</v>
      </c>
    </row>
    <row r="1709" ht="15.75" customHeight="1">
      <c r="A1709" s="22" t="str">
        <f>IF(MOV_CC_NACIONAL!A1709="","",MOV_CC_NACIONAL!A1709)</f>
        <v/>
      </c>
      <c r="B1709" s="22" t="str">
        <f>IF(MOV_CC_NACIONAL!B1709="","",MOV_CC_NACIONAL!B1709)</f>
        <v/>
      </c>
      <c r="C1709" s="21" t="str">
        <f>IF(MOV_CC_NACIONAL!C1709="","",MOV_CC_NACIONAL!C1709)</f>
        <v/>
      </c>
      <c r="D1709" s="22" t="str">
        <f t="shared" si="1"/>
        <v>Other</v>
      </c>
    </row>
    <row r="1710" ht="15.75" customHeight="1">
      <c r="A1710" s="22" t="str">
        <f>IF(MOV_CC_NACIONAL!A1710="","",MOV_CC_NACIONAL!A1710)</f>
        <v/>
      </c>
      <c r="B1710" s="22" t="str">
        <f>IF(MOV_CC_NACIONAL!B1710="","",MOV_CC_NACIONAL!B1710)</f>
        <v/>
      </c>
      <c r="C1710" s="21" t="str">
        <f>IF(MOV_CC_NACIONAL!C1710="","",MOV_CC_NACIONAL!C1710)</f>
        <v/>
      </c>
      <c r="D1710" s="22" t="str">
        <f t="shared" si="1"/>
        <v>Other</v>
      </c>
    </row>
    <row r="1711" ht="15.75" customHeight="1">
      <c r="A1711" s="22" t="str">
        <f>IF(MOV_CC_NACIONAL!A1711="","",MOV_CC_NACIONAL!A1711)</f>
        <v/>
      </c>
      <c r="B1711" s="22" t="str">
        <f>IF(MOV_CC_NACIONAL!B1711="","",MOV_CC_NACIONAL!B1711)</f>
        <v/>
      </c>
      <c r="C1711" s="21" t="str">
        <f>IF(MOV_CC_NACIONAL!C1711="","",MOV_CC_NACIONAL!C1711)</f>
        <v/>
      </c>
      <c r="D1711" s="22" t="str">
        <f t="shared" si="1"/>
        <v>Other</v>
      </c>
    </row>
    <row r="1712" ht="15.75" customHeight="1">
      <c r="A1712" s="22" t="str">
        <f>IF(MOV_CC_NACIONAL!A1712="","",MOV_CC_NACIONAL!A1712)</f>
        <v/>
      </c>
      <c r="B1712" s="22" t="str">
        <f>IF(MOV_CC_NACIONAL!B1712="","",MOV_CC_NACIONAL!B1712)</f>
        <v/>
      </c>
      <c r="C1712" s="21" t="str">
        <f>IF(MOV_CC_NACIONAL!C1712="","",MOV_CC_NACIONAL!C1712)</f>
        <v/>
      </c>
      <c r="D1712" s="22" t="str">
        <f t="shared" si="1"/>
        <v>Other</v>
      </c>
    </row>
    <row r="1713" ht="15.75" customHeight="1">
      <c r="A1713" s="22" t="str">
        <f>IF(MOV_CC_NACIONAL!A1713="","",MOV_CC_NACIONAL!A1713)</f>
        <v/>
      </c>
      <c r="B1713" s="22" t="str">
        <f>IF(MOV_CC_NACIONAL!B1713="","",MOV_CC_NACIONAL!B1713)</f>
        <v/>
      </c>
      <c r="C1713" s="21" t="str">
        <f>IF(MOV_CC_NACIONAL!C1713="","",MOV_CC_NACIONAL!C1713)</f>
        <v/>
      </c>
      <c r="D1713" s="22" t="str">
        <f t="shared" si="1"/>
        <v>Other</v>
      </c>
    </row>
    <row r="1714" ht="15.75" customHeight="1">
      <c r="A1714" s="22" t="str">
        <f>IF(MOV_CC_NACIONAL!A1714="","",MOV_CC_NACIONAL!A1714)</f>
        <v/>
      </c>
      <c r="B1714" s="22" t="str">
        <f>IF(MOV_CC_NACIONAL!B1714="","",MOV_CC_NACIONAL!B1714)</f>
        <v/>
      </c>
      <c r="C1714" s="21" t="str">
        <f>IF(MOV_CC_NACIONAL!C1714="","",MOV_CC_NACIONAL!C1714)</f>
        <v/>
      </c>
      <c r="D1714" s="22" t="str">
        <f t="shared" si="1"/>
        <v>Other</v>
      </c>
    </row>
    <row r="1715" ht="15.75" customHeight="1">
      <c r="A1715" s="22" t="str">
        <f>IF(MOV_CC_NACIONAL!A1715="","",MOV_CC_NACIONAL!A1715)</f>
        <v/>
      </c>
      <c r="B1715" s="22" t="str">
        <f>IF(MOV_CC_NACIONAL!B1715="","",MOV_CC_NACIONAL!B1715)</f>
        <v/>
      </c>
      <c r="C1715" s="21" t="str">
        <f>IF(MOV_CC_NACIONAL!C1715="","",MOV_CC_NACIONAL!C1715)</f>
        <v/>
      </c>
      <c r="D1715" s="22" t="str">
        <f t="shared" si="1"/>
        <v>Other</v>
      </c>
    </row>
    <row r="1716" ht="15.75" customHeight="1">
      <c r="A1716" s="22" t="str">
        <f>IF(MOV_CC_NACIONAL!A1716="","",MOV_CC_NACIONAL!A1716)</f>
        <v/>
      </c>
      <c r="B1716" s="22" t="str">
        <f>IF(MOV_CC_NACIONAL!B1716="","",MOV_CC_NACIONAL!B1716)</f>
        <v/>
      </c>
      <c r="C1716" s="21" t="str">
        <f>IF(MOV_CC_NACIONAL!C1716="","",MOV_CC_NACIONAL!C1716)</f>
        <v/>
      </c>
      <c r="D1716" s="22" t="str">
        <f t="shared" si="1"/>
        <v>Other</v>
      </c>
    </row>
    <row r="1717" ht="15.75" customHeight="1">
      <c r="A1717" s="22" t="str">
        <f>IF(MOV_CC_NACIONAL!A1717="","",MOV_CC_NACIONAL!A1717)</f>
        <v/>
      </c>
      <c r="B1717" s="22" t="str">
        <f>IF(MOV_CC_NACIONAL!B1717="","",MOV_CC_NACIONAL!B1717)</f>
        <v/>
      </c>
      <c r="C1717" s="21" t="str">
        <f>IF(MOV_CC_NACIONAL!C1717="","",MOV_CC_NACIONAL!C1717)</f>
        <v/>
      </c>
      <c r="D1717" s="22" t="str">
        <f t="shared" si="1"/>
        <v>Other</v>
      </c>
    </row>
    <row r="1718" ht="15.75" customHeight="1">
      <c r="A1718" s="22" t="str">
        <f>IF(MOV_CC_NACIONAL!A1718="","",MOV_CC_NACIONAL!A1718)</f>
        <v/>
      </c>
      <c r="B1718" s="22" t="str">
        <f>IF(MOV_CC_NACIONAL!B1718="","",MOV_CC_NACIONAL!B1718)</f>
        <v/>
      </c>
      <c r="C1718" s="21" t="str">
        <f>IF(MOV_CC_NACIONAL!C1718="","",MOV_CC_NACIONAL!C1718)</f>
        <v/>
      </c>
      <c r="D1718" s="22" t="str">
        <f t="shared" si="1"/>
        <v>Other</v>
      </c>
    </row>
    <row r="1719" ht="15.75" customHeight="1">
      <c r="A1719" s="22" t="str">
        <f>IF(MOV_CC_NACIONAL!A1719="","",MOV_CC_NACIONAL!A1719)</f>
        <v/>
      </c>
      <c r="B1719" s="22" t="str">
        <f>IF(MOV_CC_NACIONAL!B1719="","",MOV_CC_NACIONAL!B1719)</f>
        <v/>
      </c>
      <c r="C1719" s="21" t="str">
        <f>IF(MOV_CC_NACIONAL!C1719="","",MOV_CC_NACIONAL!C1719)</f>
        <v/>
      </c>
      <c r="D1719" s="22" t="str">
        <f t="shared" si="1"/>
        <v>Other</v>
      </c>
    </row>
    <row r="1720" ht="15.75" customHeight="1">
      <c r="A1720" s="22" t="str">
        <f>IF(MOV_CC_NACIONAL!A1720="","",MOV_CC_NACIONAL!A1720)</f>
        <v/>
      </c>
      <c r="B1720" s="22" t="str">
        <f>IF(MOV_CC_NACIONAL!B1720="","",MOV_CC_NACIONAL!B1720)</f>
        <v/>
      </c>
      <c r="C1720" s="21" t="str">
        <f>IF(MOV_CC_NACIONAL!C1720="","",MOV_CC_NACIONAL!C1720)</f>
        <v/>
      </c>
      <c r="D1720" s="22" t="str">
        <f t="shared" si="1"/>
        <v>Other</v>
      </c>
    </row>
    <row r="1721" ht="15.75" customHeight="1">
      <c r="A1721" s="22" t="str">
        <f>IF(MOV_CC_NACIONAL!A1721="","",MOV_CC_NACIONAL!A1721)</f>
        <v/>
      </c>
      <c r="B1721" s="22" t="str">
        <f>IF(MOV_CC_NACIONAL!B1721="","",MOV_CC_NACIONAL!B1721)</f>
        <v/>
      </c>
      <c r="C1721" s="21" t="str">
        <f>IF(MOV_CC_NACIONAL!C1721="","",MOV_CC_NACIONAL!C1721)</f>
        <v/>
      </c>
      <c r="D1721" s="22" t="str">
        <f t="shared" si="1"/>
        <v>Other</v>
      </c>
    </row>
    <row r="1722" ht="15.75" customHeight="1">
      <c r="A1722" s="22" t="str">
        <f>IF(MOV_CC_NACIONAL!A1722="","",MOV_CC_NACIONAL!A1722)</f>
        <v/>
      </c>
      <c r="B1722" s="22" t="str">
        <f>IF(MOV_CC_NACIONAL!B1722="","",MOV_CC_NACIONAL!B1722)</f>
        <v/>
      </c>
      <c r="C1722" s="21" t="str">
        <f>IF(MOV_CC_NACIONAL!C1722="","",MOV_CC_NACIONAL!C1722)</f>
        <v/>
      </c>
      <c r="D1722" s="22" t="str">
        <f t="shared" si="1"/>
        <v>Other</v>
      </c>
    </row>
    <row r="1723" ht="15.75" customHeight="1">
      <c r="A1723" s="22" t="str">
        <f>IF(MOV_CC_NACIONAL!A1723="","",MOV_CC_NACIONAL!A1723)</f>
        <v/>
      </c>
      <c r="B1723" s="22" t="str">
        <f>IF(MOV_CC_NACIONAL!B1723="","",MOV_CC_NACIONAL!B1723)</f>
        <v/>
      </c>
      <c r="C1723" s="21" t="str">
        <f>IF(MOV_CC_NACIONAL!C1723="","",MOV_CC_NACIONAL!C1723)</f>
        <v/>
      </c>
      <c r="D1723" s="22" t="str">
        <f t="shared" si="1"/>
        <v>Other</v>
      </c>
    </row>
    <row r="1724" ht="15.75" customHeight="1">
      <c r="A1724" s="22" t="str">
        <f>IF(MOV_CC_NACIONAL!A1724="","",MOV_CC_NACIONAL!A1724)</f>
        <v/>
      </c>
      <c r="B1724" s="22" t="str">
        <f>IF(MOV_CC_NACIONAL!B1724="","",MOV_CC_NACIONAL!B1724)</f>
        <v/>
      </c>
      <c r="C1724" s="21" t="str">
        <f>IF(MOV_CC_NACIONAL!C1724="","",MOV_CC_NACIONAL!C1724)</f>
        <v/>
      </c>
      <c r="D1724" s="22" t="str">
        <f t="shared" si="1"/>
        <v>Other</v>
      </c>
    </row>
    <row r="1725" ht="15.75" customHeight="1">
      <c r="A1725" s="22" t="str">
        <f>IF(MOV_CC_NACIONAL!A1725="","",MOV_CC_NACIONAL!A1725)</f>
        <v/>
      </c>
      <c r="B1725" s="22" t="str">
        <f>IF(MOV_CC_NACIONAL!B1725="","",MOV_CC_NACIONAL!B1725)</f>
        <v/>
      </c>
      <c r="C1725" s="21" t="str">
        <f>IF(MOV_CC_NACIONAL!C1725="","",MOV_CC_NACIONAL!C1725)</f>
        <v/>
      </c>
      <c r="D1725" s="22" t="str">
        <f t="shared" si="1"/>
        <v>Other</v>
      </c>
    </row>
    <row r="1726" ht="15.75" customHeight="1">
      <c r="A1726" s="22" t="str">
        <f>IF(MOV_CC_NACIONAL!A1726="","",MOV_CC_NACIONAL!A1726)</f>
        <v/>
      </c>
      <c r="B1726" s="22" t="str">
        <f>IF(MOV_CC_NACIONAL!B1726="","",MOV_CC_NACIONAL!B1726)</f>
        <v/>
      </c>
      <c r="C1726" s="21" t="str">
        <f>IF(MOV_CC_NACIONAL!C1726="","",MOV_CC_NACIONAL!C1726)</f>
        <v/>
      </c>
      <c r="D1726" s="22" t="str">
        <f t="shared" si="1"/>
        <v>Other</v>
      </c>
    </row>
    <row r="1727" ht="15.75" customHeight="1">
      <c r="A1727" s="22" t="str">
        <f>IF(MOV_CC_NACIONAL!A1727="","",MOV_CC_NACIONAL!A1727)</f>
        <v/>
      </c>
      <c r="B1727" s="22" t="str">
        <f>IF(MOV_CC_NACIONAL!B1727="","",MOV_CC_NACIONAL!B1727)</f>
        <v/>
      </c>
      <c r="C1727" s="21" t="str">
        <f>IF(MOV_CC_NACIONAL!C1727="","",MOV_CC_NACIONAL!C1727)</f>
        <v/>
      </c>
      <c r="D1727" s="22" t="str">
        <f t="shared" si="1"/>
        <v>Other</v>
      </c>
    </row>
    <row r="1728" ht="15.75" customHeight="1">
      <c r="A1728" s="22" t="str">
        <f>IF(MOV_CC_NACIONAL!A1728="","",MOV_CC_NACIONAL!A1728)</f>
        <v/>
      </c>
      <c r="B1728" s="22" t="str">
        <f>IF(MOV_CC_NACIONAL!B1728="","",MOV_CC_NACIONAL!B1728)</f>
        <v/>
      </c>
      <c r="C1728" s="21" t="str">
        <f>IF(MOV_CC_NACIONAL!C1728="","",MOV_CC_NACIONAL!C1728)</f>
        <v/>
      </c>
      <c r="D1728" s="22" t="str">
        <f t="shared" si="1"/>
        <v>Other</v>
      </c>
    </row>
    <row r="1729" ht="15.75" customHeight="1">
      <c r="A1729" s="22" t="str">
        <f>IF(MOV_CC_NACIONAL!A1729="","",MOV_CC_NACIONAL!A1729)</f>
        <v/>
      </c>
      <c r="B1729" s="22" t="str">
        <f>IF(MOV_CC_NACIONAL!B1729="","",MOV_CC_NACIONAL!B1729)</f>
        <v/>
      </c>
      <c r="C1729" s="21" t="str">
        <f>IF(MOV_CC_NACIONAL!C1729="","",MOV_CC_NACIONAL!C1729)</f>
        <v/>
      </c>
      <c r="D1729" s="22" t="str">
        <f t="shared" si="1"/>
        <v>Other</v>
      </c>
    </row>
    <row r="1730" ht="15.75" customHeight="1">
      <c r="A1730" s="22" t="str">
        <f>IF(MOV_CC_NACIONAL!A1730="","",MOV_CC_NACIONAL!A1730)</f>
        <v/>
      </c>
      <c r="B1730" s="22" t="str">
        <f>IF(MOV_CC_NACIONAL!B1730="","",MOV_CC_NACIONAL!B1730)</f>
        <v/>
      </c>
      <c r="C1730" s="21" t="str">
        <f>IF(MOV_CC_NACIONAL!C1730="","",MOV_CC_NACIONAL!C1730)</f>
        <v/>
      </c>
      <c r="D1730" s="22" t="str">
        <f t="shared" si="1"/>
        <v>Other</v>
      </c>
    </row>
    <row r="1731" ht="15.75" customHeight="1">
      <c r="A1731" s="22" t="str">
        <f>IF(MOV_CC_NACIONAL!A1731="","",MOV_CC_NACIONAL!A1731)</f>
        <v/>
      </c>
      <c r="B1731" s="22" t="str">
        <f>IF(MOV_CC_NACIONAL!B1731="","",MOV_CC_NACIONAL!B1731)</f>
        <v/>
      </c>
      <c r="C1731" s="21" t="str">
        <f>IF(MOV_CC_NACIONAL!C1731="","",MOV_CC_NACIONAL!C1731)</f>
        <v/>
      </c>
      <c r="D1731" s="22" t="str">
        <f t="shared" si="1"/>
        <v>Other</v>
      </c>
    </row>
    <row r="1732" ht="15.75" customHeight="1">
      <c r="A1732" s="22" t="str">
        <f>IF(MOV_CC_NACIONAL!A1732="","",MOV_CC_NACIONAL!A1732)</f>
        <v/>
      </c>
      <c r="B1732" s="22" t="str">
        <f>IF(MOV_CC_NACIONAL!B1732="","",MOV_CC_NACIONAL!B1732)</f>
        <v/>
      </c>
      <c r="C1732" s="21" t="str">
        <f>IF(MOV_CC_NACIONAL!C1732="","",MOV_CC_NACIONAL!C1732)</f>
        <v/>
      </c>
      <c r="D1732" s="22" t="str">
        <f t="shared" si="1"/>
        <v>Other</v>
      </c>
    </row>
    <row r="1733" ht="15.75" customHeight="1">
      <c r="A1733" s="22" t="str">
        <f>IF(MOV_CC_NACIONAL!A1733="","",MOV_CC_NACIONAL!A1733)</f>
        <v/>
      </c>
      <c r="B1733" s="22" t="str">
        <f>IF(MOV_CC_NACIONAL!B1733="","",MOV_CC_NACIONAL!B1733)</f>
        <v/>
      </c>
      <c r="C1733" s="21" t="str">
        <f>IF(MOV_CC_NACIONAL!C1733="","",MOV_CC_NACIONAL!C1733)</f>
        <v/>
      </c>
      <c r="D1733" s="22" t="str">
        <f t="shared" si="1"/>
        <v>Other</v>
      </c>
    </row>
    <row r="1734" ht="15.75" customHeight="1">
      <c r="A1734" s="22" t="str">
        <f>IF(MOV_CC_NACIONAL!A1734="","",MOV_CC_NACIONAL!A1734)</f>
        <v/>
      </c>
      <c r="B1734" s="22" t="str">
        <f>IF(MOV_CC_NACIONAL!B1734="","",MOV_CC_NACIONAL!B1734)</f>
        <v/>
      </c>
      <c r="C1734" s="21" t="str">
        <f>IF(MOV_CC_NACIONAL!C1734="","",MOV_CC_NACIONAL!C1734)</f>
        <v/>
      </c>
      <c r="D1734" s="22" t="str">
        <f t="shared" si="1"/>
        <v>Other</v>
      </c>
    </row>
    <row r="1735" ht="15.75" customHeight="1">
      <c r="A1735" s="22" t="str">
        <f>IF(MOV_CC_NACIONAL!A1735="","",MOV_CC_NACIONAL!A1735)</f>
        <v/>
      </c>
      <c r="B1735" s="22" t="str">
        <f>IF(MOV_CC_NACIONAL!B1735="","",MOV_CC_NACIONAL!B1735)</f>
        <v/>
      </c>
      <c r="C1735" s="21" t="str">
        <f>IF(MOV_CC_NACIONAL!C1735="","",MOV_CC_NACIONAL!C1735)</f>
        <v/>
      </c>
      <c r="D1735" s="22" t="str">
        <f t="shared" si="1"/>
        <v>Other</v>
      </c>
    </row>
    <row r="1736" ht="15.75" customHeight="1">
      <c r="A1736" s="22" t="str">
        <f>IF(MOV_CC_NACIONAL!A1736="","",MOV_CC_NACIONAL!A1736)</f>
        <v/>
      </c>
      <c r="B1736" s="22" t="str">
        <f>IF(MOV_CC_NACIONAL!B1736="","",MOV_CC_NACIONAL!B1736)</f>
        <v/>
      </c>
      <c r="C1736" s="21" t="str">
        <f>IF(MOV_CC_NACIONAL!C1736="","",MOV_CC_NACIONAL!C1736)</f>
        <v/>
      </c>
      <c r="D1736" s="22" t="str">
        <f t="shared" si="1"/>
        <v>Other</v>
      </c>
    </row>
    <row r="1737" ht="15.75" customHeight="1">
      <c r="A1737" s="22" t="str">
        <f>IF(MOV_CC_NACIONAL!A1737="","",MOV_CC_NACIONAL!A1737)</f>
        <v/>
      </c>
      <c r="B1737" s="22" t="str">
        <f>IF(MOV_CC_NACIONAL!B1737="","",MOV_CC_NACIONAL!B1737)</f>
        <v/>
      </c>
      <c r="C1737" s="21" t="str">
        <f>IF(MOV_CC_NACIONAL!C1737="","",MOV_CC_NACIONAL!C1737)</f>
        <v/>
      </c>
      <c r="D1737" s="22" t="str">
        <f t="shared" si="1"/>
        <v>Other</v>
      </c>
    </row>
    <row r="1738" ht="15.75" customHeight="1">
      <c r="A1738" s="22" t="str">
        <f>IF(MOV_CC_NACIONAL!A1738="","",MOV_CC_NACIONAL!A1738)</f>
        <v/>
      </c>
      <c r="B1738" s="22" t="str">
        <f>IF(MOV_CC_NACIONAL!B1738="","",MOV_CC_NACIONAL!B1738)</f>
        <v/>
      </c>
      <c r="C1738" s="21" t="str">
        <f>IF(MOV_CC_NACIONAL!C1738="","",MOV_CC_NACIONAL!C1738)</f>
        <v/>
      </c>
      <c r="D1738" s="22" t="str">
        <f t="shared" si="1"/>
        <v>Other</v>
      </c>
    </row>
    <row r="1739" ht="15.75" customHeight="1">
      <c r="A1739" s="22" t="str">
        <f>IF(MOV_CC_NACIONAL!A1739="","",MOV_CC_NACIONAL!A1739)</f>
        <v/>
      </c>
      <c r="B1739" s="22" t="str">
        <f>IF(MOV_CC_NACIONAL!B1739="","",MOV_CC_NACIONAL!B1739)</f>
        <v/>
      </c>
      <c r="C1739" s="21" t="str">
        <f>IF(MOV_CC_NACIONAL!C1739="","",MOV_CC_NACIONAL!C1739)</f>
        <v/>
      </c>
      <c r="D1739" s="22" t="str">
        <f t="shared" si="1"/>
        <v>Other</v>
      </c>
    </row>
    <row r="1740" ht="15.75" customHeight="1">
      <c r="A1740" s="22" t="str">
        <f>IF(MOV_CC_NACIONAL!A1740="","",MOV_CC_NACIONAL!A1740)</f>
        <v/>
      </c>
      <c r="B1740" s="22" t="str">
        <f>IF(MOV_CC_NACIONAL!B1740="","",MOV_CC_NACIONAL!B1740)</f>
        <v/>
      </c>
      <c r="C1740" s="21" t="str">
        <f>IF(MOV_CC_NACIONAL!C1740="","",MOV_CC_NACIONAL!C1740)</f>
        <v/>
      </c>
      <c r="D1740" s="22" t="str">
        <f t="shared" si="1"/>
        <v>Other</v>
      </c>
    </row>
    <row r="1741" ht="15.75" customHeight="1">
      <c r="A1741" s="22" t="str">
        <f>IF(MOV_CC_NACIONAL!A1741="","",MOV_CC_NACIONAL!A1741)</f>
        <v/>
      </c>
      <c r="B1741" s="22" t="str">
        <f>IF(MOV_CC_NACIONAL!B1741="","",MOV_CC_NACIONAL!B1741)</f>
        <v/>
      </c>
      <c r="C1741" s="21" t="str">
        <f>IF(MOV_CC_NACIONAL!C1741="","",MOV_CC_NACIONAL!C1741)</f>
        <v/>
      </c>
      <c r="D1741" s="22" t="str">
        <f t="shared" si="1"/>
        <v>Other</v>
      </c>
    </row>
    <row r="1742" ht="15.75" customHeight="1">
      <c r="A1742" s="22" t="str">
        <f>IF(MOV_CC_NACIONAL!A1742="","",MOV_CC_NACIONAL!A1742)</f>
        <v/>
      </c>
      <c r="B1742" s="22" t="str">
        <f>IF(MOV_CC_NACIONAL!B1742="","",MOV_CC_NACIONAL!B1742)</f>
        <v/>
      </c>
      <c r="C1742" s="21" t="str">
        <f>IF(MOV_CC_NACIONAL!C1742="","",MOV_CC_NACIONAL!C1742)</f>
        <v/>
      </c>
      <c r="D1742" s="22" t="str">
        <f t="shared" si="1"/>
        <v>Other</v>
      </c>
    </row>
    <row r="1743" ht="15.75" customHeight="1">
      <c r="A1743" s="22" t="str">
        <f>IF(MOV_CC_NACIONAL!A1743="","",MOV_CC_NACIONAL!A1743)</f>
        <v/>
      </c>
      <c r="B1743" s="22" t="str">
        <f>IF(MOV_CC_NACIONAL!B1743="","",MOV_CC_NACIONAL!B1743)</f>
        <v/>
      </c>
      <c r="C1743" s="21" t="str">
        <f>IF(MOV_CC_NACIONAL!C1743="","",MOV_CC_NACIONAL!C1743)</f>
        <v/>
      </c>
      <c r="D1743" s="22" t="str">
        <f t="shared" si="1"/>
        <v>Other</v>
      </c>
    </row>
    <row r="1744" ht="15.75" customHeight="1">
      <c r="A1744" s="22" t="str">
        <f>IF(MOV_CC_NACIONAL!A1744="","",MOV_CC_NACIONAL!A1744)</f>
        <v/>
      </c>
      <c r="B1744" s="22" t="str">
        <f>IF(MOV_CC_NACIONAL!B1744="","",MOV_CC_NACIONAL!B1744)</f>
        <v/>
      </c>
      <c r="C1744" s="21" t="str">
        <f>IF(MOV_CC_NACIONAL!C1744="","",MOV_CC_NACIONAL!C1744)</f>
        <v/>
      </c>
      <c r="D1744" s="22" t="str">
        <f t="shared" si="1"/>
        <v>Other</v>
      </c>
    </row>
    <row r="1745" ht="15.75" customHeight="1">
      <c r="A1745" s="22" t="str">
        <f>IF(MOV_CC_NACIONAL!A1745="","",MOV_CC_NACIONAL!A1745)</f>
        <v/>
      </c>
      <c r="B1745" s="22" t="str">
        <f>IF(MOV_CC_NACIONAL!B1745="","",MOV_CC_NACIONAL!B1745)</f>
        <v/>
      </c>
      <c r="C1745" s="21" t="str">
        <f>IF(MOV_CC_NACIONAL!C1745="","",MOV_CC_NACIONAL!C1745)</f>
        <v/>
      </c>
      <c r="D1745" s="22" t="str">
        <f t="shared" si="1"/>
        <v>Other</v>
      </c>
    </row>
    <row r="1746" ht="15.75" customHeight="1">
      <c r="A1746" s="22" t="str">
        <f>IF(MOV_CC_NACIONAL!A1746="","",MOV_CC_NACIONAL!A1746)</f>
        <v/>
      </c>
      <c r="B1746" s="22" t="str">
        <f>IF(MOV_CC_NACIONAL!B1746="","",MOV_CC_NACIONAL!B1746)</f>
        <v/>
      </c>
      <c r="C1746" s="21" t="str">
        <f>IF(MOV_CC_NACIONAL!C1746="","",MOV_CC_NACIONAL!C1746)</f>
        <v/>
      </c>
      <c r="D1746" s="22" t="str">
        <f t="shared" si="1"/>
        <v>Other</v>
      </c>
    </row>
    <row r="1747" ht="15.75" customHeight="1">
      <c r="A1747" s="22" t="str">
        <f>IF(MOV_CC_NACIONAL!A1747="","",MOV_CC_NACIONAL!A1747)</f>
        <v/>
      </c>
      <c r="B1747" s="22" t="str">
        <f>IF(MOV_CC_NACIONAL!B1747="","",MOV_CC_NACIONAL!B1747)</f>
        <v/>
      </c>
      <c r="C1747" s="21" t="str">
        <f>IF(MOV_CC_NACIONAL!C1747="","",MOV_CC_NACIONAL!C1747)</f>
        <v/>
      </c>
      <c r="D1747" s="22" t="str">
        <f t="shared" si="1"/>
        <v>Other</v>
      </c>
    </row>
    <row r="1748" ht="15.75" customHeight="1">
      <c r="A1748" s="22" t="str">
        <f>IF(MOV_CC_NACIONAL!A1748="","",MOV_CC_NACIONAL!A1748)</f>
        <v/>
      </c>
      <c r="B1748" s="22" t="str">
        <f>IF(MOV_CC_NACIONAL!B1748="","",MOV_CC_NACIONAL!B1748)</f>
        <v/>
      </c>
      <c r="C1748" s="21" t="str">
        <f>IF(MOV_CC_NACIONAL!C1748="","",MOV_CC_NACIONAL!C1748)</f>
        <v/>
      </c>
      <c r="D1748" s="22" t="str">
        <f t="shared" si="1"/>
        <v>Other</v>
      </c>
    </row>
    <row r="1749" ht="15.75" customHeight="1">
      <c r="A1749" s="22" t="str">
        <f>IF(MOV_CC_NACIONAL!A1749="","",MOV_CC_NACIONAL!A1749)</f>
        <v/>
      </c>
      <c r="B1749" s="22" t="str">
        <f>IF(MOV_CC_NACIONAL!B1749="","",MOV_CC_NACIONAL!B1749)</f>
        <v/>
      </c>
      <c r="C1749" s="21" t="str">
        <f>IF(MOV_CC_NACIONAL!C1749="","",MOV_CC_NACIONAL!C1749)</f>
        <v/>
      </c>
      <c r="D1749" s="22" t="str">
        <f t="shared" si="1"/>
        <v>Other</v>
      </c>
    </row>
    <row r="1750" ht="15.75" customHeight="1">
      <c r="A1750" s="22" t="str">
        <f>IF(MOV_CC_NACIONAL!A1750="","",MOV_CC_NACIONAL!A1750)</f>
        <v/>
      </c>
      <c r="B1750" s="22" t="str">
        <f>IF(MOV_CC_NACIONAL!B1750="","",MOV_CC_NACIONAL!B1750)</f>
        <v/>
      </c>
      <c r="C1750" s="21" t="str">
        <f>IF(MOV_CC_NACIONAL!C1750="","",MOV_CC_NACIONAL!C1750)</f>
        <v/>
      </c>
      <c r="D1750" s="22" t="str">
        <f t="shared" si="1"/>
        <v>Other</v>
      </c>
    </row>
    <row r="1751" ht="15.75" customHeight="1">
      <c r="A1751" s="22" t="str">
        <f>IF(MOV_CC_NACIONAL!A1751="","",MOV_CC_NACIONAL!A1751)</f>
        <v/>
      </c>
      <c r="B1751" s="22" t="str">
        <f>IF(MOV_CC_NACIONAL!B1751="","",MOV_CC_NACIONAL!B1751)</f>
        <v/>
      </c>
      <c r="C1751" s="21" t="str">
        <f>IF(MOV_CC_NACIONAL!C1751="","",MOV_CC_NACIONAL!C1751)</f>
        <v/>
      </c>
      <c r="D1751" s="22" t="str">
        <f t="shared" si="1"/>
        <v>Other</v>
      </c>
    </row>
    <row r="1752" ht="15.75" customHeight="1">
      <c r="A1752" s="22" t="str">
        <f>IF(MOV_CC_NACIONAL!A1752="","",MOV_CC_NACIONAL!A1752)</f>
        <v/>
      </c>
      <c r="B1752" s="22" t="str">
        <f>IF(MOV_CC_NACIONAL!B1752="","",MOV_CC_NACIONAL!B1752)</f>
        <v/>
      </c>
      <c r="C1752" s="21" t="str">
        <f>IF(MOV_CC_NACIONAL!C1752="","",MOV_CC_NACIONAL!C1752)</f>
        <v/>
      </c>
      <c r="D1752" s="22" t="str">
        <f t="shared" si="1"/>
        <v>Other</v>
      </c>
    </row>
    <row r="1753" ht="15.75" customHeight="1">
      <c r="A1753" s="22" t="str">
        <f>IF(MOV_CC_NACIONAL!A1753="","",MOV_CC_NACIONAL!A1753)</f>
        <v/>
      </c>
      <c r="B1753" s="22" t="str">
        <f>IF(MOV_CC_NACIONAL!B1753="","",MOV_CC_NACIONAL!B1753)</f>
        <v/>
      </c>
      <c r="C1753" s="21" t="str">
        <f>IF(MOV_CC_NACIONAL!C1753="","",MOV_CC_NACIONAL!C1753)</f>
        <v/>
      </c>
      <c r="D1753" s="22" t="str">
        <f t="shared" si="1"/>
        <v>Other</v>
      </c>
    </row>
    <row r="1754" ht="15.75" customHeight="1">
      <c r="A1754" s="22" t="str">
        <f>IF(MOV_CC_NACIONAL!A1754="","",MOV_CC_NACIONAL!A1754)</f>
        <v/>
      </c>
      <c r="B1754" s="22" t="str">
        <f>IF(MOV_CC_NACIONAL!B1754="","",MOV_CC_NACIONAL!B1754)</f>
        <v/>
      </c>
      <c r="C1754" s="21" t="str">
        <f>IF(MOV_CC_NACIONAL!C1754="","",MOV_CC_NACIONAL!C1754)</f>
        <v/>
      </c>
      <c r="D1754" s="22" t="str">
        <f t="shared" si="1"/>
        <v>Other</v>
      </c>
    </row>
    <row r="1755" ht="15.75" customHeight="1">
      <c r="A1755" s="22" t="str">
        <f>IF(MOV_CC_NACIONAL!A1755="","",MOV_CC_NACIONAL!A1755)</f>
        <v/>
      </c>
      <c r="B1755" s="22" t="str">
        <f>IF(MOV_CC_NACIONAL!B1755="","",MOV_CC_NACIONAL!B1755)</f>
        <v/>
      </c>
      <c r="C1755" s="21" t="str">
        <f>IF(MOV_CC_NACIONAL!C1755="","",MOV_CC_NACIONAL!C1755)</f>
        <v/>
      </c>
      <c r="D1755" s="22" t="str">
        <f t="shared" si="1"/>
        <v>Other</v>
      </c>
    </row>
    <row r="1756" ht="15.75" customHeight="1">
      <c r="A1756" s="22" t="str">
        <f>IF(MOV_CC_NACIONAL!A1756="","",MOV_CC_NACIONAL!A1756)</f>
        <v/>
      </c>
      <c r="B1756" s="22" t="str">
        <f>IF(MOV_CC_NACIONAL!B1756="","",MOV_CC_NACIONAL!B1756)</f>
        <v/>
      </c>
      <c r="C1756" s="21" t="str">
        <f>IF(MOV_CC_NACIONAL!C1756="","",MOV_CC_NACIONAL!C1756)</f>
        <v/>
      </c>
      <c r="D1756" s="22" t="str">
        <f t="shared" si="1"/>
        <v>Other</v>
      </c>
    </row>
    <row r="1757" ht="15.75" customHeight="1">
      <c r="A1757" s="22" t="str">
        <f>IF(MOV_CC_NACIONAL!A1757="","",MOV_CC_NACIONAL!A1757)</f>
        <v/>
      </c>
      <c r="B1757" s="22" t="str">
        <f>IF(MOV_CC_NACIONAL!B1757="","",MOV_CC_NACIONAL!B1757)</f>
        <v/>
      </c>
      <c r="C1757" s="21" t="str">
        <f>IF(MOV_CC_NACIONAL!C1757="","",MOV_CC_NACIONAL!C1757)</f>
        <v/>
      </c>
      <c r="D1757" s="22" t="str">
        <f t="shared" si="1"/>
        <v>Other</v>
      </c>
    </row>
    <row r="1758" ht="15.75" customHeight="1">
      <c r="A1758" s="22" t="str">
        <f>IF(MOV_CC_NACIONAL!A1758="","",MOV_CC_NACIONAL!A1758)</f>
        <v/>
      </c>
      <c r="B1758" s="22" t="str">
        <f>IF(MOV_CC_NACIONAL!B1758="","",MOV_CC_NACIONAL!B1758)</f>
        <v/>
      </c>
      <c r="C1758" s="21" t="str">
        <f>IF(MOV_CC_NACIONAL!C1758="","",MOV_CC_NACIONAL!C1758)</f>
        <v/>
      </c>
      <c r="D1758" s="22" t="str">
        <f t="shared" si="1"/>
        <v>Other</v>
      </c>
    </row>
    <row r="1759" ht="15.75" customHeight="1">
      <c r="A1759" s="22" t="str">
        <f>IF(MOV_CC_NACIONAL!A1759="","",MOV_CC_NACIONAL!A1759)</f>
        <v/>
      </c>
      <c r="B1759" s="22" t="str">
        <f>IF(MOV_CC_NACIONAL!B1759="","",MOV_CC_NACIONAL!B1759)</f>
        <v/>
      </c>
      <c r="C1759" s="21" t="str">
        <f>IF(MOV_CC_NACIONAL!C1759="","",MOV_CC_NACIONAL!C1759)</f>
        <v/>
      </c>
      <c r="D1759" s="22" t="str">
        <f t="shared" si="1"/>
        <v>Other</v>
      </c>
    </row>
    <row r="1760" ht="15.75" customHeight="1">
      <c r="A1760" s="22" t="str">
        <f>IF(MOV_CC_NACIONAL!A1760="","",MOV_CC_NACIONAL!A1760)</f>
        <v/>
      </c>
      <c r="B1760" s="22" t="str">
        <f>IF(MOV_CC_NACIONAL!B1760="","",MOV_CC_NACIONAL!B1760)</f>
        <v/>
      </c>
      <c r="C1760" s="21" t="str">
        <f>IF(MOV_CC_NACIONAL!C1760="","",MOV_CC_NACIONAL!C1760)</f>
        <v/>
      </c>
      <c r="D1760" s="22" t="str">
        <f t="shared" si="1"/>
        <v>Other</v>
      </c>
    </row>
    <row r="1761" ht="15.75" customHeight="1">
      <c r="A1761" s="22" t="str">
        <f>IF(MOV_CC_NACIONAL!A1761="","",MOV_CC_NACIONAL!A1761)</f>
        <v/>
      </c>
      <c r="B1761" s="22" t="str">
        <f>IF(MOV_CC_NACIONAL!B1761="","",MOV_CC_NACIONAL!B1761)</f>
        <v/>
      </c>
      <c r="C1761" s="21" t="str">
        <f>IF(MOV_CC_NACIONAL!C1761="","",MOV_CC_NACIONAL!C1761)</f>
        <v/>
      </c>
      <c r="D1761" s="22" t="str">
        <f t="shared" si="1"/>
        <v>Other</v>
      </c>
    </row>
    <row r="1762" ht="15.75" customHeight="1">
      <c r="A1762" s="22" t="str">
        <f>IF(MOV_CC_NACIONAL!A1762="","",MOV_CC_NACIONAL!A1762)</f>
        <v/>
      </c>
      <c r="B1762" s="22" t="str">
        <f>IF(MOV_CC_NACIONAL!B1762="","",MOV_CC_NACIONAL!B1762)</f>
        <v/>
      </c>
      <c r="C1762" s="21" t="str">
        <f>IF(MOV_CC_NACIONAL!C1762="","",MOV_CC_NACIONAL!C1762)</f>
        <v/>
      </c>
      <c r="D1762" s="22" t="str">
        <f t="shared" si="1"/>
        <v>Other</v>
      </c>
    </row>
    <row r="1763" ht="15.75" customHeight="1">
      <c r="A1763" s="22" t="str">
        <f>IF(MOV_CC_NACIONAL!A1763="","",MOV_CC_NACIONAL!A1763)</f>
        <v/>
      </c>
      <c r="B1763" s="22" t="str">
        <f>IF(MOV_CC_NACIONAL!B1763="","",MOV_CC_NACIONAL!B1763)</f>
        <v/>
      </c>
      <c r="C1763" s="21" t="str">
        <f>IF(MOV_CC_NACIONAL!C1763="","",MOV_CC_NACIONAL!C1763)</f>
        <v/>
      </c>
      <c r="D1763" s="22" t="str">
        <f t="shared" si="1"/>
        <v>Other</v>
      </c>
    </row>
    <row r="1764" ht="15.75" customHeight="1">
      <c r="A1764" s="22" t="str">
        <f>IF(MOV_CC_NACIONAL!A1764="","",MOV_CC_NACIONAL!A1764)</f>
        <v/>
      </c>
      <c r="B1764" s="22" t="str">
        <f>IF(MOV_CC_NACIONAL!B1764="","",MOV_CC_NACIONAL!B1764)</f>
        <v/>
      </c>
      <c r="C1764" s="21" t="str">
        <f>IF(MOV_CC_NACIONAL!C1764="","",MOV_CC_NACIONAL!C1764)</f>
        <v/>
      </c>
      <c r="D1764" s="22" t="str">
        <f t="shared" si="1"/>
        <v>Other</v>
      </c>
    </row>
    <row r="1765" ht="15.75" customHeight="1">
      <c r="A1765" s="22" t="str">
        <f>IF(MOV_CC_NACIONAL!A1765="","",MOV_CC_NACIONAL!A1765)</f>
        <v/>
      </c>
      <c r="B1765" s="22" t="str">
        <f>IF(MOV_CC_NACIONAL!B1765="","",MOV_CC_NACIONAL!B1765)</f>
        <v/>
      </c>
      <c r="C1765" s="21" t="str">
        <f>IF(MOV_CC_NACIONAL!C1765="","",MOV_CC_NACIONAL!C1765)</f>
        <v/>
      </c>
      <c r="D1765" s="22" t="str">
        <f t="shared" si="1"/>
        <v>Other</v>
      </c>
    </row>
    <row r="1766" ht="15.75" customHeight="1">
      <c r="A1766" s="22" t="str">
        <f>IF(MOV_CC_NACIONAL!A1766="","",MOV_CC_NACIONAL!A1766)</f>
        <v/>
      </c>
      <c r="B1766" s="22" t="str">
        <f>IF(MOV_CC_NACIONAL!B1766="","",MOV_CC_NACIONAL!B1766)</f>
        <v/>
      </c>
      <c r="C1766" s="21" t="str">
        <f>IF(MOV_CC_NACIONAL!C1766="","",MOV_CC_NACIONAL!C1766)</f>
        <v/>
      </c>
      <c r="D1766" s="22" t="str">
        <f t="shared" si="1"/>
        <v>Other</v>
      </c>
    </row>
    <row r="1767" ht="15.75" customHeight="1">
      <c r="A1767" s="22" t="str">
        <f>IF(MOV_CC_NACIONAL!A1767="","",MOV_CC_NACIONAL!A1767)</f>
        <v/>
      </c>
      <c r="B1767" s="22" t="str">
        <f>IF(MOV_CC_NACIONAL!B1767="","",MOV_CC_NACIONAL!B1767)</f>
        <v/>
      </c>
      <c r="C1767" s="21" t="str">
        <f>IF(MOV_CC_NACIONAL!C1767="","",MOV_CC_NACIONAL!C1767)</f>
        <v/>
      </c>
      <c r="D1767" s="22" t="str">
        <f t="shared" si="1"/>
        <v>Other</v>
      </c>
    </row>
    <row r="1768" ht="15.75" customHeight="1">
      <c r="A1768" s="22" t="str">
        <f>IF(MOV_CC_NACIONAL!A1768="","",MOV_CC_NACIONAL!A1768)</f>
        <v/>
      </c>
      <c r="B1768" s="22" t="str">
        <f>IF(MOV_CC_NACIONAL!B1768="","",MOV_CC_NACIONAL!B1768)</f>
        <v/>
      </c>
      <c r="C1768" s="21" t="str">
        <f>IF(MOV_CC_NACIONAL!C1768="","",MOV_CC_NACIONAL!C1768)</f>
        <v/>
      </c>
      <c r="D1768" s="22" t="str">
        <f t="shared" si="1"/>
        <v>Other</v>
      </c>
    </row>
    <row r="1769" ht="15.75" customHeight="1">
      <c r="A1769" s="22" t="str">
        <f>IF(MOV_CC_NACIONAL!A1769="","",MOV_CC_NACIONAL!A1769)</f>
        <v/>
      </c>
      <c r="B1769" s="22" t="str">
        <f>IF(MOV_CC_NACIONAL!B1769="","",MOV_CC_NACIONAL!B1769)</f>
        <v/>
      </c>
      <c r="C1769" s="21" t="str">
        <f>IF(MOV_CC_NACIONAL!C1769="","",MOV_CC_NACIONAL!C1769)</f>
        <v/>
      </c>
      <c r="D1769" s="22" t="str">
        <f t="shared" si="1"/>
        <v>Other</v>
      </c>
    </row>
    <row r="1770" ht="15.75" customHeight="1">
      <c r="A1770" s="22" t="str">
        <f>IF(MOV_CC_NACIONAL!A1770="","",MOV_CC_NACIONAL!A1770)</f>
        <v/>
      </c>
      <c r="B1770" s="22" t="str">
        <f>IF(MOV_CC_NACIONAL!B1770="","",MOV_CC_NACIONAL!B1770)</f>
        <v/>
      </c>
      <c r="C1770" s="21" t="str">
        <f>IF(MOV_CC_NACIONAL!C1770="","",MOV_CC_NACIONAL!C1770)</f>
        <v/>
      </c>
      <c r="D1770" s="22" t="str">
        <f t="shared" si="1"/>
        <v>Other</v>
      </c>
    </row>
    <row r="1771" ht="15.75" customHeight="1">
      <c r="A1771" s="22" t="str">
        <f>IF(MOV_CC_NACIONAL!A1771="","",MOV_CC_NACIONAL!A1771)</f>
        <v/>
      </c>
      <c r="B1771" s="22" t="str">
        <f>IF(MOV_CC_NACIONAL!B1771="","",MOV_CC_NACIONAL!B1771)</f>
        <v/>
      </c>
      <c r="C1771" s="21" t="str">
        <f>IF(MOV_CC_NACIONAL!C1771="","",MOV_CC_NACIONAL!C1771)</f>
        <v/>
      </c>
      <c r="D1771" s="22" t="str">
        <f t="shared" si="1"/>
        <v>Other</v>
      </c>
    </row>
    <row r="1772" ht="15.75" customHeight="1">
      <c r="A1772" s="22" t="str">
        <f>IF(MOV_CC_NACIONAL!A1772="","",MOV_CC_NACIONAL!A1772)</f>
        <v/>
      </c>
      <c r="B1772" s="22" t="str">
        <f>IF(MOV_CC_NACIONAL!B1772="","",MOV_CC_NACIONAL!B1772)</f>
        <v/>
      </c>
      <c r="C1772" s="21" t="str">
        <f>IF(MOV_CC_NACIONAL!C1772="","",MOV_CC_NACIONAL!C1772)</f>
        <v/>
      </c>
      <c r="D1772" s="22" t="str">
        <f t="shared" si="1"/>
        <v>Other</v>
      </c>
    </row>
    <row r="1773" ht="15.75" customHeight="1">
      <c r="A1773" s="22" t="str">
        <f>IF(MOV_CC_NACIONAL!A1773="","",MOV_CC_NACIONAL!A1773)</f>
        <v/>
      </c>
      <c r="B1773" s="22" t="str">
        <f>IF(MOV_CC_NACIONAL!B1773="","",MOV_CC_NACIONAL!B1773)</f>
        <v/>
      </c>
      <c r="C1773" s="21" t="str">
        <f>IF(MOV_CC_NACIONAL!C1773="","",MOV_CC_NACIONAL!C1773)</f>
        <v/>
      </c>
      <c r="D1773" s="22" t="str">
        <f t="shared" si="1"/>
        <v>Other</v>
      </c>
    </row>
    <row r="1774" ht="15.75" customHeight="1">
      <c r="A1774" s="22" t="str">
        <f>IF(MOV_CC_NACIONAL!A1774="","",MOV_CC_NACIONAL!A1774)</f>
        <v/>
      </c>
      <c r="B1774" s="22" t="str">
        <f>IF(MOV_CC_NACIONAL!B1774="","",MOV_CC_NACIONAL!B1774)</f>
        <v/>
      </c>
      <c r="C1774" s="21" t="str">
        <f>IF(MOV_CC_NACIONAL!C1774="","",MOV_CC_NACIONAL!C1774)</f>
        <v/>
      </c>
      <c r="D1774" s="22" t="str">
        <f t="shared" si="1"/>
        <v>Other</v>
      </c>
    </row>
    <row r="1775" ht="15.75" customHeight="1">
      <c r="A1775" s="22" t="str">
        <f>IF(MOV_CC_NACIONAL!A1775="","",MOV_CC_NACIONAL!A1775)</f>
        <v/>
      </c>
      <c r="B1775" s="22" t="str">
        <f>IF(MOV_CC_NACIONAL!B1775="","",MOV_CC_NACIONAL!B1775)</f>
        <v/>
      </c>
      <c r="C1775" s="21" t="str">
        <f>IF(MOV_CC_NACIONAL!C1775="","",MOV_CC_NACIONAL!C1775)</f>
        <v/>
      </c>
      <c r="D1775" s="22" t="str">
        <f t="shared" si="1"/>
        <v>Other</v>
      </c>
    </row>
    <row r="1776" ht="15.75" customHeight="1">
      <c r="A1776" s="22" t="str">
        <f>IF(MOV_CC_NACIONAL!A1776="","",MOV_CC_NACIONAL!A1776)</f>
        <v/>
      </c>
      <c r="B1776" s="22" t="str">
        <f>IF(MOV_CC_NACIONAL!B1776="","",MOV_CC_NACIONAL!B1776)</f>
        <v/>
      </c>
      <c r="C1776" s="21" t="str">
        <f>IF(MOV_CC_NACIONAL!C1776="","",MOV_CC_NACIONAL!C1776)</f>
        <v/>
      </c>
      <c r="D1776" s="22" t="str">
        <f t="shared" si="1"/>
        <v>Other</v>
      </c>
    </row>
    <row r="1777" ht="15.75" customHeight="1">
      <c r="A1777" s="22" t="str">
        <f>IF(MOV_CC_NACIONAL!A1777="","",MOV_CC_NACIONAL!A1777)</f>
        <v/>
      </c>
      <c r="B1777" s="22" t="str">
        <f>IF(MOV_CC_NACIONAL!B1777="","",MOV_CC_NACIONAL!B1777)</f>
        <v/>
      </c>
      <c r="C1777" s="21" t="str">
        <f>IF(MOV_CC_NACIONAL!C1777="","",MOV_CC_NACIONAL!C1777)</f>
        <v/>
      </c>
      <c r="D1777" s="22" t="str">
        <f t="shared" si="1"/>
        <v>Other</v>
      </c>
    </row>
    <row r="1778" ht="15.75" customHeight="1">
      <c r="A1778" s="22" t="str">
        <f>IF(MOV_CC_NACIONAL!A1778="","",MOV_CC_NACIONAL!A1778)</f>
        <v/>
      </c>
      <c r="B1778" s="22" t="str">
        <f>IF(MOV_CC_NACIONAL!B1778="","",MOV_CC_NACIONAL!B1778)</f>
        <v/>
      </c>
      <c r="C1778" s="21" t="str">
        <f>IF(MOV_CC_NACIONAL!C1778="","",MOV_CC_NACIONAL!C1778)</f>
        <v/>
      </c>
      <c r="D1778" s="22" t="str">
        <f t="shared" si="1"/>
        <v>Other</v>
      </c>
    </row>
    <row r="1779" ht="15.75" customHeight="1">
      <c r="A1779" s="22" t="str">
        <f>IF(MOV_CC_NACIONAL!A1779="","",MOV_CC_NACIONAL!A1779)</f>
        <v/>
      </c>
      <c r="B1779" s="22" t="str">
        <f>IF(MOV_CC_NACIONAL!B1779="","",MOV_CC_NACIONAL!B1779)</f>
        <v/>
      </c>
      <c r="C1779" s="21" t="str">
        <f>IF(MOV_CC_NACIONAL!C1779="","",MOV_CC_NACIONAL!C1779)</f>
        <v/>
      </c>
      <c r="D1779" s="22" t="str">
        <f t="shared" si="1"/>
        <v>Other</v>
      </c>
    </row>
    <row r="1780" ht="15.75" customHeight="1">
      <c r="A1780" s="22" t="str">
        <f>IF(MOV_CC_NACIONAL!A1780="","",MOV_CC_NACIONAL!A1780)</f>
        <v/>
      </c>
      <c r="B1780" s="22" t="str">
        <f>IF(MOV_CC_NACIONAL!B1780="","",MOV_CC_NACIONAL!B1780)</f>
        <v/>
      </c>
      <c r="C1780" s="21" t="str">
        <f>IF(MOV_CC_NACIONAL!C1780="","",MOV_CC_NACIONAL!C1780)</f>
        <v/>
      </c>
      <c r="D1780" s="22" t="str">
        <f t="shared" si="1"/>
        <v>Other</v>
      </c>
    </row>
    <row r="1781" ht="15.75" customHeight="1">
      <c r="A1781" s="22" t="str">
        <f>IF(MOV_CC_NACIONAL!A1781="","",MOV_CC_NACIONAL!A1781)</f>
        <v/>
      </c>
      <c r="B1781" s="22" t="str">
        <f>IF(MOV_CC_NACIONAL!B1781="","",MOV_CC_NACIONAL!B1781)</f>
        <v/>
      </c>
      <c r="C1781" s="21" t="str">
        <f>IF(MOV_CC_NACIONAL!C1781="","",MOV_CC_NACIONAL!C1781)</f>
        <v/>
      </c>
      <c r="D1781" s="22" t="str">
        <f t="shared" si="1"/>
        <v>Other</v>
      </c>
    </row>
    <row r="1782" ht="15.75" customHeight="1">
      <c r="A1782" s="22" t="str">
        <f>IF(MOV_CC_NACIONAL!A1782="","",MOV_CC_NACIONAL!A1782)</f>
        <v/>
      </c>
      <c r="B1782" s="22" t="str">
        <f>IF(MOV_CC_NACIONAL!B1782="","",MOV_CC_NACIONAL!B1782)</f>
        <v/>
      </c>
      <c r="C1782" s="21" t="str">
        <f>IF(MOV_CC_NACIONAL!C1782="","",MOV_CC_NACIONAL!C1782)</f>
        <v/>
      </c>
      <c r="D1782" s="22" t="str">
        <f t="shared" si="1"/>
        <v>Other</v>
      </c>
    </row>
    <row r="1783" ht="15.75" customHeight="1">
      <c r="A1783" s="22" t="str">
        <f>IF(MOV_CC_NACIONAL!A1783="","",MOV_CC_NACIONAL!A1783)</f>
        <v/>
      </c>
      <c r="B1783" s="22" t="str">
        <f>IF(MOV_CC_NACIONAL!B1783="","",MOV_CC_NACIONAL!B1783)</f>
        <v/>
      </c>
      <c r="C1783" s="21" t="str">
        <f>IF(MOV_CC_NACIONAL!C1783="","",MOV_CC_NACIONAL!C1783)</f>
        <v/>
      </c>
      <c r="D1783" s="22" t="str">
        <f t="shared" si="1"/>
        <v>Other</v>
      </c>
    </row>
    <row r="1784" ht="15.75" customHeight="1">
      <c r="A1784" s="22" t="str">
        <f>IF(MOV_CC_NACIONAL!A1784="","",MOV_CC_NACIONAL!A1784)</f>
        <v/>
      </c>
      <c r="B1784" s="22" t="str">
        <f>IF(MOV_CC_NACIONAL!B1784="","",MOV_CC_NACIONAL!B1784)</f>
        <v/>
      </c>
      <c r="C1784" s="21" t="str">
        <f>IF(MOV_CC_NACIONAL!C1784="","",MOV_CC_NACIONAL!C1784)</f>
        <v/>
      </c>
      <c r="D1784" s="22" t="str">
        <f t="shared" si="1"/>
        <v>Other</v>
      </c>
    </row>
    <row r="1785" ht="15.75" customHeight="1">
      <c r="A1785" s="22" t="str">
        <f>IF(MOV_CC_NACIONAL!A1785="","",MOV_CC_NACIONAL!A1785)</f>
        <v/>
      </c>
      <c r="B1785" s="22" t="str">
        <f>IF(MOV_CC_NACIONAL!B1785="","",MOV_CC_NACIONAL!B1785)</f>
        <v/>
      </c>
      <c r="C1785" s="21" t="str">
        <f>IF(MOV_CC_NACIONAL!C1785="","",MOV_CC_NACIONAL!C1785)</f>
        <v/>
      </c>
      <c r="D1785" s="22" t="str">
        <f t="shared" si="1"/>
        <v>Other</v>
      </c>
    </row>
    <row r="1786" ht="15.75" customHeight="1">
      <c r="A1786" s="22" t="str">
        <f>IF(MOV_CC_NACIONAL!A1786="","",MOV_CC_NACIONAL!A1786)</f>
        <v/>
      </c>
      <c r="B1786" s="22" t="str">
        <f>IF(MOV_CC_NACIONAL!B1786="","",MOV_CC_NACIONAL!B1786)</f>
        <v/>
      </c>
      <c r="C1786" s="21" t="str">
        <f>IF(MOV_CC_NACIONAL!C1786="","",MOV_CC_NACIONAL!C1786)</f>
        <v/>
      </c>
      <c r="D1786" s="22" t="str">
        <f t="shared" si="1"/>
        <v>Other</v>
      </c>
    </row>
    <row r="1787" ht="15.75" customHeight="1">
      <c r="A1787" s="22" t="str">
        <f>IF(MOV_CC_NACIONAL!A1787="","",MOV_CC_NACIONAL!A1787)</f>
        <v/>
      </c>
      <c r="B1787" s="22" t="str">
        <f>IF(MOV_CC_NACIONAL!B1787="","",MOV_CC_NACIONAL!B1787)</f>
        <v/>
      </c>
      <c r="C1787" s="21" t="str">
        <f>IF(MOV_CC_NACIONAL!C1787="","",MOV_CC_NACIONAL!C1787)</f>
        <v/>
      </c>
      <c r="D1787" s="22" t="str">
        <f t="shared" si="1"/>
        <v>Other</v>
      </c>
    </row>
    <row r="1788" ht="15.75" customHeight="1">
      <c r="A1788" s="22" t="str">
        <f>IF(MOV_CC_NACIONAL!A1788="","",MOV_CC_NACIONAL!A1788)</f>
        <v/>
      </c>
      <c r="B1788" s="22" t="str">
        <f>IF(MOV_CC_NACIONAL!B1788="","",MOV_CC_NACIONAL!B1788)</f>
        <v/>
      </c>
      <c r="C1788" s="21" t="str">
        <f>IF(MOV_CC_NACIONAL!C1788="","",MOV_CC_NACIONAL!C1788)</f>
        <v/>
      </c>
      <c r="D1788" s="22" t="str">
        <f t="shared" si="1"/>
        <v>Other</v>
      </c>
    </row>
    <row r="1789" ht="15.75" customHeight="1">
      <c r="A1789" s="22" t="str">
        <f>IF(MOV_CC_NACIONAL!A1789="","",MOV_CC_NACIONAL!A1789)</f>
        <v/>
      </c>
      <c r="B1789" s="22" t="str">
        <f>IF(MOV_CC_NACIONAL!B1789="","",MOV_CC_NACIONAL!B1789)</f>
        <v/>
      </c>
      <c r="C1789" s="21" t="str">
        <f>IF(MOV_CC_NACIONAL!C1789="","",MOV_CC_NACIONAL!C1789)</f>
        <v/>
      </c>
      <c r="D1789" s="22" t="str">
        <f t="shared" si="1"/>
        <v>Other</v>
      </c>
    </row>
    <row r="1790" ht="15.75" customHeight="1">
      <c r="A1790" s="22" t="str">
        <f>IF(MOV_CC_NACIONAL!A1790="","",MOV_CC_NACIONAL!A1790)</f>
        <v/>
      </c>
      <c r="B1790" s="22" t="str">
        <f>IF(MOV_CC_NACIONAL!B1790="","",MOV_CC_NACIONAL!B1790)</f>
        <v/>
      </c>
      <c r="C1790" s="21" t="str">
        <f>IF(MOV_CC_NACIONAL!C1790="","",MOV_CC_NACIONAL!C1790)</f>
        <v/>
      </c>
      <c r="D1790" s="22" t="str">
        <f t="shared" si="1"/>
        <v>Other</v>
      </c>
    </row>
    <row r="1791" ht="15.75" customHeight="1">
      <c r="A1791" s="22" t="str">
        <f>IF(MOV_CC_NACIONAL!A1791="","",MOV_CC_NACIONAL!A1791)</f>
        <v/>
      </c>
      <c r="B1791" s="22" t="str">
        <f>IF(MOV_CC_NACIONAL!B1791="","",MOV_CC_NACIONAL!B1791)</f>
        <v/>
      </c>
      <c r="C1791" s="21" t="str">
        <f>IF(MOV_CC_NACIONAL!C1791="","",MOV_CC_NACIONAL!C1791)</f>
        <v/>
      </c>
      <c r="D1791" s="22" t="str">
        <f t="shared" si="1"/>
        <v>Other</v>
      </c>
    </row>
    <row r="1792" ht="15.75" customHeight="1">
      <c r="A1792" s="22" t="str">
        <f>IF(MOV_CC_NACIONAL!A1792="","",MOV_CC_NACIONAL!A1792)</f>
        <v/>
      </c>
      <c r="B1792" s="22" t="str">
        <f>IF(MOV_CC_NACIONAL!B1792="","",MOV_CC_NACIONAL!B1792)</f>
        <v/>
      </c>
      <c r="C1792" s="21" t="str">
        <f>IF(MOV_CC_NACIONAL!C1792="","",MOV_CC_NACIONAL!C1792)</f>
        <v/>
      </c>
      <c r="D1792" s="22" t="str">
        <f t="shared" si="1"/>
        <v>Other</v>
      </c>
    </row>
    <row r="1793" ht="15.75" customHeight="1">
      <c r="A1793" s="22" t="str">
        <f>IF(MOV_CC_NACIONAL!A1793="","",MOV_CC_NACIONAL!A1793)</f>
        <v/>
      </c>
      <c r="B1793" s="22" t="str">
        <f>IF(MOV_CC_NACIONAL!B1793="","",MOV_CC_NACIONAL!B1793)</f>
        <v/>
      </c>
      <c r="C1793" s="21" t="str">
        <f>IF(MOV_CC_NACIONAL!C1793="","",MOV_CC_NACIONAL!C1793)</f>
        <v/>
      </c>
      <c r="D1793" s="22" t="str">
        <f t="shared" si="1"/>
        <v>Other</v>
      </c>
    </row>
    <row r="1794" ht="15.75" customHeight="1">
      <c r="A1794" s="22" t="str">
        <f>IF(MOV_CC_NACIONAL!A1794="","",MOV_CC_NACIONAL!A1794)</f>
        <v/>
      </c>
      <c r="B1794" s="22" t="str">
        <f>IF(MOV_CC_NACIONAL!B1794="","",MOV_CC_NACIONAL!B1794)</f>
        <v/>
      </c>
      <c r="C1794" s="21" t="str">
        <f>IF(MOV_CC_NACIONAL!C1794="","",MOV_CC_NACIONAL!C1794)</f>
        <v/>
      </c>
      <c r="D1794" s="22" t="str">
        <f t="shared" si="1"/>
        <v>Other</v>
      </c>
    </row>
    <row r="1795" ht="15.75" customHeight="1">
      <c r="A1795" s="22" t="str">
        <f>IF(MOV_CC_NACIONAL!A1795="","",MOV_CC_NACIONAL!A1795)</f>
        <v/>
      </c>
      <c r="B1795" s="22" t="str">
        <f>IF(MOV_CC_NACIONAL!B1795="","",MOV_CC_NACIONAL!B1795)</f>
        <v/>
      </c>
      <c r="C1795" s="21" t="str">
        <f>IF(MOV_CC_NACIONAL!C1795="","",MOV_CC_NACIONAL!C1795)</f>
        <v/>
      </c>
      <c r="D1795" s="22" t="str">
        <f t="shared" si="1"/>
        <v>Other</v>
      </c>
    </row>
    <row r="1796" ht="15.75" customHeight="1">
      <c r="A1796" s="22" t="str">
        <f>IF(MOV_CC_NACIONAL!A1796="","",MOV_CC_NACIONAL!A1796)</f>
        <v/>
      </c>
      <c r="B1796" s="22" t="str">
        <f>IF(MOV_CC_NACIONAL!B1796="","",MOV_CC_NACIONAL!B1796)</f>
        <v/>
      </c>
      <c r="C1796" s="21" t="str">
        <f>IF(MOV_CC_NACIONAL!C1796="","",MOV_CC_NACIONAL!C1796)</f>
        <v/>
      </c>
      <c r="D1796" s="22" t="str">
        <f t="shared" si="1"/>
        <v>Other</v>
      </c>
    </row>
    <row r="1797" ht="15.75" customHeight="1">
      <c r="A1797" s="22" t="str">
        <f>IF(MOV_CC_NACIONAL!A1797="","",MOV_CC_NACIONAL!A1797)</f>
        <v/>
      </c>
      <c r="B1797" s="22" t="str">
        <f>IF(MOV_CC_NACIONAL!B1797="","",MOV_CC_NACIONAL!B1797)</f>
        <v/>
      </c>
      <c r="C1797" s="21" t="str">
        <f>IF(MOV_CC_NACIONAL!C1797="","",MOV_CC_NACIONAL!C1797)</f>
        <v/>
      </c>
      <c r="D1797" s="22" t="str">
        <f t="shared" si="1"/>
        <v>Other</v>
      </c>
    </row>
    <row r="1798" ht="15.75" customHeight="1">
      <c r="A1798" s="22" t="str">
        <f>IF(MOV_CC_NACIONAL!A1798="","",MOV_CC_NACIONAL!A1798)</f>
        <v/>
      </c>
      <c r="B1798" s="22" t="str">
        <f>IF(MOV_CC_NACIONAL!B1798="","",MOV_CC_NACIONAL!B1798)</f>
        <v/>
      </c>
      <c r="C1798" s="21" t="str">
        <f>IF(MOV_CC_NACIONAL!C1798="","",MOV_CC_NACIONAL!C1798)</f>
        <v/>
      </c>
      <c r="D1798" s="22" t="str">
        <f t="shared" si="1"/>
        <v>Other</v>
      </c>
    </row>
    <row r="1799" ht="15.75" customHeight="1">
      <c r="A1799" s="22" t="str">
        <f>IF(MOV_CC_NACIONAL!A1799="","",MOV_CC_NACIONAL!A1799)</f>
        <v/>
      </c>
      <c r="B1799" s="22" t="str">
        <f>IF(MOV_CC_NACIONAL!B1799="","",MOV_CC_NACIONAL!B1799)</f>
        <v/>
      </c>
      <c r="C1799" s="21" t="str">
        <f>IF(MOV_CC_NACIONAL!C1799="","",MOV_CC_NACIONAL!C1799)</f>
        <v/>
      </c>
      <c r="D1799" s="22" t="str">
        <f t="shared" si="1"/>
        <v>Other</v>
      </c>
    </row>
    <row r="1800" ht="15.75" customHeight="1">
      <c r="A1800" s="22" t="str">
        <f>IF(MOV_CC_NACIONAL!A1800="","",MOV_CC_NACIONAL!A1800)</f>
        <v/>
      </c>
      <c r="B1800" s="22" t="str">
        <f>IF(MOV_CC_NACIONAL!B1800="","",MOV_CC_NACIONAL!B1800)</f>
        <v/>
      </c>
      <c r="C1800" s="21" t="str">
        <f>IF(MOV_CC_NACIONAL!C1800="","",MOV_CC_NACIONAL!C1800)</f>
        <v/>
      </c>
      <c r="D1800" s="22" t="str">
        <f t="shared" si="1"/>
        <v>Other</v>
      </c>
    </row>
    <row r="1801" ht="15.75" customHeight="1">
      <c r="A1801" s="22" t="str">
        <f>IF(MOV_CC_NACIONAL!A1801="","",MOV_CC_NACIONAL!A1801)</f>
        <v/>
      </c>
      <c r="B1801" s="22" t="str">
        <f>IF(MOV_CC_NACIONAL!B1801="","",MOV_CC_NACIONAL!B1801)</f>
        <v/>
      </c>
      <c r="C1801" s="21" t="str">
        <f>IF(MOV_CC_NACIONAL!C1801="","",MOV_CC_NACIONAL!C1801)</f>
        <v/>
      </c>
      <c r="D1801" s="22" t="str">
        <f t="shared" si="1"/>
        <v>Other</v>
      </c>
    </row>
    <row r="1802" ht="15.75" customHeight="1">
      <c r="A1802" s="22" t="str">
        <f>IF(MOV_CC_NACIONAL!A1802="","",MOV_CC_NACIONAL!A1802)</f>
        <v/>
      </c>
      <c r="B1802" s="22" t="str">
        <f>IF(MOV_CC_NACIONAL!B1802="","",MOV_CC_NACIONAL!B1802)</f>
        <v/>
      </c>
      <c r="C1802" s="21" t="str">
        <f>IF(MOV_CC_NACIONAL!C1802="","",MOV_CC_NACIONAL!C1802)</f>
        <v/>
      </c>
      <c r="D1802" s="22" t="str">
        <f t="shared" si="1"/>
        <v>Other</v>
      </c>
    </row>
    <row r="1803" ht="15.75" customHeight="1">
      <c r="A1803" s="22" t="str">
        <f>IF(MOV_CC_NACIONAL!A1803="","",MOV_CC_NACIONAL!A1803)</f>
        <v/>
      </c>
      <c r="B1803" s="22" t="str">
        <f>IF(MOV_CC_NACIONAL!B1803="","",MOV_CC_NACIONAL!B1803)</f>
        <v/>
      </c>
      <c r="C1803" s="21" t="str">
        <f>IF(MOV_CC_NACIONAL!C1803="","",MOV_CC_NACIONAL!C1803)</f>
        <v/>
      </c>
      <c r="D1803" s="22" t="str">
        <f t="shared" si="1"/>
        <v>Other</v>
      </c>
    </row>
    <row r="1804" ht="15.75" customHeight="1">
      <c r="A1804" s="22" t="str">
        <f>IF(MOV_CC_NACIONAL!A1804="","",MOV_CC_NACIONAL!A1804)</f>
        <v/>
      </c>
      <c r="B1804" s="22" t="str">
        <f>IF(MOV_CC_NACIONAL!B1804="","",MOV_CC_NACIONAL!B1804)</f>
        <v/>
      </c>
      <c r="C1804" s="21" t="str">
        <f>IF(MOV_CC_NACIONAL!C1804="","",MOV_CC_NACIONAL!C1804)</f>
        <v/>
      </c>
      <c r="D1804" s="22" t="str">
        <f t="shared" si="1"/>
        <v>Other</v>
      </c>
    </row>
    <row r="1805" ht="15.75" customHeight="1">
      <c r="A1805" s="22" t="str">
        <f>IF(MOV_CC_NACIONAL!A1805="","",MOV_CC_NACIONAL!A1805)</f>
        <v/>
      </c>
      <c r="B1805" s="22" t="str">
        <f>IF(MOV_CC_NACIONAL!B1805="","",MOV_CC_NACIONAL!B1805)</f>
        <v/>
      </c>
      <c r="C1805" s="21" t="str">
        <f>IF(MOV_CC_NACIONAL!C1805="","",MOV_CC_NACIONAL!C1805)</f>
        <v/>
      </c>
      <c r="D1805" s="22" t="str">
        <f t="shared" si="1"/>
        <v>Other</v>
      </c>
    </row>
    <row r="1806" ht="15.75" customHeight="1">
      <c r="A1806" s="22" t="str">
        <f>IF(MOV_CC_NACIONAL!A1806="","",MOV_CC_NACIONAL!A1806)</f>
        <v/>
      </c>
      <c r="B1806" s="22" t="str">
        <f>IF(MOV_CC_NACIONAL!B1806="","",MOV_CC_NACIONAL!B1806)</f>
        <v/>
      </c>
      <c r="C1806" s="21" t="str">
        <f>IF(MOV_CC_NACIONAL!C1806="","",MOV_CC_NACIONAL!C1806)</f>
        <v/>
      </c>
      <c r="D1806" s="22" t="str">
        <f t="shared" si="1"/>
        <v>Other</v>
      </c>
    </row>
    <row r="1807" ht="15.75" customHeight="1">
      <c r="A1807" s="22" t="str">
        <f>IF(MOV_CC_NACIONAL!A1807="","",MOV_CC_NACIONAL!A1807)</f>
        <v/>
      </c>
      <c r="B1807" s="22" t="str">
        <f>IF(MOV_CC_NACIONAL!B1807="","",MOV_CC_NACIONAL!B1807)</f>
        <v/>
      </c>
      <c r="C1807" s="21" t="str">
        <f>IF(MOV_CC_NACIONAL!C1807="","",MOV_CC_NACIONAL!C1807)</f>
        <v/>
      </c>
      <c r="D1807" s="22" t="str">
        <f t="shared" si="1"/>
        <v>Other</v>
      </c>
    </row>
    <row r="1808" ht="15.75" customHeight="1">
      <c r="A1808" s="22" t="str">
        <f>IF(MOV_CC_NACIONAL!A1808="","",MOV_CC_NACIONAL!A1808)</f>
        <v/>
      </c>
      <c r="B1808" s="22" t="str">
        <f>IF(MOV_CC_NACIONAL!B1808="","",MOV_CC_NACIONAL!B1808)</f>
        <v/>
      </c>
      <c r="C1808" s="21" t="str">
        <f>IF(MOV_CC_NACIONAL!C1808="","",MOV_CC_NACIONAL!C1808)</f>
        <v/>
      </c>
      <c r="D1808" s="22" t="str">
        <f t="shared" si="1"/>
        <v>Other</v>
      </c>
    </row>
    <row r="1809" ht="15.75" customHeight="1">
      <c r="A1809" s="22" t="str">
        <f>IF(MOV_CC_NACIONAL!A1809="","",MOV_CC_NACIONAL!A1809)</f>
        <v/>
      </c>
      <c r="B1809" s="22" t="str">
        <f>IF(MOV_CC_NACIONAL!B1809="","",MOV_CC_NACIONAL!B1809)</f>
        <v/>
      </c>
      <c r="C1809" s="21" t="str">
        <f>IF(MOV_CC_NACIONAL!C1809="","",MOV_CC_NACIONAL!C1809)</f>
        <v/>
      </c>
      <c r="D1809" s="22" t="str">
        <f t="shared" si="1"/>
        <v>Other</v>
      </c>
    </row>
    <row r="1810" ht="15.75" customHeight="1">
      <c r="A1810" s="22" t="str">
        <f>IF(MOV_CC_NACIONAL!A1810="","",MOV_CC_NACIONAL!A1810)</f>
        <v/>
      </c>
      <c r="B1810" s="22" t="str">
        <f>IF(MOV_CC_NACIONAL!B1810="","",MOV_CC_NACIONAL!B1810)</f>
        <v/>
      </c>
      <c r="C1810" s="21" t="str">
        <f>IF(MOV_CC_NACIONAL!C1810="","",MOV_CC_NACIONAL!C1810)</f>
        <v/>
      </c>
      <c r="D1810" s="22" t="str">
        <f t="shared" si="1"/>
        <v>Other</v>
      </c>
    </row>
    <row r="1811" ht="15.75" customHeight="1">
      <c r="A1811" s="22" t="str">
        <f>IF(MOV_CC_NACIONAL!A1811="","",MOV_CC_NACIONAL!A1811)</f>
        <v/>
      </c>
      <c r="B1811" s="22" t="str">
        <f>IF(MOV_CC_NACIONAL!B1811="","",MOV_CC_NACIONAL!B1811)</f>
        <v/>
      </c>
      <c r="C1811" s="21" t="str">
        <f>IF(MOV_CC_NACIONAL!C1811="","",MOV_CC_NACIONAL!C1811)</f>
        <v/>
      </c>
      <c r="D1811" s="22" t="str">
        <f t="shared" si="1"/>
        <v>Other</v>
      </c>
    </row>
    <row r="1812" ht="15.75" customHeight="1">
      <c r="A1812" s="22" t="str">
        <f>IF(MOV_CC_NACIONAL!A1812="","",MOV_CC_NACIONAL!A1812)</f>
        <v/>
      </c>
      <c r="B1812" s="22" t="str">
        <f>IF(MOV_CC_NACIONAL!B1812="","",MOV_CC_NACIONAL!B1812)</f>
        <v/>
      </c>
      <c r="C1812" s="21" t="str">
        <f>IF(MOV_CC_NACIONAL!C1812="","",MOV_CC_NACIONAL!C1812)</f>
        <v/>
      </c>
      <c r="D1812" s="22" t="str">
        <f t="shared" si="1"/>
        <v>Other</v>
      </c>
    </row>
    <row r="1813" ht="15.75" customHeight="1">
      <c r="A1813" s="22" t="str">
        <f>IF(MOV_CC_NACIONAL!A1813="","",MOV_CC_NACIONAL!A1813)</f>
        <v/>
      </c>
      <c r="B1813" s="22" t="str">
        <f>IF(MOV_CC_NACIONAL!B1813="","",MOV_CC_NACIONAL!B1813)</f>
        <v/>
      </c>
      <c r="C1813" s="21" t="str">
        <f>IF(MOV_CC_NACIONAL!C1813="","",MOV_CC_NACIONAL!C1813)</f>
        <v/>
      </c>
      <c r="D1813" s="22" t="str">
        <f t="shared" si="1"/>
        <v>Other</v>
      </c>
    </row>
    <row r="1814" ht="15.75" customHeight="1">
      <c r="A1814" s="22" t="str">
        <f>IF(MOV_CC_NACIONAL!A1814="","",MOV_CC_NACIONAL!A1814)</f>
        <v/>
      </c>
      <c r="B1814" s="22" t="str">
        <f>IF(MOV_CC_NACIONAL!B1814="","",MOV_CC_NACIONAL!B1814)</f>
        <v/>
      </c>
      <c r="C1814" s="21" t="str">
        <f>IF(MOV_CC_NACIONAL!C1814="","",MOV_CC_NACIONAL!C1814)</f>
        <v/>
      </c>
      <c r="D1814" s="22" t="str">
        <f t="shared" si="1"/>
        <v>Other</v>
      </c>
    </row>
    <row r="1815" ht="15.75" customHeight="1">
      <c r="A1815" s="22" t="str">
        <f>IF(MOV_CC_NACIONAL!A1815="","",MOV_CC_NACIONAL!A1815)</f>
        <v/>
      </c>
      <c r="B1815" s="22" t="str">
        <f>IF(MOV_CC_NACIONAL!B1815="","",MOV_CC_NACIONAL!B1815)</f>
        <v/>
      </c>
      <c r="C1815" s="21" t="str">
        <f>IF(MOV_CC_NACIONAL!C1815="","",MOV_CC_NACIONAL!C1815)</f>
        <v/>
      </c>
      <c r="D1815" s="22" t="str">
        <f t="shared" si="1"/>
        <v>Other</v>
      </c>
    </row>
    <row r="1816" ht="15.75" customHeight="1">
      <c r="A1816" s="22" t="str">
        <f>IF(MOV_CC_NACIONAL!A1816="","",MOV_CC_NACIONAL!A1816)</f>
        <v/>
      </c>
      <c r="B1816" s="22" t="str">
        <f>IF(MOV_CC_NACIONAL!B1816="","",MOV_CC_NACIONAL!B1816)</f>
        <v/>
      </c>
      <c r="C1816" s="21" t="str">
        <f>IF(MOV_CC_NACIONAL!C1816="","",MOV_CC_NACIONAL!C1816)</f>
        <v/>
      </c>
      <c r="D1816" s="22" t="str">
        <f t="shared" si="1"/>
        <v>Other</v>
      </c>
    </row>
    <row r="1817" ht="15.75" customHeight="1">
      <c r="A1817" s="22" t="str">
        <f>IF(MOV_CC_NACIONAL!A1817="","",MOV_CC_NACIONAL!A1817)</f>
        <v/>
      </c>
      <c r="B1817" s="22" t="str">
        <f>IF(MOV_CC_NACIONAL!B1817="","",MOV_CC_NACIONAL!B1817)</f>
        <v/>
      </c>
      <c r="C1817" s="21" t="str">
        <f>IF(MOV_CC_NACIONAL!C1817="","",MOV_CC_NACIONAL!C1817)</f>
        <v/>
      </c>
      <c r="D1817" s="22" t="str">
        <f t="shared" si="1"/>
        <v>Other</v>
      </c>
    </row>
    <row r="1818" ht="15.75" customHeight="1">
      <c r="A1818" s="22" t="str">
        <f>IF(MOV_CC_NACIONAL!A1818="","",MOV_CC_NACIONAL!A1818)</f>
        <v/>
      </c>
      <c r="B1818" s="22" t="str">
        <f>IF(MOV_CC_NACIONAL!B1818="","",MOV_CC_NACIONAL!B1818)</f>
        <v/>
      </c>
      <c r="C1818" s="21" t="str">
        <f>IF(MOV_CC_NACIONAL!C1818="","",MOV_CC_NACIONAL!C1818)</f>
        <v/>
      </c>
      <c r="D1818" s="22" t="str">
        <f t="shared" si="1"/>
        <v>Other</v>
      </c>
    </row>
    <row r="1819" ht="15.75" customHeight="1">
      <c r="A1819" s="22" t="str">
        <f>IF(MOV_CC_NACIONAL!A1819="","",MOV_CC_NACIONAL!A1819)</f>
        <v/>
      </c>
      <c r="B1819" s="22" t="str">
        <f>IF(MOV_CC_NACIONAL!B1819="","",MOV_CC_NACIONAL!B1819)</f>
        <v/>
      </c>
      <c r="C1819" s="21" t="str">
        <f>IF(MOV_CC_NACIONAL!C1819="","",MOV_CC_NACIONAL!C1819)</f>
        <v/>
      </c>
      <c r="D1819" s="22" t="str">
        <f t="shared" si="1"/>
        <v>Other</v>
      </c>
    </row>
    <row r="1820" ht="15.75" customHeight="1">
      <c r="A1820" s="22" t="str">
        <f>IF(MOV_CC_NACIONAL!A1820="","",MOV_CC_NACIONAL!A1820)</f>
        <v/>
      </c>
      <c r="B1820" s="22" t="str">
        <f>IF(MOV_CC_NACIONAL!B1820="","",MOV_CC_NACIONAL!B1820)</f>
        <v/>
      </c>
      <c r="C1820" s="21" t="str">
        <f>IF(MOV_CC_NACIONAL!C1820="","",MOV_CC_NACIONAL!C1820)</f>
        <v/>
      </c>
      <c r="D1820" s="22" t="str">
        <f t="shared" si="1"/>
        <v>Other</v>
      </c>
    </row>
    <row r="1821" ht="15.75" customHeight="1">
      <c r="A1821" s="22" t="str">
        <f>IF(MOV_CC_NACIONAL!A1821="","",MOV_CC_NACIONAL!A1821)</f>
        <v/>
      </c>
      <c r="B1821" s="22" t="str">
        <f>IF(MOV_CC_NACIONAL!B1821="","",MOV_CC_NACIONAL!B1821)</f>
        <v/>
      </c>
      <c r="C1821" s="21" t="str">
        <f>IF(MOV_CC_NACIONAL!C1821="","",MOV_CC_NACIONAL!C1821)</f>
        <v/>
      </c>
      <c r="D1821" s="22" t="str">
        <f t="shared" si="1"/>
        <v>Other</v>
      </c>
    </row>
    <row r="1822" ht="15.75" customHeight="1">
      <c r="A1822" s="22" t="str">
        <f>IF(MOV_CC_NACIONAL!A1822="","",MOV_CC_NACIONAL!A1822)</f>
        <v/>
      </c>
      <c r="B1822" s="22" t="str">
        <f>IF(MOV_CC_NACIONAL!B1822="","",MOV_CC_NACIONAL!B1822)</f>
        <v/>
      </c>
      <c r="C1822" s="21" t="str">
        <f>IF(MOV_CC_NACIONAL!C1822="","",MOV_CC_NACIONAL!C1822)</f>
        <v/>
      </c>
      <c r="D1822" s="22" t="str">
        <f t="shared" si="1"/>
        <v>Other</v>
      </c>
    </row>
    <row r="1823" ht="15.75" customHeight="1">
      <c r="A1823" s="22" t="str">
        <f>IF(MOV_CC_NACIONAL!A1823="","",MOV_CC_NACIONAL!A1823)</f>
        <v/>
      </c>
      <c r="B1823" s="22" t="str">
        <f>IF(MOV_CC_NACIONAL!B1823="","",MOV_CC_NACIONAL!B1823)</f>
        <v/>
      </c>
      <c r="C1823" s="21" t="str">
        <f>IF(MOV_CC_NACIONAL!C1823="","",MOV_CC_NACIONAL!C1823)</f>
        <v/>
      </c>
      <c r="D1823" s="22" t="str">
        <f t="shared" si="1"/>
        <v>Other</v>
      </c>
    </row>
    <row r="1824" ht="15.75" customHeight="1">
      <c r="A1824" s="22" t="str">
        <f>IF(MOV_CC_NACIONAL!A1824="","",MOV_CC_NACIONAL!A1824)</f>
        <v/>
      </c>
      <c r="B1824" s="22" t="str">
        <f>IF(MOV_CC_NACIONAL!B1824="","",MOV_CC_NACIONAL!B1824)</f>
        <v/>
      </c>
      <c r="C1824" s="21" t="str">
        <f>IF(MOV_CC_NACIONAL!C1824="","",MOV_CC_NACIONAL!C1824)</f>
        <v/>
      </c>
      <c r="D1824" s="22" t="str">
        <f t="shared" si="1"/>
        <v>Other</v>
      </c>
    </row>
    <row r="1825" ht="15.75" customHeight="1">
      <c r="A1825" s="22" t="str">
        <f>IF(MOV_CC_NACIONAL!A1825="","",MOV_CC_NACIONAL!A1825)</f>
        <v/>
      </c>
      <c r="B1825" s="22" t="str">
        <f>IF(MOV_CC_NACIONAL!B1825="","",MOV_CC_NACIONAL!B1825)</f>
        <v/>
      </c>
      <c r="C1825" s="21" t="str">
        <f>IF(MOV_CC_NACIONAL!C1825="","",MOV_CC_NACIONAL!C1825)</f>
        <v/>
      </c>
      <c r="D1825" s="22" t="str">
        <f t="shared" si="1"/>
        <v>Other</v>
      </c>
    </row>
    <row r="1826" ht="15.75" customHeight="1">
      <c r="A1826" s="22" t="str">
        <f>IF(MOV_CC_NACIONAL!A1826="","",MOV_CC_NACIONAL!A1826)</f>
        <v/>
      </c>
      <c r="B1826" s="22" t="str">
        <f>IF(MOV_CC_NACIONAL!B1826="","",MOV_CC_NACIONAL!B1826)</f>
        <v/>
      </c>
      <c r="C1826" s="21" t="str">
        <f>IF(MOV_CC_NACIONAL!C1826="","",MOV_CC_NACIONAL!C1826)</f>
        <v/>
      </c>
      <c r="D1826" s="22" t="str">
        <f t="shared" si="1"/>
        <v>Other</v>
      </c>
    </row>
    <row r="1827" ht="15.75" customHeight="1">
      <c r="A1827" s="22" t="str">
        <f>IF(MOV_CC_NACIONAL!A1827="","",MOV_CC_NACIONAL!A1827)</f>
        <v/>
      </c>
      <c r="B1827" s="22" t="str">
        <f>IF(MOV_CC_NACIONAL!B1827="","",MOV_CC_NACIONAL!B1827)</f>
        <v/>
      </c>
      <c r="C1827" s="21" t="str">
        <f>IF(MOV_CC_NACIONAL!C1827="","",MOV_CC_NACIONAL!C1827)</f>
        <v/>
      </c>
      <c r="D1827" s="22" t="str">
        <f t="shared" si="1"/>
        <v>Other</v>
      </c>
    </row>
    <row r="1828" ht="15.75" customHeight="1">
      <c r="A1828" s="22" t="str">
        <f>IF(MOV_CC_NACIONAL!A1828="","",MOV_CC_NACIONAL!A1828)</f>
        <v/>
      </c>
      <c r="B1828" s="22" t="str">
        <f>IF(MOV_CC_NACIONAL!B1828="","",MOV_CC_NACIONAL!B1828)</f>
        <v/>
      </c>
      <c r="C1828" s="21" t="str">
        <f>IF(MOV_CC_NACIONAL!C1828="","",MOV_CC_NACIONAL!C1828)</f>
        <v/>
      </c>
      <c r="D1828" s="22" t="str">
        <f t="shared" si="1"/>
        <v>Other</v>
      </c>
    </row>
    <row r="1829" ht="15.75" customHeight="1">
      <c r="A1829" s="22" t="str">
        <f>IF(MOV_CC_NACIONAL!A1829="","",MOV_CC_NACIONAL!A1829)</f>
        <v/>
      </c>
      <c r="B1829" s="22" t="str">
        <f>IF(MOV_CC_NACIONAL!B1829="","",MOV_CC_NACIONAL!B1829)</f>
        <v/>
      </c>
      <c r="C1829" s="21" t="str">
        <f>IF(MOV_CC_NACIONAL!C1829="","",MOV_CC_NACIONAL!C1829)</f>
        <v/>
      </c>
      <c r="D1829" s="22" t="str">
        <f t="shared" si="1"/>
        <v>Other</v>
      </c>
    </row>
    <row r="1830" ht="15.75" customHeight="1">
      <c r="A1830" s="22" t="str">
        <f>IF(MOV_CC_NACIONAL!A1830="","",MOV_CC_NACIONAL!A1830)</f>
        <v/>
      </c>
      <c r="B1830" s="22" t="str">
        <f>IF(MOV_CC_NACIONAL!B1830="","",MOV_CC_NACIONAL!B1830)</f>
        <v/>
      </c>
      <c r="C1830" s="21" t="str">
        <f>IF(MOV_CC_NACIONAL!C1830="","",MOV_CC_NACIONAL!C1830)</f>
        <v/>
      </c>
      <c r="D1830" s="22" t="str">
        <f t="shared" si="1"/>
        <v>Other</v>
      </c>
    </row>
    <row r="1831" ht="15.75" customHeight="1">
      <c r="A1831" s="22" t="str">
        <f>IF(MOV_CC_NACIONAL!A1831="","",MOV_CC_NACIONAL!A1831)</f>
        <v/>
      </c>
      <c r="B1831" s="22" t="str">
        <f>IF(MOV_CC_NACIONAL!B1831="","",MOV_CC_NACIONAL!B1831)</f>
        <v/>
      </c>
      <c r="C1831" s="21" t="str">
        <f>IF(MOV_CC_NACIONAL!C1831="","",MOV_CC_NACIONAL!C1831)</f>
        <v/>
      </c>
      <c r="D1831" s="22" t="str">
        <f t="shared" si="1"/>
        <v>Other</v>
      </c>
    </row>
    <row r="1832" ht="15.75" customHeight="1">
      <c r="A1832" s="22" t="str">
        <f>IF(MOV_CC_NACIONAL!A1832="","",MOV_CC_NACIONAL!A1832)</f>
        <v/>
      </c>
      <c r="B1832" s="22" t="str">
        <f>IF(MOV_CC_NACIONAL!B1832="","",MOV_CC_NACIONAL!B1832)</f>
        <v/>
      </c>
      <c r="C1832" s="21" t="str">
        <f>IF(MOV_CC_NACIONAL!C1832="","",MOV_CC_NACIONAL!C1832)</f>
        <v/>
      </c>
      <c r="D1832" s="22" t="str">
        <f t="shared" si="1"/>
        <v>Other</v>
      </c>
    </row>
    <row r="1833" ht="15.75" customHeight="1">
      <c r="A1833" s="22" t="str">
        <f>IF(MOV_CC_NACIONAL!A1833="","",MOV_CC_NACIONAL!A1833)</f>
        <v/>
      </c>
      <c r="B1833" s="22" t="str">
        <f>IF(MOV_CC_NACIONAL!B1833="","",MOV_CC_NACIONAL!B1833)</f>
        <v/>
      </c>
      <c r="C1833" s="21" t="str">
        <f>IF(MOV_CC_NACIONAL!C1833="","",MOV_CC_NACIONAL!C1833)</f>
        <v/>
      </c>
      <c r="D1833" s="22" t="str">
        <f t="shared" si="1"/>
        <v>Other</v>
      </c>
    </row>
    <row r="1834" ht="15.75" customHeight="1">
      <c r="A1834" s="22" t="str">
        <f>IF(MOV_CC_NACIONAL!A1834="","",MOV_CC_NACIONAL!A1834)</f>
        <v/>
      </c>
      <c r="B1834" s="22" t="str">
        <f>IF(MOV_CC_NACIONAL!B1834="","",MOV_CC_NACIONAL!B1834)</f>
        <v/>
      </c>
      <c r="C1834" s="21" t="str">
        <f>IF(MOV_CC_NACIONAL!C1834="","",MOV_CC_NACIONAL!C1834)</f>
        <v/>
      </c>
      <c r="D1834" s="22" t="str">
        <f t="shared" si="1"/>
        <v>Other</v>
      </c>
    </row>
    <row r="1835" ht="15.75" customHeight="1">
      <c r="A1835" s="22" t="str">
        <f>IF(MOV_CC_NACIONAL!A1835="","",MOV_CC_NACIONAL!A1835)</f>
        <v/>
      </c>
      <c r="B1835" s="22" t="str">
        <f>IF(MOV_CC_NACIONAL!B1835="","",MOV_CC_NACIONAL!B1835)</f>
        <v/>
      </c>
      <c r="C1835" s="21" t="str">
        <f>IF(MOV_CC_NACIONAL!C1835="","",MOV_CC_NACIONAL!C1835)</f>
        <v/>
      </c>
      <c r="D1835" s="22" t="str">
        <f t="shared" si="1"/>
        <v>Other</v>
      </c>
    </row>
    <row r="1836" ht="15.75" customHeight="1">
      <c r="A1836" s="22" t="str">
        <f>IF(MOV_CC_NACIONAL!A1836="","",MOV_CC_NACIONAL!A1836)</f>
        <v/>
      </c>
      <c r="B1836" s="22" t="str">
        <f>IF(MOV_CC_NACIONAL!B1836="","",MOV_CC_NACIONAL!B1836)</f>
        <v/>
      </c>
      <c r="C1836" s="21" t="str">
        <f>IF(MOV_CC_NACIONAL!C1836="","",MOV_CC_NACIONAL!C1836)</f>
        <v/>
      </c>
      <c r="D1836" s="22" t="str">
        <f t="shared" si="1"/>
        <v>Other</v>
      </c>
    </row>
    <row r="1837" ht="15.75" customHeight="1">
      <c r="A1837" s="22" t="str">
        <f>IF(MOV_CC_NACIONAL!A1837="","",MOV_CC_NACIONAL!A1837)</f>
        <v/>
      </c>
      <c r="B1837" s="22" t="str">
        <f>IF(MOV_CC_NACIONAL!B1837="","",MOV_CC_NACIONAL!B1837)</f>
        <v/>
      </c>
      <c r="C1837" s="21" t="str">
        <f>IF(MOV_CC_NACIONAL!C1837="","",MOV_CC_NACIONAL!C1837)</f>
        <v/>
      </c>
      <c r="D1837" s="22" t="str">
        <f t="shared" si="1"/>
        <v>Other</v>
      </c>
    </row>
    <row r="1838" ht="15.75" customHeight="1">
      <c r="A1838" s="22" t="str">
        <f>IF(MOV_CC_NACIONAL!A1838="","",MOV_CC_NACIONAL!A1838)</f>
        <v/>
      </c>
      <c r="B1838" s="22" t="str">
        <f>IF(MOV_CC_NACIONAL!B1838="","",MOV_CC_NACIONAL!B1838)</f>
        <v/>
      </c>
      <c r="C1838" s="21" t="str">
        <f>IF(MOV_CC_NACIONAL!C1838="","",MOV_CC_NACIONAL!C1838)</f>
        <v/>
      </c>
      <c r="D1838" s="22" t="str">
        <f t="shared" si="1"/>
        <v>Other</v>
      </c>
    </row>
    <row r="1839" ht="15.75" customHeight="1">
      <c r="A1839" s="22" t="str">
        <f>IF(MOV_CC_NACIONAL!A1839="","",MOV_CC_NACIONAL!A1839)</f>
        <v/>
      </c>
      <c r="B1839" s="22" t="str">
        <f>IF(MOV_CC_NACIONAL!B1839="","",MOV_CC_NACIONAL!B1839)</f>
        <v/>
      </c>
      <c r="C1839" s="21" t="str">
        <f>IF(MOV_CC_NACIONAL!C1839="","",MOV_CC_NACIONAL!C1839)</f>
        <v/>
      </c>
      <c r="D1839" s="22" t="str">
        <f t="shared" si="1"/>
        <v>Other</v>
      </c>
    </row>
    <row r="1840" ht="15.75" customHeight="1">
      <c r="A1840" s="22" t="str">
        <f>IF(MOV_CC_NACIONAL!A1840="","",MOV_CC_NACIONAL!A1840)</f>
        <v/>
      </c>
      <c r="B1840" s="22" t="str">
        <f>IF(MOV_CC_NACIONAL!B1840="","",MOV_CC_NACIONAL!B1840)</f>
        <v/>
      </c>
      <c r="C1840" s="21" t="str">
        <f>IF(MOV_CC_NACIONAL!C1840="","",MOV_CC_NACIONAL!C1840)</f>
        <v/>
      </c>
      <c r="D1840" s="22" t="str">
        <f t="shared" si="1"/>
        <v>Other</v>
      </c>
    </row>
    <row r="1841" ht="15.75" customHeight="1">
      <c r="A1841" s="22" t="str">
        <f>IF(MOV_CC_NACIONAL!A1841="","",MOV_CC_NACIONAL!A1841)</f>
        <v/>
      </c>
      <c r="B1841" s="22" t="str">
        <f>IF(MOV_CC_NACIONAL!B1841="","",MOV_CC_NACIONAL!B1841)</f>
        <v/>
      </c>
      <c r="C1841" s="21" t="str">
        <f>IF(MOV_CC_NACIONAL!C1841="","",MOV_CC_NACIONAL!C1841)</f>
        <v/>
      </c>
      <c r="D1841" s="22" t="str">
        <f t="shared" si="1"/>
        <v>Other</v>
      </c>
    </row>
    <row r="1842" ht="15.75" customHeight="1">
      <c r="A1842" s="22" t="str">
        <f>IF(MOV_CC_NACIONAL!A1842="","",MOV_CC_NACIONAL!A1842)</f>
        <v/>
      </c>
      <c r="B1842" s="22" t="str">
        <f>IF(MOV_CC_NACIONAL!B1842="","",MOV_CC_NACIONAL!B1842)</f>
        <v/>
      </c>
      <c r="C1842" s="21" t="str">
        <f>IF(MOV_CC_NACIONAL!C1842="","",MOV_CC_NACIONAL!C1842)</f>
        <v/>
      </c>
      <c r="D1842" s="22" t="str">
        <f t="shared" si="1"/>
        <v>Other</v>
      </c>
    </row>
    <row r="1843" ht="15.75" customHeight="1">
      <c r="A1843" s="22" t="str">
        <f>IF(MOV_CC_NACIONAL!A1843="","",MOV_CC_NACIONAL!A1843)</f>
        <v/>
      </c>
      <c r="B1843" s="22" t="str">
        <f>IF(MOV_CC_NACIONAL!B1843="","",MOV_CC_NACIONAL!B1843)</f>
        <v/>
      </c>
      <c r="C1843" s="21" t="str">
        <f>IF(MOV_CC_NACIONAL!C1843="","",MOV_CC_NACIONAL!C1843)</f>
        <v/>
      </c>
      <c r="D1843" s="22" t="str">
        <f t="shared" si="1"/>
        <v>Other</v>
      </c>
    </row>
    <row r="1844" ht="15.75" customHeight="1">
      <c r="A1844" s="22" t="str">
        <f>IF(MOV_CC_NACIONAL!A1844="","",MOV_CC_NACIONAL!A1844)</f>
        <v/>
      </c>
      <c r="B1844" s="22" t="str">
        <f>IF(MOV_CC_NACIONAL!B1844="","",MOV_CC_NACIONAL!B1844)</f>
        <v/>
      </c>
      <c r="C1844" s="21" t="str">
        <f>IF(MOV_CC_NACIONAL!C1844="","",MOV_CC_NACIONAL!C1844)</f>
        <v/>
      </c>
      <c r="D1844" s="22" t="str">
        <f t="shared" si="1"/>
        <v>Other</v>
      </c>
    </row>
    <row r="1845" ht="15.75" customHeight="1">
      <c r="A1845" s="22" t="str">
        <f>IF(MOV_CC_NACIONAL!A1845="","",MOV_CC_NACIONAL!A1845)</f>
        <v/>
      </c>
      <c r="B1845" s="22" t="str">
        <f>IF(MOV_CC_NACIONAL!B1845="","",MOV_CC_NACIONAL!B1845)</f>
        <v/>
      </c>
      <c r="C1845" s="21" t="str">
        <f>IF(MOV_CC_NACIONAL!C1845="","",MOV_CC_NACIONAL!C1845)</f>
        <v/>
      </c>
      <c r="D1845" s="22" t="str">
        <f t="shared" si="1"/>
        <v>Other</v>
      </c>
    </row>
    <row r="1846" ht="15.75" customHeight="1">
      <c r="A1846" s="22" t="str">
        <f>IF(MOV_CC_NACIONAL!A1846="","",MOV_CC_NACIONAL!A1846)</f>
        <v/>
      </c>
      <c r="B1846" s="22" t="str">
        <f>IF(MOV_CC_NACIONAL!B1846="","",MOV_CC_NACIONAL!B1846)</f>
        <v/>
      </c>
      <c r="C1846" s="21" t="str">
        <f>IF(MOV_CC_NACIONAL!C1846="","",MOV_CC_NACIONAL!C1846)</f>
        <v/>
      </c>
      <c r="D1846" s="22" t="str">
        <f t="shared" si="1"/>
        <v>Other</v>
      </c>
    </row>
    <row r="1847" ht="15.75" customHeight="1">
      <c r="A1847" s="22" t="str">
        <f>IF(MOV_CC_NACIONAL!A1847="","",MOV_CC_NACIONAL!A1847)</f>
        <v/>
      </c>
      <c r="B1847" s="22" t="str">
        <f>IF(MOV_CC_NACIONAL!B1847="","",MOV_CC_NACIONAL!B1847)</f>
        <v/>
      </c>
      <c r="C1847" s="21" t="str">
        <f>IF(MOV_CC_NACIONAL!C1847="","",MOV_CC_NACIONAL!C1847)</f>
        <v/>
      </c>
      <c r="D1847" s="22" t="str">
        <f t="shared" si="1"/>
        <v>Other</v>
      </c>
    </row>
    <row r="1848" ht="15.75" customHeight="1">
      <c r="A1848" s="22" t="str">
        <f>IF(MOV_CC_NACIONAL!A1848="","",MOV_CC_NACIONAL!A1848)</f>
        <v/>
      </c>
      <c r="B1848" s="22" t="str">
        <f>IF(MOV_CC_NACIONAL!B1848="","",MOV_CC_NACIONAL!B1848)</f>
        <v/>
      </c>
      <c r="C1848" s="21" t="str">
        <f>IF(MOV_CC_NACIONAL!C1848="","",MOV_CC_NACIONAL!C1848)</f>
        <v/>
      </c>
      <c r="D1848" s="22" t="str">
        <f t="shared" si="1"/>
        <v>Other</v>
      </c>
    </row>
    <row r="1849" ht="15.75" customHeight="1">
      <c r="A1849" s="22" t="str">
        <f>IF(MOV_CC_NACIONAL!A1849="","",MOV_CC_NACIONAL!A1849)</f>
        <v/>
      </c>
      <c r="B1849" s="22" t="str">
        <f>IF(MOV_CC_NACIONAL!B1849="","",MOV_CC_NACIONAL!B1849)</f>
        <v/>
      </c>
      <c r="C1849" s="21" t="str">
        <f>IF(MOV_CC_NACIONAL!C1849="","",MOV_CC_NACIONAL!C1849)</f>
        <v/>
      </c>
      <c r="D1849" s="22" t="str">
        <f t="shared" si="1"/>
        <v>Other</v>
      </c>
    </row>
    <row r="1850" ht="15.75" customHeight="1">
      <c r="A1850" s="22" t="str">
        <f>IF(MOV_CC_NACIONAL!A1850="","",MOV_CC_NACIONAL!A1850)</f>
        <v/>
      </c>
      <c r="B1850" s="22" t="str">
        <f>IF(MOV_CC_NACIONAL!B1850="","",MOV_CC_NACIONAL!B1850)</f>
        <v/>
      </c>
      <c r="C1850" s="21" t="str">
        <f>IF(MOV_CC_NACIONAL!C1850="","",MOV_CC_NACIONAL!C1850)</f>
        <v/>
      </c>
      <c r="D1850" s="22" t="str">
        <f t="shared" si="1"/>
        <v>Other</v>
      </c>
    </row>
    <row r="1851" ht="15.75" customHeight="1">
      <c r="A1851" s="22" t="str">
        <f>IF(MOV_CC_NACIONAL!A1851="","",MOV_CC_NACIONAL!A1851)</f>
        <v/>
      </c>
      <c r="B1851" s="22" t="str">
        <f>IF(MOV_CC_NACIONAL!B1851="","",MOV_CC_NACIONAL!B1851)</f>
        <v/>
      </c>
      <c r="C1851" s="21" t="str">
        <f>IF(MOV_CC_NACIONAL!C1851="","",MOV_CC_NACIONAL!C1851)</f>
        <v/>
      </c>
      <c r="D1851" s="22" t="str">
        <f t="shared" si="1"/>
        <v>Other</v>
      </c>
    </row>
    <row r="1852" ht="15.75" customHeight="1">
      <c r="A1852" s="22" t="str">
        <f>IF(MOV_CC_NACIONAL!A1852="","",MOV_CC_NACIONAL!A1852)</f>
        <v/>
      </c>
      <c r="B1852" s="22" t="str">
        <f>IF(MOV_CC_NACIONAL!B1852="","",MOV_CC_NACIONAL!B1852)</f>
        <v/>
      </c>
      <c r="C1852" s="21" t="str">
        <f>IF(MOV_CC_NACIONAL!C1852="","",MOV_CC_NACIONAL!C1852)</f>
        <v/>
      </c>
      <c r="D1852" s="22" t="str">
        <f t="shared" si="1"/>
        <v>Other</v>
      </c>
    </row>
    <row r="1853" ht="15.75" customHeight="1">
      <c r="A1853" s="22" t="str">
        <f>IF(MOV_CC_NACIONAL!A1853="","",MOV_CC_NACIONAL!A1853)</f>
        <v/>
      </c>
      <c r="B1853" s="22" t="str">
        <f>IF(MOV_CC_NACIONAL!B1853="","",MOV_CC_NACIONAL!B1853)</f>
        <v/>
      </c>
      <c r="C1853" s="21" t="str">
        <f>IF(MOV_CC_NACIONAL!C1853="","",MOV_CC_NACIONAL!C1853)</f>
        <v/>
      </c>
      <c r="D1853" s="22" t="str">
        <f t="shared" si="1"/>
        <v>Other</v>
      </c>
    </row>
    <row r="1854" ht="15.75" customHeight="1">
      <c r="A1854" s="22" t="str">
        <f>IF(MOV_CC_NACIONAL!A1854="","",MOV_CC_NACIONAL!A1854)</f>
        <v/>
      </c>
      <c r="B1854" s="22" t="str">
        <f>IF(MOV_CC_NACIONAL!B1854="","",MOV_CC_NACIONAL!B1854)</f>
        <v/>
      </c>
      <c r="C1854" s="21" t="str">
        <f>IF(MOV_CC_NACIONAL!C1854="","",MOV_CC_NACIONAL!C1854)</f>
        <v/>
      </c>
      <c r="D1854" s="22" t="str">
        <f t="shared" si="1"/>
        <v>Other</v>
      </c>
    </row>
    <row r="1855" ht="15.75" customHeight="1">
      <c r="A1855" s="22" t="str">
        <f>IF(MOV_CC_NACIONAL!A1855="","",MOV_CC_NACIONAL!A1855)</f>
        <v/>
      </c>
      <c r="B1855" s="22" t="str">
        <f>IF(MOV_CC_NACIONAL!B1855="","",MOV_CC_NACIONAL!B1855)</f>
        <v/>
      </c>
      <c r="C1855" s="21" t="str">
        <f>IF(MOV_CC_NACIONAL!C1855="","",MOV_CC_NACIONAL!C1855)</f>
        <v/>
      </c>
      <c r="D1855" s="22" t="str">
        <f t="shared" si="1"/>
        <v>Other</v>
      </c>
    </row>
    <row r="1856" ht="15.75" customHeight="1">
      <c r="A1856" s="22" t="str">
        <f>IF(MOV_CC_NACIONAL!A1856="","",MOV_CC_NACIONAL!A1856)</f>
        <v/>
      </c>
      <c r="B1856" s="22" t="str">
        <f>IF(MOV_CC_NACIONAL!B1856="","",MOV_CC_NACIONAL!B1856)</f>
        <v/>
      </c>
      <c r="C1856" s="21" t="str">
        <f>IF(MOV_CC_NACIONAL!C1856="","",MOV_CC_NACIONAL!C1856)</f>
        <v/>
      </c>
      <c r="D1856" s="22" t="str">
        <f t="shared" si="1"/>
        <v>Other</v>
      </c>
    </row>
    <row r="1857" ht="15.75" customHeight="1">
      <c r="A1857" s="22" t="str">
        <f>IF(MOV_CC_NACIONAL!A1857="","",MOV_CC_NACIONAL!A1857)</f>
        <v/>
      </c>
      <c r="B1857" s="22" t="str">
        <f>IF(MOV_CC_NACIONAL!B1857="","",MOV_CC_NACIONAL!B1857)</f>
        <v/>
      </c>
      <c r="C1857" s="21" t="str">
        <f>IF(MOV_CC_NACIONAL!C1857="","",MOV_CC_NACIONAL!C1857)</f>
        <v/>
      </c>
      <c r="D1857" s="22" t="str">
        <f t="shared" si="1"/>
        <v>Other</v>
      </c>
    </row>
    <row r="1858" ht="15.75" customHeight="1">
      <c r="A1858" s="22" t="str">
        <f>IF(MOV_CC_NACIONAL!A1858="","",MOV_CC_NACIONAL!A1858)</f>
        <v/>
      </c>
      <c r="B1858" s="22" t="str">
        <f>IF(MOV_CC_NACIONAL!B1858="","",MOV_CC_NACIONAL!B1858)</f>
        <v/>
      </c>
      <c r="C1858" s="21" t="str">
        <f>IF(MOV_CC_NACIONAL!C1858="","",MOV_CC_NACIONAL!C1858)</f>
        <v/>
      </c>
      <c r="D1858" s="22" t="str">
        <f t="shared" si="1"/>
        <v>Other</v>
      </c>
    </row>
    <row r="1859" ht="15.75" customHeight="1">
      <c r="A1859" s="22" t="str">
        <f>IF(MOV_CC_NACIONAL!A1859="","",MOV_CC_NACIONAL!A1859)</f>
        <v/>
      </c>
      <c r="B1859" s="22" t="str">
        <f>IF(MOV_CC_NACIONAL!B1859="","",MOV_CC_NACIONAL!B1859)</f>
        <v/>
      </c>
      <c r="C1859" s="21" t="str">
        <f>IF(MOV_CC_NACIONAL!C1859="","",MOV_CC_NACIONAL!C1859)</f>
        <v/>
      </c>
      <c r="D1859" s="22" t="str">
        <f t="shared" si="1"/>
        <v>Other</v>
      </c>
    </row>
    <row r="1860" ht="15.75" customHeight="1">
      <c r="A1860" s="22" t="str">
        <f>IF(MOV_CC_NACIONAL!A1860="","",MOV_CC_NACIONAL!A1860)</f>
        <v/>
      </c>
      <c r="B1860" s="22" t="str">
        <f>IF(MOV_CC_NACIONAL!B1860="","",MOV_CC_NACIONAL!B1860)</f>
        <v/>
      </c>
      <c r="C1860" s="21" t="str">
        <f>IF(MOV_CC_NACIONAL!C1860="","",MOV_CC_NACIONAL!C1860)</f>
        <v/>
      </c>
      <c r="D1860" s="22" t="str">
        <f t="shared" si="1"/>
        <v>Other</v>
      </c>
    </row>
    <row r="1861" ht="15.75" customHeight="1">
      <c r="A1861" s="22" t="str">
        <f>IF(MOV_CC_NACIONAL!A1861="","",MOV_CC_NACIONAL!A1861)</f>
        <v/>
      </c>
      <c r="B1861" s="22" t="str">
        <f>IF(MOV_CC_NACIONAL!B1861="","",MOV_CC_NACIONAL!B1861)</f>
        <v/>
      </c>
      <c r="C1861" s="21" t="str">
        <f>IF(MOV_CC_NACIONAL!C1861="","",MOV_CC_NACIONAL!C1861)</f>
        <v/>
      </c>
      <c r="D1861" s="22" t="str">
        <f t="shared" si="1"/>
        <v>Other</v>
      </c>
    </row>
    <row r="1862" ht="15.75" customHeight="1">
      <c r="A1862" s="22" t="str">
        <f>IF(MOV_CC_NACIONAL!A1862="","",MOV_CC_NACIONAL!A1862)</f>
        <v/>
      </c>
      <c r="B1862" s="22" t="str">
        <f>IF(MOV_CC_NACIONAL!B1862="","",MOV_CC_NACIONAL!B1862)</f>
        <v/>
      </c>
      <c r="C1862" s="21" t="str">
        <f>IF(MOV_CC_NACIONAL!C1862="","",MOV_CC_NACIONAL!C1862)</f>
        <v/>
      </c>
      <c r="D1862" s="22" t="str">
        <f t="shared" si="1"/>
        <v>Other</v>
      </c>
    </row>
    <row r="1863" ht="15.75" customHeight="1">
      <c r="A1863" s="22" t="str">
        <f>IF(MOV_CC_NACIONAL!A1863="","",MOV_CC_NACIONAL!A1863)</f>
        <v/>
      </c>
      <c r="B1863" s="22" t="str">
        <f>IF(MOV_CC_NACIONAL!B1863="","",MOV_CC_NACIONAL!B1863)</f>
        <v/>
      </c>
      <c r="C1863" s="21" t="str">
        <f>IF(MOV_CC_NACIONAL!C1863="","",MOV_CC_NACIONAL!C1863)</f>
        <v/>
      </c>
      <c r="D1863" s="22" t="str">
        <f t="shared" si="1"/>
        <v>Other</v>
      </c>
    </row>
    <row r="1864" ht="15.75" customHeight="1">
      <c r="A1864" s="22" t="str">
        <f>IF(MOV_CC_NACIONAL!A1864="","",MOV_CC_NACIONAL!A1864)</f>
        <v/>
      </c>
      <c r="B1864" s="22" t="str">
        <f>IF(MOV_CC_NACIONAL!B1864="","",MOV_CC_NACIONAL!B1864)</f>
        <v/>
      </c>
      <c r="C1864" s="21" t="str">
        <f>IF(MOV_CC_NACIONAL!C1864="","",MOV_CC_NACIONAL!C1864)</f>
        <v/>
      </c>
      <c r="D1864" s="22" t="str">
        <f t="shared" si="1"/>
        <v>Other</v>
      </c>
    </row>
    <row r="1865" ht="15.75" customHeight="1">
      <c r="A1865" s="22" t="str">
        <f>IF(MOV_CC_NACIONAL!A1865="","",MOV_CC_NACIONAL!A1865)</f>
        <v/>
      </c>
      <c r="B1865" s="22" t="str">
        <f>IF(MOV_CC_NACIONAL!B1865="","",MOV_CC_NACIONAL!B1865)</f>
        <v/>
      </c>
      <c r="C1865" s="21" t="str">
        <f>IF(MOV_CC_NACIONAL!C1865="","",MOV_CC_NACIONAL!C1865)</f>
        <v/>
      </c>
      <c r="D1865" s="22" t="str">
        <f t="shared" si="1"/>
        <v>Other</v>
      </c>
    </row>
    <row r="1866" ht="15.75" customHeight="1">
      <c r="A1866" s="22" t="str">
        <f>IF(MOV_CC_NACIONAL!A1866="","",MOV_CC_NACIONAL!A1866)</f>
        <v/>
      </c>
      <c r="B1866" s="22" t="str">
        <f>IF(MOV_CC_NACIONAL!B1866="","",MOV_CC_NACIONAL!B1866)</f>
        <v/>
      </c>
      <c r="C1866" s="21" t="str">
        <f>IF(MOV_CC_NACIONAL!C1866="","",MOV_CC_NACIONAL!C1866)</f>
        <v/>
      </c>
      <c r="D1866" s="22" t="str">
        <f t="shared" si="1"/>
        <v>Other</v>
      </c>
    </row>
    <row r="1867" ht="15.75" customHeight="1">
      <c r="A1867" s="22" t="str">
        <f>IF(MOV_CC_NACIONAL!A1867="","",MOV_CC_NACIONAL!A1867)</f>
        <v/>
      </c>
      <c r="B1867" s="22" t="str">
        <f>IF(MOV_CC_NACIONAL!B1867="","",MOV_CC_NACIONAL!B1867)</f>
        <v/>
      </c>
      <c r="C1867" s="21" t="str">
        <f>IF(MOV_CC_NACIONAL!C1867="","",MOV_CC_NACIONAL!C1867)</f>
        <v/>
      </c>
      <c r="D1867" s="22" t="str">
        <f t="shared" si="1"/>
        <v>Other</v>
      </c>
    </row>
    <row r="1868" ht="15.75" customHeight="1">
      <c r="A1868" s="22" t="str">
        <f>IF(MOV_CC_NACIONAL!A1868="","",MOV_CC_NACIONAL!A1868)</f>
        <v/>
      </c>
      <c r="B1868" s="22" t="str">
        <f>IF(MOV_CC_NACIONAL!B1868="","",MOV_CC_NACIONAL!B1868)</f>
        <v/>
      </c>
      <c r="C1868" s="21" t="str">
        <f>IF(MOV_CC_NACIONAL!C1868="","",MOV_CC_NACIONAL!C1868)</f>
        <v/>
      </c>
      <c r="D1868" s="22" t="str">
        <f t="shared" si="1"/>
        <v>Other</v>
      </c>
    </row>
    <row r="1869" ht="15.75" customHeight="1">
      <c r="A1869" s="22" t="str">
        <f>IF(MOV_CC_NACIONAL!A1869="","",MOV_CC_NACIONAL!A1869)</f>
        <v/>
      </c>
      <c r="B1869" s="22" t="str">
        <f>IF(MOV_CC_NACIONAL!B1869="","",MOV_CC_NACIONAL!B1869)</f>
        <v/>
      </c>
      <c r="C1869" s="21" t="str">
        <f>IF(MOV_CC_NACIONAL!C1869="","",MOV_CC_NACIONAL!C1869)</f>
        <v/>
      </c>
      <c r="D1869" s="22" t="str">
        <f t="shared" si="1"/>
        <v>Other</v>
      </c>
    </row>
    <row r="1870" ht="15.75" customHeight="1">
      <c r="A1870" s="22" t="str">
        <f>IF(MOV_CC_NACIONAL!A1870="","",MOV_CC_NACIONAL!A1870)</f>
        <v/>
      </c>
      <c r="B1870" s="22" t="str">
        <f>IF(MOV_CC_NACIONAL!B1870="","",MOV_CC_NACIONAL!B1870)</f>
        <v/>
      </c>
      <c r="C1870" s="21" t="str">
        <f>IF(MOV_CC_NACIONAL!C1870="","",MOV_CC_NACIONAL!C1870)</f>
        <v/>
      </c>
      <c r="D1870" s="22" t="str">
        <f t="shared" si="1"/>
        <v>Other</v>
      </c>
    </row>
    <row r="1871" ht="15.75" customHeight="1">
      <c r="A1871" s="22" t="str">
        <f>IF(MOV_CC_NACIONAL!A1871="","",MOV_CC_NACIONAL!A1871)</f>
        <v/>
      </c>
      <c r="B1871" s="22" t="str">
        <f>IF(MOV_CC_NACIONAL!B1871="","",MOV_CC_NACIONAL!B1871)</f>
        <v/>
      </c>
      <c r="C1871" s="21" t="str">
        <f>IF(MOV_CC_NACIONAL!C1871="","",MOV_CC_NACIONAL!C1871)</f>
        <v/>
      </c>
      <c r="D1871" s="22" t="str">
        <f t="shared" si="1"/>
        <v>Other</v>
      </c>
    </row>
    <row r="1872" ht="15.75" customHeight="1">
      <c r="A1872" s="22" t="str">
        <f>IF(MOV_CC_NACIONAL!A1872="","",MOV_CC_NACIONAL!A1872)</f>
        <v/>
      </c>
      <c r="B1872" s="22" t="str">
        <f>IF(MOV_CC_NACIONAL!B1872="","",MOV_CC_NACIONAL!B1872)</f>
        <v/>
      </c>
      <c r="C1872" s="21" t="str">
        <f>IF(MOV_CC_NACIONAL!C1872="","",MOV_CC_NACIONAL!C1872)</f>
        <v/>
      </c>
      <c r="D1872" s="22" t="str">
        <f t="shared" si="1"/>
        <v>Other</v>
      </c>
    </row>
    <row r="1873" ht="15.75" customHeight="1">
      <c r="A1873" s="22" t="str">
        <f>IF(MOV_CC_NACIONAL!A1873="","",MOV_CC_NACIONAL!A1873)</f>
        <v/>
      </c>
      <c r="B1873" s="22" t="str">
        <f>IF(MOV_CC_NACIONAL!B1873="","",MOV_CC_NACIONAL!B1873)</f>
        <v/>
      </c>
      <c r="C1873" s="21" t="str">
        <f>IF(MOV_CC_NACIONAL!C1873="","",MOV_CC_NACIONAL!C1873)</f>
        <v/>
      </c>
      <c r="D1873" s="22" t="str">
        <f t="shared" si="1"/>
        <v>Other</v>
      </c>
    </row>
    <row r="1874" ht="15.75" customHeight="1">
      <c r="A1874" s="22" t="str">
        <f>IF(MOV_CC_NACIONAL!A1874="","",MOV_CC_NACIONAL!A1874)</f>
        <v/>
      </c>
      <c r="B1874" s="22" t="str">
        <f>IF(MOV_CC_NACIONAL!B1874="","",MOV_CC_NACIONAL!B1874)</f>
        <v/>
      </c>
      <c r="C1874" s="21" t="str">
        <f>IF(MOV_CC_NACIONAL!C1874="","",MOV_CC_NACIONAL!C1874)</f>
        <v/>
      </c>
      <c r="D1874" s="22" t="str">
        <f t="shared" si="1"/>
        <v>Other</v>
      </c>
    </row>
    <row r="1875" ht="15.75" customHeight="1">
      <c r="A1875" s="22" t="str">
        <f>IF(MOV_CC_NACIONAL!A1875="","",MOV_CC_NACIONAL!A1875)</f>
        <v/>
      </c>
      <c r="B1875" s="22" t="str">
        <f>IF(MOV_CC_NACIONAL!B1875="","",MOV_CC_NACIONAL!B1875)</f>
        <v/>
      </c>
      <c r="C1875" s="21" t="str">
        <f>IF(MOV_CC_NACIONAL!C1875="","",MOV_CC_NACIONAL!C1875)</f>
        <v/>
      </c>
      <c r="D1875" s="22" t="str">
        <f t="shared" si="1"/>
        <v>Other</v>
      </c>
    </row>
    <row r="1876" ht="15.75" customHeight="1">
      <c r="A1876" s="22" t="str">
        <f>IF(MOV_CC_NACIONAL!A1876="","",MOV_CC_NACIONAL!A1876)</f>
        <v/>
      </c>
      <c r="B1876" s="22" t="str">
        <f>IF(MOV_CC_NACIONAL!B1876="","",MOV_CC_NACIONAL!B1876)</f>
        <v/>
      </c>
      <c r="C1876" s="21" t="str">
        <f>IF(MOV_CC_NACIONAL!C1876="","",MOV_CC_NACIONAL!C1876)</f>
        <v/>
      </c>
      <c r="D1876" s="22" t="str">
        <f t="shared" si="1"/>
        <v>Other</v>
      </c>
    </row>
    <row r="1877" ht="15.75" customHeight="1">
      <c r="A1877" s="22" t="str">
        <f>IF(MOV_CC_NACIONAL!A1877="","",MOV_CC_NACIONAL!A1877)</f>
        <v/>
      </c>
      <c r="B1877" s="22" t="str">
        <f>IF(MOV_CC_NACIONAL!B1877="","",MOV_CC_NACIONAL!B1877)</f>
        <v/>
      </c>
      <c r="C1877" s="21" t="str">
        <f>IF(MOV_CC_NACIONAL!C1877="","",MOV_CC_NACIONAL!C1877)</f>
        <v/>
      </c>
      <c r="D1877" s="22" t="str">
        <f t="shared" si="1"/>
        <v>Other</v>
      </c>
    </row>
    <row r="1878" ht="15.75" customHeight="1">
      <c r="A1878" s="22" t="str">
        <f>IF(MOV_CC_NACIONAL!A1878="","",MOV_CC_NACIONAL!A1878)</f>
        <v/>
      </c>
      <c r="B1878" s="22" t="str">
        <f>IF(MOV_CC_NACIONAL!B1878="","",MOV_CC_NACIONAL!B1878)</f>
        <v/>
      </c>
      <c r="C1878" s="21" t="str">
        <f>IF(MOV_CC_NACIONAL!C1878="","",MOV_CC_NACIONAL!C1878)</f>
        <v/>
      </c>
      <c r="D1878" s="22" t="str">
        <f t="shared" si="1"/>
        <v>Other</v>
      </c>
    </row>
    <row r="1879" ht="15.75" customHeight="1">
      <c r="A1879" s="22" t="str">
        <f>IF(MOV_CC_NACIONAL!A1879="","",MOV_CC_NACIONAL!A1879)</f>
        <v/>
      </c>
      <c r="B1879" s="22" t="str">
        <f>IF(MOV_CC_NACIONAL!B1879="","",MOV_CC_NACIONAL!B1879)</f>
        <v/>
      </c>
      <c r="C1879" s="21" t="str">
        <f>IF(MOV_CC_NACIONAL!C1879="","",MOV_CC_NACIONAL!C1879)</f>
        <v/>
      </c>
      <c r="D1879" s="22" t="str">
        <f t="shared" si="1"/>
        <v>Other</v>
      </c>
    </row>
    <row r="1880" ht="15.75" customHeight="1">
      <c r="A1880" s="22" t="str">
        <f>IF(MOV_CC_NACIONAL!A1880="","",MOV_CC_NACIONAL!A1880)</f>
        <v/>
      </c>
      <c r="B1880" s="22" t="str">
        <f>IF(MOV_CC_NACIONAL!B1880="","",MOV_CC_NACIONAL!B1880)</f>
        <v/>
      </c>
      <c r="C1880" s="21" t="str">
        <f>IF(MOV_CC_NACIONAL!C1880="","",MOV_CC_NACIONAL!C1880)</f>
        <v/>
      </c>
      <c r="D1880" s="22" t="str">
        <f t="shared" si="1"/>
        <v>Other</v>
      </c>
    </row>
    <row r="1881" ht="15.75" customHeight="1">
      <c r="A1881" s="22" t="str">
        <f>IF(MOV_CC_NACIONAL!A1881="","",MOV_CC_NACIONAL!A1881)</f>
        <v/>
      </c>
      <c r="B1881" s="22" t="str">
        <f>IF(MOV_CC_NACIONAL!B1881="","",MOV_CC_NACIONAL!B1881)</f>
        <v/>
      </c>
      <c r="C1881" s="21" t="str">
        <f>IF(MOV_CC_NACIONAL!C1881="","",MOV_CC_NACIONAL!C1881)</f>
        <v/>
      </c>
      <c r="D1881" s="22" t="str">
        <f t="shared" si="1"/>
        <v>Other</v>
      </c>
    </row>
    <row r="1882" ht="15.75" customHeight="1">
      <c r="A1882" s="22" t="str">
        <f>IF(MOV_CC_NACIONAL!A1882="","",MOV_CC_NACIONAL!A1882)</f>
        <v/>
      </c>
      <c r="B1882" s="22" t="str">
        <f>IF(MOV_CC_NACIONAL!B1882="","",MOV_CC_NACIONAL!B1882)</f>
        <v/>
      </c>
      <c r="C1882" s="21" t="str">
        <f>IF(MOV_CC_NACIONAL!C1882="","",MOV_CC_NACIONAL!C1882)</f>
        <v/>
      </c>
      <c r="D1882" s="22" t="str">
        <f t="shared" si="1"/>
        <v>Other</v>
      </c>
    </row>
    <row r="1883" ht="15.75" customHeight="1">
      <c r="A1883" s="22" t="str">
        <f>IF(MOV_CC_NACIONAL!A1883="","",MOV_CC_NACIONAL!A1883)</f>
        <v/>
      </c>
      <c r="B1883" s="22" t="str">
        <f>IF(MOV_CC_NACIONAL!B1883="","",MOV_CC_NACIONAL!B1883)</f>
        <v/>
      </c>
      <c r="C1883" s="21" t="str">
        <f>IF(MOV_CC_NACIONAL!C1883="","",MOV_CC_NACIONAL!C1883)</f>
        <v/>
      </c>
      <c r="D1883" s="22" t="str">
        <f t="shared" si="1"/>
        <v>Other</v>
      </c>
    </row>
    <row r="1884" ht="15.75" customHeight="1">
      <c r="A1884" s="22" t="str">
        <f>IF(MOV_CC_NACIONAL!A1884="","",MOV_CC_NACIONAL!A1884)</f>
        <v/>
      </c>
      <c r="B1884" s="22" t="str">
        <f>IF(MOV_CC_NACIONAL!B1884="","",MOV_CC_NACIONAL!B1884)</f>
        <v/>
      </c>
      <c r="C1884" s="21" t="str">
        <f>IF(MOV_CC_NACIONAL!C1884="","",MOV_CC_NACIONAL!C1884)</f>
        <v/>
      </c>
      <c r="D1884" s="22" t="str">
        <f t="shared" si="1"/>
        <v>Other</v>
      </c>
    </row>
    <row r="1885" ht="15.75" customHeight="1">
      <c r="A1885" s="22" t="str">
        <f>IF(MOV_CC_NACIONAL!A1885="","",MOV_CC_NACIONAL!A1885)</f>
        <v/>
      </c>
      <c r="B1885" s="22" t="str">
        <f>IF(MOV_CC_NACIONAL!B1885="","",MOV_CC_NACIONAL!B1885)</f>
        <v/>
      </c>
      <c r="C1885" s="21" t="str">
        <f>IF(MOV_CC_NACIONAL!C1885="","",MOV_CC_NACIONAL!C1885)</f>
        <v/>
      </c>
      <c r="D1885" s="22" t="str">
        <f t="shared" si="1"/>
        <v>Other</v>
      </c>
    </row>
    <row r="1886" ht="15.75" customHeight="1">
      <c r="A1886" s="22" t="str">
        <f>IF(MOV_CC_NACIONAL!A1886="","",MOV_CC_NACIONAL!A1886)</f>
        <v/>
      </c>
      <c r="B1886" s="22" t="str">
        <f>IF(MOV_CC_NACIONAL!B1886="","",MOV_CC_NACIONAL!B1886)</f>
        <v/>
      </c>
      <c r="C1886" s="21" t="str">
        <f>IF(MOV_CC_NACIONAL!C1886="","",MOV_CC_NACIONAL!C1886)</f>
        <v/>
      </c>
      <c r="D1886" s="22" t="str">
        <f t="shared" si="1"/>
        <v>Other</v>
      </c>
    </row>
    <row r="1887" ht="15.75" customHeight="1">
      <c r="A1887" s="22" t="str">
        <f>IF(MOV_CC_NACIONAL!A1887="","",MOV_CC_NACIONAL!A1887)</f>
        <v/>
      </c>
      <c r="B1887" s="22" t="str">
        <f>IF(MOV_CC_NACIONAL!B1887="","",MOV_CC_NACIONAL!B1887)</f>
        <v/>
      </c>
      <c r="C1887" s="21" t="str">
        <f>IF(MOV_CC_NACIONAL!C1887="","",MOV_CC_NACIONAL!C1887)</f>
        <v/>
      </c>
      <c r="D1887" s="22" t="str">
        <f t="shared" si="1"/>
        <v>Other</v>
      </c>
    </row>
    <row r="1888" ht="15.75" customHeight="1">
      <c r="A1888" s="22" t="str">
        <f>IF(MOV_CC_NACIONAL!A1888="","",MOV_CC_NACIONAL!A1888)</f>
        <v/>
      </c>
      <c r="B1888" s="22" t="str">
        <f>IF(MOV_CC_NACIONAL!B1888="","",MOV_CC_NACIONAL!B1888)</f>
        <v/>
      </c>
      <c r="C1888" s="21" t="str">
        <f>IF(MOV_CC_NACIONAL!C1888="","",MOV_CC_NACIONAL!C1888)</f>
        <v/>
      </c>
      <c r="D1888" s="22" t="str">
        <f t="shared" si="1"/>
        <v>Other</v>
      </c>
    </row>
    <row r="1889" ht="15.75" customHeight="1">
      <c r="A1889" s="22" t="str">
        <f>IF(MOV_CC_NACIONAL!A1889="","",MOV_CC_NACIONAL!A1889)</f>
        <v/>
      </c>
      <c r="B1889" s="22" t="str">
        <f>IF(MOV_CC_NACIONAL!B1889="","",MOV_CC_NACIONAL!B1889)</f>
        <v/>
      </c>
      <c r="C1889" s="21" t="str">
        <f>IF(MOV_CC_NACIONAL!C1889="","",MOV_CC_NACIONAL!C1889)</f>
        <v/>
      </c>
      <c r="D1889" s="22" t="str">
        <f t="shared" si="1"/>
        <v>Other</v>
      </c>
    </row>
    <row r="1890" ht="15.75" customHeight="1">
      <c r="A1890" s="22" t="str">
        <f>IF(MOV_CC_NACIONAL!A1890="","",MOV_CC_NACIONAL!A1890)</f>
        <v/>
      </c>
      <c r="B1890" s="22" t="str">
        <f>IF(MOV_CC_NACIONAL!B1890="","",MOV_CC_NACIONAL!B1890)</f>
        <v/>
      </c>
      <c r="C1890" s="21" t="str">
        <f>IF(MOV_CC_NACIONAL!C1890="","",MOV_CC_NACIONAL!C1890)</f>
        <v/>
      </c>
      <c r="D1890" s="22" t="str">
        <f t="shared" si="1"/>
        <v>Other</v>
      </c>
    </row>
    <row r="1891" ht="15.75" customHeight="1">
      <c r="A1891" s="22" t="str">
        <f>IF(MOV_CC_NACIONAL!A1891="","",MOV_CC_NACIONAL!A1891)</f>
        <v/>
      </c>
      <c r="B1891" s="22" t="str">
        <f>IF(MOV_CC_NACIONAL!B1891="","",MOV_CC_NACIONAL!B1891)</f>
        <v/>
      </c>
      <c r="C1891" s="21" t="str">
        <f>IF(MOV_CC_NACIONAL!C1891="","",MOV_CC_NACIONAL!C1891)</f>
        <v/>
      </c>
      <c r="D1891" s="22" t="str">
        <f t="shared" si="1"/>
        <v>Other</v>
      </c>
    </row>
    <row r="1892" ht="15.75" customHeight="1">
      <c r="A1892" s="22" t="str">
        <f>IF(MOV_CC_NACIONAL!A1892="","",MOV_CC_NACIONAL!A1892)</f>
        <v/>
      </c>
      <c r="B1892" s="22" t="str">
        <f>IF(MOV_CC_NACIONAL!B1892="","",MOV_CC_NACIONAL!B1892)</f>
        <v/>
      </c>
      <c r="C1892" s="21" t="str">
        <f>IF(MOV_CC_NACIONAL!C1892="","",MOV_CC_NACIONAL!C1892)</f>
        <v/>
      </c>
      <c r="D1892" s="22" t="str">
        <f t="shared" si="1"/>
        <v>Other</v>
      </c>
    </row>
    <row r="1893" ht="15.75" customHeight="1">
      <c r="A1893" s="22" t="str">
        <f>IF(MOV_CC_NACIONAL!A1893="","",MOV_CC_NACIONAL!A1893)</f>
        <v/>
      </c>
      <c r="B1893" s="22" t="str">
        <f>IF(MOV_CC_NACIONAL!B1893="","",MOV_CC_NACIONAL!B1893)</f>
        <v/>
      </c>
      <c r="C1893" s="21" t="str">
        <f>IF(MOV_CC_NACIONAL!C1893="","",MOV_CC_NACIONAL!C1893)</f>
        <v/>
      </c>
      <c r="D1893" s="22" t="str">
        <f t="shared" si="1"/>
        <v>Other</v>
      </c>
    </row>
    <row r="1894" ht="15.75" customHeight="1">
      <c r="A1894" s="22" t="str">
        <f>IF(MOV_CC_NACIONAL!A1894="","",MOV_CC_NACIONAL!A1894)</f>
        <v/>
      </c>
      <c r="B1894" s="22" t="str">
        <f>IF(MOV_CC_NACIONAL!B1894="","",MOV_CC_NACIONAL!B1894)</f>
        <v/>
      </c>
      <c r="C1894" s="21" t="str">
        <f>IF(MOV_CC_NACIONAL!C1894="","",MOV_CC_NACIONAL!C1894)</f>
        <v/>
      </c>
      <c r="D1894" s="22" t="str">
        <f t="shared" si="1"/>
        <v>Other</v>
      </c>
    </row>
    <row r="1895" ht="15.75" customHeight="1">
      <c r="A1895" s="22" t="str">
        <f>IF(MOV_CC_NACIONAL!A1895="","",MOV_CC_NACIONAL!A1895)</f>
        <v/>
      </c>
      <c r="B1895" s="22" t="str">
        <f>IF(MOV_CC_NACIONAL!B1895="","",MOV_CC_NACIONAL!B1895)</f>
        <v/>
      </c>
      <c r="C1895" s="21" t="str">
        <f>IF(MOV_CC_NACIONAL!C1895="","",MOV_CC_NACIONAL!C1895)</f>
        <v/>
      </c>
      <c r="D1895" s="22" t="str">
        <f t="shared" si="1"/>
        <v>Other</v>
      </c>
    </row>
    <row r="1896" ht="15.75" customHeight="1">
      <c r="A1896" s="22" t="str">
        <f>IF(MOV_CC_NACIONAL!A1896="","",MOV_CC_NACIONAL!A1896)</f>
        <v/>
      </c>
      <c r="B1896" s="22" t="str">
        <f>IF(MOV_CC_NACIONAL!B1896="","",MOV_CC_NACIONAL!B1896)</f>
        <v/>
      </c>
      <c r="C1896" s="21" t="str">
        <f>IF(MOV_CC_NACIONAL!C1896="","",MOV_CC_NACIONAL!C1896)</f>
        <v/>
      </c>
      <c r="D1896" s="22" t="str">
        <f t="shared" si="1"/>
        <v>Other</v>
      </c>
    </row>
    <row r="1897" ht="15.75" customHeight="1">
      <c r="A1897" s="22" t="str">
        <f>IF(MOV_CC_NACIONAL!A1897="","",MOV_CC_NACIONAL!A1897)</f>
        <v/>
      </c>
      <c r="B1897" s="22" t="str">
        <f>IF(MOV_CC_NACIONAL!B1897="","",MOV_CC_NACIONAL!B1897)</f>
        <v/>
      </c>
      <c r="C1897" s="21" t="str">
        <f>IF(MOV_CC_NACIONAL!C1897="","",MOV_CC_NACIONAL!C1897)</f>
        <v/>
      </c>
      <c r="D1897" s="22" t="str">
        <f t="shared" si="1"/>
        <v>Other</v>
      </c>
    </row>
    <row r="1898" ht="15.75" customHeight="1">
      <c r="A1898" s="22" t="str">
        <f>IF(MOV_CC_NACIONAL!A1898="","",MOV_CC_NACIONAL!A1898)</f>
        <v/>
      </c>
      <c r="B1898" s="22" t="str">
        <f>IF(MOV_CC_NACIONAL!B1898="","",MOV_CC_NACIONAL!B1898)</f>
        <v/>
      </c>
      <c r="C1898" s="21" t="str">
        <f>IF(MOV_CC_NACIONAL!C1898="","",MOV_CC_NACIONAL!C1898)</f>
        <v/>
      </c>
      <c r="D1898" s="22" t="str">
        <f t="shared" si="1"/>
        <v>Other</v>
      </c>
    </row>
    <row r="1899" ht="15.75" customHeight="1">
      <c r="A1899" s="22" t="str">
        <f>IF(MOV_CC_NACIONAL!A1899="","",MOV_CC_NACIONAL!A1899)</f>
        <v/>
      </c>
      <c r="B1899" s="22" t="str">
        <f>IF(MOV_CC_NACIONAL!B1899="","",MOV_CC_NACIONAL!B1899)</f>
        <v/>
      </c>
      <c r="C1899" s="21" t="str">
        <f>IF(MOV_CC_NACIONAL!C1899="","",MOV_CC_NACIONAL!C1899)</f>
        <v/>
      </c>
      <c r="D1899" s="22" t="str">
        <f t="shared" si="1"/>
        <v>Other</v>
      </c>
    </row>
    <row r="1900" ht="15.75" customHeight="1">
      <c r="A1900" s="22" t="str">
        <f>IF(MOV_CC_NACIONAL!A1900="","",MOV_CC_NACIONAL!A1900)</f>
        <v/>
      </c>
      <c r="B1900" s="22" t="str">
        <f>IF(MOV_CC_NACIONAL!B1900="","",MOV_CC_NACIONAL!B1900)</f>
        <v/>
      </c>
      <c r="C1900" s="21" t="str">
        <f>IF(MOV_CC_NACIONAL!C1900="","",MOV_CC_NACIONAL!C1900)</f>
        <v/>
      </c>
      <c r="D1900" s="22" t="str">
        <f t="shared" si="1"/>
        <v>Other</v>
      </c>
    </row>
    <row r="1901" ht="15.75" customHeight="1">
      <c r="A1901" s="22" t="str">
        <f>IF(MOV_CC_NACIONAL!A1901="","",MOV_CC_NACIONAL!A1901)</f>
        <v/>
      </c>
      <c r="B1901" s="22" t="str">
        <f>IF(MOV_CC_NACIONAL!B1901="","",MOV_CC_NACIONAL!B1901)</f>
        <v/>
      </c>
      <c r="C1901" s="21" t="str">
        <f>IF(MOV_CC_NACIONAL!C1901="","",MOV_CC_NACIONAL!C1901)</f>
        <v/>
      </c>
      <c r="D1901" s="22" t="str">
        <f t="shared" si="1"/>
        <v>Other</v>
      </c>
    </row>
    <row r="1902" ht="15.75" customHeight="1">
      <c r="A1902" s="22" t="str">
        <f>IF(MOV_CC_NACIONAL!A1902="","",MOV_CC_NACIONAL!A1902)</f>
        <v/>
      </c>
      <c r="B1902" s="22" t="str">
        <f>IF(MOV_CC_NACIONAL!B1902="","",MOV_CC_NACIONAL!B1902)</f>
        <v/>
      </c>
      <c r="C1902" s="21" t="str">
        <f>IF(MOV_CC_NACIONAL!C1902="","",MOV_CC_NACIONAL!C1902)</f>
        <v/>
      </c>
      <c r="D1902" s="22" t="str">
        <f t="shared" si="1"/>
        <v>Other</v>
      </c>
    </row>
    <row r="1903" ht="15.75" customHeight="1">
      <c r="A1903" s="22" t="str">
        <f>IF(MOV_CC_NACIONAL!A1903="","",MOV_CC_NACIONAL!A1903)</f>
        <v/>
      </c>
      <c r="B1903" s="22" t="str">
        <f>IF(MOV_CC_NACIONAL!B1903="","",MOV_CC_NACIONAL!B1903)</f>
        <v/>
      </c>
      <c r="C1903" s="21" t="str">
        <f>IF(MOV_CC_NACIONAL!C1903="","",MOV_CC_NACIONAL!C1903)</f>
        <v/>
      </c>
      <c r="D1903" s="22" t="str">
        <f t="shared" si="1"/>
        <v>Other</v>
      </c>
    </row>
    <row r="1904" ht="15.75" customHeight="1">
      <c r="A1904" s="22" t="str">
        <f>IF(MOV_CC_NACIONAL!A1904="","",MOV_CC_NACIONAL!A1904)</f>
        <v/>
      </c>
      <c r="B1904" s="22" t="str">
        <f>IF(MOV_CC_NACIONAL!B1904="","",MOV_CC_NACIONAL!B1904)</f>
        <v/>
      </c>
      <c r="C1904" s="21" t="str">
        <f>IF(MOV_CC_NACIONAL!C1904="","",MOV_CC_NACIONAL!C1904)</f>
        <v/>
      </c>
      <c r="D1904" s="22" t="str">
        <f t="shared" si="1"/>
        <v>Other</v>
      </c>
    </row>
    <row r="1905" ht="15.75" customHeight="1">
      <c r="A1905" s="22" t="str">
        <f>IF(MOV_CC_NACIONAL!A1905="","",MOV_CC_NACIONAL!A1905)</f>
        <v/>
      </c>
      <c r="B1905" s="22" t="str">
        <f>IF(MOV_CC_NACIONAL!B1905="","",MOV_CC_NACIONAL!B1905)</f>
        <v/>
      </c>
      <c r="C1905" s="21" t="str">
        <f>IF(MOV_CC_NACIONAL!C1905="","",MOV_CC_NACIONAL!C1905)</f>
        <v/>
      </c>
      <c r="D1905" s="22" t="str">
        <f t="shared" si="1"/>
        <v>Other</v>
      </c>
    </row>
    <row r="1906" ht="15.75" customHeight="1">
      <c r="A1906" s="22" t="str">
        <f>IF(MOV_CC_NACIONAL!A1906="","",MOV_CC_NACIONAL!A1906)</f>
        <v/>
      </c>
      <c r="B1906" s="22" t="str">
        <f>IF(MOV_CC_NACIONAL!B1906="","",MOV_CC_NACIONAL!B1906)</f>
        <v/>
      </c>
      <c r="C1906" s="21" t="str">
        <f>IF(MOV_CC_NACIONAL!C1906="","",MOV_CC_NACIONAL!C1906)</f>
        <v/>
      </c>
      <c r="D1906" s="22" t="str">
        <f t="shared" si="1"/>
        <v>Other</v>
      </c>
    </row>
    <row r="1907" ht="15.75" customHeight="1">
      <c r="A1907" s="22" t="str">
        <f>IF(MOV_CC_NACIONAL!A1907="","",MOV_CC_NACIONAL!A1907)</f>
        <v/>
      </c>
      <c r="B1907" s="22" t="str">
        <f>IF(MOV_CC_NACIONAL!B1907="","",MOV_CC_NACIONAL!B1907)</f>
        <v/>
      </c>
      <c r="C1907" s="21" t="str">
        <f>IF(MOV_CC_NACIONAL!C1907="","",MOV_CC_NACIONAL!C1907)</f>
        <v/>
      </c>
      <c r="D1907" s="22" t="str">
        <f t="shared" si="1"/>
        <v>Other</v>
      </c>
    </row>
    <row r="1908" ht="15.75" customHeight="1">
      <c r="A1908" s="22" t="str">
        <f>IF(MOV_CC_NACIONAL!A1908="","",MOV_CC_NACIONAL!A1908)</f>
        <v/>
      </c>
      <c r="B1908" s="22" t="str">
        <f>IF(MOV_CC_NACIONAL!B1908="","",MOV_CC_NACIONAL!B1908)</f>
        <v/>
      </c>
      <c r="C1908" s="21" t="str">
        <f>IF(MOV_CC_NACIONAL!C1908="","",MOV_CC_NACIONAL!C1908)</f>
        <v/>
      </c>
      <c r="D1908" s="22" t="str">
        <f t="shared" si="1"/>
        <v>Other</v>
      </c>
    </row>
    <row r="1909" ht="15.75" customHeight="1">
      <c r="A1909" s="22" t="str">
        <f>IF(MOV_CC_NACIONAL!A1909="","",MOV_CC_NACIONAL!A1909)</f>
        <v/>
      </c>
      <c r="B1909" s="22" t="str">
        <f>IF(MOV_CC_NACIONAL!B1909="","",MOV_CC_NACIONAL!B1909)</f>
        <v/>
      </c>
      <c r="C1909" s="21" t="str">
        <f>IF(MOV_CC_NACIONAL!C1909="","",MOV_CC_NACIONAL!C1909)</f>
        <v/>
      </c>
      <c r="D1909" s="22" t="str">
        <f t="shared" si="1"/>
        <v>Other</v>
      </c>
    </row>
    <row r="1910" ht="15.75" customHeight="1">
      <c r="A1910" s="22" t="str">
        <f>IF(MOV_CC_NACIONAL!A1910="","",MOV_CC_NACIONAL!A1910)</f>
        <v/>
      </c>
      <c r="B1910" s="22" t="str">
        <f>IF(MOV_CC_NACIONAL!B1910="","",MOV_CC_NACIONAL!B1910)</f>
        <v/>
      </c>
      <c r="C1910" s="21" t="str">
        <f>IF(MOV_CC_NACIONAL!C1910="","",MOV_CC_NACIONAL!C1910)</f>
        <v/>
      </c>
      <c r="D1910" s="22" t="str">
        <f t="shared" si="1"/>
        <v>Other</v>
      </c>
    </row>
    <row r="1911" ht="15.75" customHeight="1">
      <c r="A1911" s="22" t="str">
        <f>IF(MOV_CC_NACIONAL!A1911="","",MOV_CC_NACIONAL!A1911)</f>
        <v/>
      </c>
      <c r="B1911" s="22" t="str">
        <f>IF(MOV_CC_NACIONAL!B1911="","",MOV_CC_NACIONAL!B1911)</f>
        <v/>
      </c>
      <c r="C1911" s="21" t="str">
        <f>IF(MOV_CC_NACIONAL!C1911="","",MOV_CC_NACIONAL!C1911)</f>
        <v/>
      </c>
      <c r="D1911" s="22" t="str">
        <f t="shared" si="1"/>
        <v>Other</v>
      </c>
    </row>
    <row r="1912" ht="15.75" customHeight="1">
      <c r="A1912" s="22" t="str">
        <f>IF(MOV_CC_NACIONAL!A1912="","",MOV_CC_NACIONAL!A1912)</f>
        <v/>
      </c>
      <c r="B1912" s="22" t="str">
        <f>IF(MOV_CC_NACIONAL!B1912="","",MOV_CC_NACIONAL!B1912)</f>
        <v/>
      </c>
      <c r="C1912" s="21" t="str">
        <f>IF(MOV_CC_NACIONAL!C1912="","",MOV_CC_NACIONAL!C1912)</f>
        <v/>
      </c>
      <c r="D1912" s="22" t="str">
        <f t="shared" si="1"/>
        <v>Other</v>
      </c>
    </row>
    <row r="1913" ht="15.75" customHeight="1">
      <c r="A1913" s="22" t="str">
        <f>IF(MOV_CC_NACIONAL!A1913="","",MOV_CC_NACIONAL!A1913)</f>
        <v/>
      </c>
      <c r="B1913" s="22" t="str">
        <f>IF(MOV_CC_NACIONAL!B1913="","",MOV_CC_NACIONAL!B1913)</f>
        <v/>
      </c>
      <c r="C1913" s="21" t="str">
        <f>IF(MOV_CC_NACIONAL!C1913="","",MOV_CC_NACIONAL!C1913)</f>
        <v/>
      </c>
      <c r="D1913" s="22" t="str">
        <f t="shared" si="1"/>
        <v>Other</v>
      </c>
    </row>
    <row r="1914" ht="15.75" customHeight="1">
      <c r="A1914" s="22" t="str">
        <f>IF(MOV_CC_NACIONAL!A1914="","",MOV_CC_NACIONAL!A1914)</f>
        <v/>
      </c>
      <c r="B1914" s="22" t="str">
        <f>IF(MOV_CC_NACIONAL!B1914="","",MOV_CC_NACIONAL!B1914)</f>
        <v/>
      </c>
      <c r="C1914" s="21" t="str">
        <f>IF(MOV_CC_NACIONAL!C1914="","",MOV_CC_NACIONAL!C1914)</f>
        <v/>
      </c>
      <c r="D1914" s="22" t="str">
        <f t="shared" si="1"/>
        <v>Other</v>
      </c>
    </row>
    <row r="1915" ht="15.75" customHeight="1">
      <c r="A1915" s="22" t="str">
        <f>IF(MOV_CC_NACIONAL!A1915="","",MOV_CC_NACIONAL!A1915)</f>
        <v/>
      </c>
      <c r="B1915" s="22" t="str">
        <f>IF(MOV_CC_NACIONAL!B1915="","",MOV_CC_NACIONAL!B1915)</f>
        <v/>
      </c>
      <c r="C1915" s="21" t="str">
        <f>IF(MOV_CC_NACIONAL!C1915="","",MOV_CC_NACIONAL!C1915)</f>
        <v/>
      </c>
      <c r="D1915" s="22" t="str">
        <f t="shared" si="1"/>
        <v>Other</v>
      </c>
    </row>
    <row r="1916" ht="15.75" customHeight="1">
      <c r="A1916" s="22" t="str">
        <f>IF(MOV_CC_NACIONAL!A1916="","",MOV_CC_NACIONAL!A1916)</f>
        <v/>
      </c>
      <c r="B1916" s="22" t="str">
        <f>IF(MOV_CC_NACIONAL!B1916="","",MOV_CC_NACIONAL!B1916)</f>
        <v/>
      </c>
      <c r="C1916" s="21" t="str">
        <f>IF(MOV_CC_NACIONAL!C1916="","",MOV_CC_NACIONAL!C1916)</f>
        <v/>
      </c>
      <c r="D1916" s="22" t="str">
        <f t="shared" si="1"/>
        <v>Other</v>
      </c>
    </row>
    <row r="1917" ht="15.75" customHeight="1">
      <c r="A1917" s="22" t="str">
        <f>IF(MOV_CC_NACIONAL!A1917="","",MOV_CC_NACIONAL!A1917)</f>
        <v/>
      </c>
      <c r="B1917" s="22" t="str">
        <f>IF(MOV_CC_NACIONAL!B1917="","",MOV_CC_NACIONAL!B1917)</f>
        <v/>
      </c>
      <c r="C1917" s="21" t="str">
        <f>IF(MOV_CC_NACIONAL!C1917="","",MOV_CC_NACIONAL!C1917)</f>
        <v/>
      </c>
      <c r="D1917" s="22" t="str">
        <f t="shared" si="1"/>
        <v>Other</v>
      </c>
    </row>
    <row r="1918" ht="15.75" customHeight="1">
      <c r="A1918" s="22" t="str">
        <f>IF(MOV_CC_NACIONAL!A1918="","",MOV_CC_NACIONAL!A1918)</f>
        <v/>
      </c>
      <c r="B1918" s="22" t="str">
        <f>IF(MOV_CC_NACIONAL!B1918="","",MOV_CC_NACIONAL!B1918)</f>
        <v/>
      </c>
      <c r="C1918" s="21" t="str">
        <f>IF(MOV_CC_NACIONAL!C1918="","",MOV_CC_NACIONAL!C1918)</f>
        <v/>
      </c>
      <c r="D1918" s="22" t="str">
        <f t="shared" si="1"/>
        <v>Other</v>
      </c>
    </row>
    <row r="1919" ht="15.75" customHeight="1">
      <c r="A1919" s="22" t="str">
        <f>IF(MOV_CC_NACIONAL!A1919="","",MOV_CC_NACIONAL!A1919)</f>
        <v/>
      </c>
      <c r="B1919" s="22" t="str">
        <f>IF(MOV_CC_NACIONAL!B1919="","",MOV_CC_NACIONAL!B1919)</f>
        <v/>
      </c>
      <c r="C1919" s="21" t="str">
        <f>IF(MOV_CC_NACIONAL!C1919="","",MOV_CC_NACIONAL!C1919)</f>
        <v/>
      </c>
      <c r="D1919" s="22" t="str">
        <f t="shared" si="1"/>
        <v>Other</v>
      </c>
    </row>
    <row r="1920" ht="15.75" customHeight="1">
      <c r="A1920" s="22" t="str">
        <f>IF(MOV_CC_NACIONAL!A1920="","",MOV_CC_NACIONAL!A1920)</f>
        <v/>
      </c>
      <c r="B1920" s="22" t="str">
        <f>IF(MOV_CC_NACIONAL!B1920="","",MOV_CC_NACIONAL!B1920)</f>
        <v/>
      </c>
      <c r="C1920" s="21" t="str">
        <f>IF(MOV_CC_NACIONAL!C1920="","",MOV_CC_NACIONAL!C1920)</f>
        <v/>
      </c>
      <c r="D1920" s="22" t="str">
        <f t="shared" si="1"/>
        <v>Other</v>
      </c>
    </row>
    <row r="1921" ht="15.75" customHeight="1">
      <c r="A1921" s="22" t="str">
        <f>IF(MOV_CC_NACIONAL!A1921="","",MOV_CC_NACIONAL!A1921)</f>
        <v/>
      </c>
      <c r="B1921" s="22" t="str">
        <f>IF(MOV_CC_NACIONAL!B1921="","",MOV_CC_NACIONAL!B1921)</f>
        <v/>
      </c>
      <c r="C1921" s="21" t="str">
        <f>IF(MOV_CC_NACIONAL!C1921="","",MOV_CC_NACIONAL!C1921)</f>
        <v/>
      </c>
      <c r="D1921" s="22" t="str">
        <f t="shared" si="1"/>
        <v>Other</v>
      </c>
    </row>
    <row r="1922" ht="15.75" customHeight="1">
      <c r="A1922" s="22" t="str">
        <f>IF(MOV_CC_NACIONAL!A1922="","",MOV_CC_NACIONAL!A1922)</f>
        <v/>
      </c>
      <c r="B1922" s="22" t="str">
        <f>IF(MOV_CC_NACIONAL!B1922="","",MOV_CC_NACIONAL!B1922)</f>
        <v/>
      </c>
      <c r="C1922" s="21" t="str">
        <f>IF(MOV_CC_NACIONAL!C1922="","",MOV_CC_NACIONAL!C1922)</f>
        <v/>
      </c>
      <c r="D1922" s="22" t="str">
        <f t="shared" si="1"/>
        <v>Other</v>
      </c>
    </row>
    <row r="1923" ht="15.75" customHeight="1">
      <c r="A1923" s="22" t="str">
        <f>IF(MOV_CC_NACIONAL!A1923="","",MOV_CC_NACIONAL!A1923)</f>
        <v/>
      </c>
      <c r="B1923" s="22" t="str">
        <f>IF(MOV_CC_NACIONAL!B1923="","",MOV_CC_NACIONAL!B1923)</f>
        <v/>
      </c>
      <c r="C1923" s="21" t="str">
        <f>IF(MOV_CC_NACIONAL!C1923="","",MOV_CC_NACIONAL!C1923)</f>
        <v/>
      </c>
      <c r="D1923" s="22" t="str">
        <f t="shared" si="1"/>
        <v>Other</v>
      </c>
    </row>
    <row r="1924" ht="15.75" customHeight="1">
      <c r="A1924" s="22" t="str">
        <f>IF(MOV_CC_NACIONAL!A1924="","",MOV_CC_NACIONAL!A1924)</f>
        <v/>
      </c>
      <c r="B1924" s="22" t="str">
        <f>IF(MOV_CC_NACIONAL!B1924="","",MOV_CC_NACIONAL!B1924)</f>
        <v/>
      </c>
      <c r="C1924" s="21" t="str">
        <f>IF(MOV_CC_NACIONAL!C1924="","",MOV_CC_NACIONAL!C1924)</f>
        <v/>
      </c>
      <c r="D1924" s="22" t="str">
        <f t="shared" si="1"/>
        <v>Other</v>
      </c>
    </row>
    <row r="1925" ht="15.75" customHeight="1">
      <c r="A1925" s="22" t="str">
        <f>IF(MOV_CC_NACIONAL!A1925="","",MOV_CC_NACIONAL!A1925)</f>
        <v/>
      </c>
      <c r="B1925" s="22" t="str">
        <f>IF(MOV_CC_NACIONAL!B1925="","",MOV_CC_NACIONAL!B1925)</f>
        <v/>
      </c>
      <c r="C1925" s="21" t="str">
        <f>IF(MOV_CC_NACIONAL!C1925="","",MOV_CC_NACIONAL!C1925)</f>
        <v/>
      </c>
      <c r="D1925" s="22" t="str">
        <f t="shared" si="1"/>
        <v>Other</v>
      </c>
    </row>
    <row r="1926" ht="15.75" customHeight="1">
      <c r="A1926" s="22" t="str">
        <f>IF(MOV_CC_NACIONAL!A1926="","",MOV_CC_NACIONAL!A1926)</f>
        <v/>
      </c>
      <c r="B1926" s="22" t="str">
        <f>IF(MOV_CC_NACIONAL!B1926="","",MOV_CC_NACIONAL!B1926)</f>
        <v/>
      </c>
      <c r="C1926" s="21" t="str">
        <f>IF(MOV_CC_NACIONAL!C1926="","",MOV_CC_NACIONAL!C1926)</f>
        <v/>
      </c>
      <c r="D1926" s="22" t="str">
        <f t="shared" si="1"/>
        <v>Other</v>
      </c>
    </row>
    <row r="1927" ht="15.75" customHeight="1">
      <c r="A1927" s="22" t="str">
        <f>IF(MOV_CC_NACIONAL!A1927="","",MOV_CC_NACIONAL!A1927)</f>
        <v/>
      </c>
      <c r="B1927" s="22" t="str">
        <f>IF(MOV_CC_NACIONAL!B1927="","",MOV_CC_NACIONAL!B1927)</f>
        <v/>
      </c>
      <c r="C1927" s="21" t="str">
        <f>IF(MOV_CC_NACIONAL!C1927="","",MOV_CC_NACIONAL!C1927)</f>
        <v/>
      </c>
      <c r="D1927" s="22" t="str">
        <f t="shared" si="1"/>
        <v>Other</v>
      </c>
    </row>
    <row r="1928" ht="15.75" customHeight="1">
      <c r="A1928" s="22" t="str">
        <f>IF(MOV_CC_NACIONAL!A1928="","",MOV_CC_NACIONAL!A1928)</f>
        <v/>
      </c>
      <c r="B1928" s="22" t="str">
        <f>IF(MOV_CC_NACIONAL!B1928="","",MOV_CC_NACIONAL!B1928)</f>
        <v/>
      </c>
      <c r="C1928" s="21" t="str">
        <f>IF(MOV_CC_NACIONAL!C1928="","",MOV_CC_NACIONAL!C1928)</f>
        <v/>
      </c>
      <c r="D1928" s="22" t="str">
        <f t="shared" si="1"/>
        <v>Other</v>
      </c>
    </row>
    <row r="1929" ht="15.75" customHeight="1">
      <c r="A1929" s="22" t="str">
        <f>IF(MOV_CC_NACIONAL!A1929="","",MOV_CC_NACIONAL!A1929)</f>
        <v/>
      </c>
      <c r="B1929" s="22" t="str">
        <f>IF(MOV_CC_NACIONAL!B1929="","",MOV_CC_NACIONAL!B1929)</f>
        <v/>
      </c>
      <c r="C1929" s="21" t="str">
        <f>IF(MOV_CC_NACIONAL!C1929="","",MOV_CC_NACIONAL!C1929)</f>
        <v/>
      </c>
      <c r="D1929" s="22" t="str">
        <f t="shared" si="1"/>
        <v>Other</v>
      </c>
    </row>
    <row r="1930" ht="15.75" customHeight="1">
      <c r="A1930" s="22" t="str">
        <f>IF(MOV_CC_NACIONAL!A1930="","",MOV_CC_NACIONAL!A1930)</f>
        <v/>
      </c>
      <c r="B1930" s="22" t="str">
        <f>IF(MOV_CC_NACIONAL!B1930="","",MOV_CC_NACIONAL!B1930)</f>
        <v/>
      </c>
      <c r="C1930" s="21" t="str">
        <f>IF(MOV_CC_NACIONAL!C1930="","",MOV_CC_NACIONAL!C1930)</f>
        <v/>
      </c>
      <c r="D1930" s="22" t="str">
        <f t="shared" si="1"/>
        <v>Other</v>
      </c>
    </row>
    <row r="1931" ht="15.75" customHeight="1">
      <c r="A1931" s="22" t="str">
        <f>IF(MOV_CC_NACIONAL!A1931="","",MOV_CC_NACIONAL!A1931)</f>
        <v/>
      </c>
      <c r="B1931" s="22" t="str">
        <f>IF(MOV_CC_NACIONAL!B1931="","",MOV_CC_NACIONAL!B1931)</f>
        <v/>
      </c>
      <c r="C1931" s="21" t="str">
        <f>IF(MOV_CC_NACIONAL!C1931="","",MOV_CC_NACIONAL!C1931)</f>
        <v/>
      </c>
      <c r="D1931" s="22" t="str">
        <f t="shared" si="1"/>
        <v>Other</v>
      </c>
    </row>
    <row r="1932" ht="15.75" customHeight="1">
      <c r="A1932" s="22" t="str">
        <f>IF(MOV_CC_NACIONAL!A1932="","",MOV_CC_NACIONAL!A1932)</f>
        <v/>
      </c>
      <c r="B1932" s="22" t="str">
        <f>IF(MOV_CC_NACIONAL!B1932="","",MOV_CC_NACIONAL!B1932)</f>
        <v/>
      </c>
      <c r="C1932" s="21" t="str">
        <f>IF(MOV_CC_NACIONAL!C1932="","",MOV_CC_NACIONAL!C1932)</f>
        <v/>
      </c>
      <c r="D1932" s="22" t="str">
        <f t="shared" si="1"/>
        <v>Other</v>
      </c>
    </row>
    <row r="1933" ht="15.75" customHeight="1">
      <c r="A1933" s="22" t="str">
        <f>IF(MOV_CC_NACIONAL!A1933="","",MOV_CC_NACIONAL!A1933)</f>
        <v/>
      </c>
      <c r="B1933" s="22" t="str">
        <f>IF(MOV_CC_NACIONAL!B1933="","",MOV_CC_NACIONAL!B1933)</f>
        <v/>
      </c>
      <c r="C1933" s="21" t="str">
        <f>IF(MOV_CC_NACIONAL!C1933="","",MOV_CC_NACIONAL!C1933)</f>
        <v/>
      </c>
      <c r="D1933" s="22" t="str">
        <f t="shared" si="1"/>
        <v>Other</v>
      </c>
    </row>
    <row r="1934" ht="15.75" customHeight="1">
      <c r="A1934" s="22" t="str">
        <f>IF(MOV_CC_NACIONAL!A1934="","",MOV_CC_NACIONAL!A1934)</f>
        <v/>
      </c>
      <c r="B1934" s="22" t="str">
        <f>IF(MOV_CC_NACIONAL!B1934="","",MOV_CC_NACIONAL!B1934)</f>
        <v/>
      </c>
      <c r="C1934" s="21" t="str">
        <f>IF(MOV_CC_NACIONAL!C1934="","",MOV_CC_NACIONAL!C1934)</f>
        <v/>
      </c>
      <c r="D1934" s="22" t="str">
        <f t="shared" si="1"/>
        <v>Other</v>
      </c>
    </row>
    <row r="1935" ht="15.75" customHeight="1">
      <c r="A1935" s="22" t="str">
        <f>IF(MOV_CC_NACIONAL!A1935="","",MOV_CC_NACIONAL!A1935)</f>
        <v/>
      </c>
      <c r="B1935" s="22" t="str">
        <f>IF(MOV_CC_NACIONAL!B1935="","",MOV_CC_NACIONAL!B1935)</f>
        <v/>
      </c>
      <c r="C1935" s="21" t="str">
        <f>IF(MOV_CC_NACIONAL!C1935="","",MOV_CC_NACIONAL!C1935)</f>
        <v/>
      </c>
      <c r="D1935" s="22" t="str">
        <f t="shared" si="1"/>
        <v>Other</v>
      </c>
    </row>
    <row r="1936" ht="15.75" customHeight="1">
      <c r="A1936" s="22" t="str">
        <f>IF(MOV_CC_NACIONAL!A1936="","",MOV_CC_NACIONAL!A1936)</f>
        <v/>
      </c>
      <c r="B1936" s="22" t="str">
        <f>IF(MOV_CC_NACIONAL!B1936="","",MOV_CC_NACIONAL!B1936)</f>
        <v/>
      </c>
      <c r="C1936" s="21" t="str">
        <f>IF(MOV_CC_NACIONAL!C1936="","",MOV_CC_NACIONAL!C1936)</f>
        <v/>
      </c>
      <c r="D1936" s="22" t="str">
        <f t="shared" si="1"/>
        <v>Other</v>
      </c>
    </row>
    <row r="1937" ht="15.75" customHeight="1">
      <c r="A1937" s="22" t="str">
        <f>IF(MOV_CC_NACIONAL!A1937="","",MOV_CC_NACIONAL!A1937)</f>
        <v/>
      </c>
      <c r="B1937" s="22" t="str">
        <f>IF(MOV_CC_NACIONAL!B1937="","",MOV_CC_NACIONAL!B1937)</f>
        <v/>
      </c>
      <c r="C1937" s="21" t="str">
        <f>IF(MOV_CC_NACIONAL!C1937="","",MOV_CC_NACIONAL!C1937)</f>
        <v/>
      </c>
      <c r="D1937" s="22" t="str">
        <f t="shared" si="1"/>
        <v>Other</v>
      </c>
    </row>
    <row r="1938" ht="15.75" customHeight="1">
      <c r="A1938" s="22" t="str">
        <f>IF(MOV_CC_NACIONAL!A1938="","",MOV_CC_NACIONAL!A1938)</f>
        <v/>
      </c>
      <c r="B1938" s="22" t="str">
        <f>IF(MOV_CC_NACIONAL!B1938="","",MOV_CC_NACIONAL!B1938)</f>
        <v/>
      </c>
      <c r="C1938" s="21" t="str">
        <f>IF(MOV_CC_NACIONAL!C1938="","",MOV_CC_NACIONAL!C1938)</f>
        <v/>
      </c>
      <c r="D1938" s="22" t="str">
        <f t="shared" si="1"/>
        <v>Other</v>
      </c>
    </row>
    <row r="1939" ht="15.75" customHeight="1">
      <c r="A1939" s="22" t="str">
        <f>IF(MOV_CC_NACIONAL!A1939="","",MOV_CC_NACIONAL!A1939)</f>
        <v/>
      </c>
      <c r="B1939" s="22" t="str">
        <f>IF(MOV_CC_NACIONAL!B1939="","",MOV_CC_NACIONAL!B1939)</f>
        <v/>
      </c>
      <c r="C1939" s="21" t="str">
        <f>IF(MOV_CC_NACIONAL!C1939="","",MOV_CC_NACIONAL!C1939)</f>
        <v/>
      </c>
      <c r="D1939" s="22" t="str">
        <f t="shared" si="1"/>
        <v>Other</v>
      </c>
    </row>
    <row r="1940" ht="15.75" customHeight="1">
      <c r="A1940" s="22" t="str">
        <f>IF(MOV_CC_NACIONAL!A1940="","",MOV_CC_NACIONAL!A1940)</f>
        <v/>
      </c>
      <c r="B1940" s="22" t="str">
        <f>IF(MOV_CC_NACIONAL!B1940="","",MOV_CC_NACIONAL!B1940)</f>
        <v/>
      </c>
      <c r="C1940" s="21" t="str">
        <f>IF(MOV_CC_NACIONAL!C1940="","",MOV_CC_NACIONAL!C1940)</f>
        <v/>
      </c>
      <c r="D1940" s="22" t="str">
        <f t="shared" si="1"/>
        <v>Other</v>
      </c>
    </row>
    <row r="1941" ht="15.75" customHeight="1">
      <c r="A1941" s="22" t="str">
        <f>IF(MOV_CC_NACIONAL!A1941="","",MOV_CC_NACIONAL!A1941)</f>
        <v/>
      </c>
      <c r="B1941" s="22" t="str">
        <f>IF(MOV_CC_NACIONAL!B1941="","",MOV_CC_NACIONAL!B1941)</f>
        <v/>
      </c>
      <c r="C1941" s="21" t="str">
        <f>IF(MOV_CC_NACIONAL!C1941="","",MOV_CC_NACIONAL!C1941)</f>
        <v/>
      </c>
      <c r="D1941" s="22" t="str">
        <f t="shared" si="1"/>
        <v>Other</v>
      </c>
    </row>
    <row r="1942" ht="15.75" customHeight="1">
      <c r="A1942" s="22" t="str">
        <f>IF(MOV_CC_NACIONAL!A1942="","",MOV_CC_NACIONAL!A1942)</f>
        <v/>
      </c>
      <c r="B1942" s="22" t="str">
        <f>IF(MOV_CC_NACIONAL!B1942="","",MOV_CC_NACIONAL!B1942)</f>
        <v/>
      </c>
      <c r="C1942" s="21" t="str">
        <f>IF(MOV_CC_NACIONAL!C1942="","",MOV_CC_NACIONAL!C1942)</f>
        <v/>
      </c>
      <c r="D1942" s="22" t="str">
        <f t="shared" si="1"/>
        <v>Other</v>
      </c>
    </row>
    <row r="1943" ht="15.75" customHeight="1">
      <c r="A1943" s="22" t="str">
        <f>IF(MOV_CC_NACIONAL!A1943="","",MOV_CC_NACIONAL!A1943)</f>
        <v/>
      </c>
      <c r="B1943" s="22" t="str">
        <f>IF(MOV_CC_NACIONAL!B1943="","",MOV_CC_NACIONAL!B1943)</f>
        <v/>
      </c>
      <c r="C1943" s="21" t="str">
        <f>IF(MOV_CC_NACIONAL!C1943="","",MOV_CC_NACIONAL!C1943)</f>
        <v/>
      </c>
      <c r="D1943" s="22" t="str">
        <f t="shared" si="1"/>
        <v>Other</v>
      </c>
    </row>
    <row r="1944" ht="15.75" customHeight="1">
      <c r="A1944" s="22" t="str">
        <f>IF(MOV_CC_NACIONAL!A1944="","",MOV_CC_NACIONAL!A1944)</f>
        <v/>
      </c>
      <c r="B1944" s="22" t="str">
        <f>IF(MOV_CC_NACIONAL!B1944="","",MOV_CC_NACIONAL!B1944)</f>
        <v/>
      </c>
      <c r="C1944" s="21" t="str">
        <f>IF(MOV_CC_NACIONAL!C1944="","",MOV_CC_NACIONAL!C1944)</f>
        <v/>
      </c>
      <c r="D1944" s="22" t="str">
        <f t="shared" si="1"/>
        <v>Other</v>
      </c>
    </row>
    <row r="1945" ht="15.75" customHeight="1">
      <c r="A1945" s="22" t="str">
        <f>IF(MOV_CC_NACIONAL!A1945="","",MOV_CC_NACIONAL!A1945)</f>
        <v/>
      </c>
      <c r="B1945" s="22" t="str">
        <f>IF(MOV_CC_NACIONAL!B1945="","",MOV_CC_NACIONAL!B1945)</f>
        <v/>
      </c>
      <c r="C1945" s="21" t="str">
        <f>IF(MOV_CC_NACIONAL!C1945="","",MOV_CC_NACIONAL!C1945)</f>
        <v/>
      </c>
      <c r="D1945" s="22" t="str">
        <f t="shared" si="1"/>
        <v>Other</v>
      </c>
    </row>
    <row r="1946" ht="15.75" customHeight="1">
      <c r="A1946" s="22" t="str">
        <f>IF(MOV_CC_NACIONAL!A1946="","",MOV_CC_NACIONAL!A1946)</f>
        <v/>
      </c>
      <c r="B1946" s="22" t="str">
        <f>IF(MOV_CC_NACIONAL!B1946="","",MOV_CC_NACIONAL!B1946)</f>
        <v/>
      </c>
      <c r="C1946" s="21" t="str">
        <f>IF(MOV_CC_NACIONAL!C1946="","",MOV_CC_NACIONAL!C1946)</f>
        <v/>
      </c>
      <c r="D1946" s="22" t="str">
        <f t="shared" si="1"/>
        <v>Other</v>
      </c>
    </row>
    <row r="1947" ht="15.75" customHeight="1">
      <c r="A1947" s="22" t="str">
        <f>IF(MOV_CC_NACIONAL!A1947="","",MOV_CC_NACIONAL!A1947)</f>
        <v/>
      </c>
      <c r="B1947" s="22" t="str">
        <f>IF(MOV_CC_NACIONAL!B1947="","",MOV_CC_NACIONAL!B1947)</f>
        <v/>
      </c>
      <c r="C1947" s="21" t="str">
        <f>IF(MOV_CC_NACIONAL!C1947="","",MOV_CC_NACIONAL!C1947)</f>
        <v/>
      </c>
      <c r="D1947" s="22" t="str">
        <f t="shared" si="1"/>
        <v>Other</v>
      </c>
    </row>
    <row r="1948" ht="15.75" customHeight="1">
      <c r="A1948" s="22" t="str">
        <f>IF(MOV_CC_NACIONAL!A1948="","",MOV_CC_NACIONAL!A1948)</f>
        <v/>
      </c>
      <c r="B1948" s="22" t="str">
        <f>IF(MOV_CC_NACIONAL!B1948="","",MOV_CC_NACIONAL!B1948)</f>
        <v/>
      </c>
      <c r="C1948" s="21" t="str">
        <f>IF(MOV_CC_NACIONAL!C1948="","",MOV_CC_NACIONAL!C1948)</f>
        <v/>
      </c>
      <c r="D1948" s="22" t="str">
        <f t="shared" si="1"/>
        <v>Other</v>
      </c>
    </row>
    <row r="1949" ht="15.75" customHeight="1">
      <c r="A1949" s="22" t="str">
        <f>IF(MOV_CC_NACIONAL!A1949="","",MOV_CC_NACIONAL!A1949)</f>
        <v/>
      </c>
      <c r="B1949" s="22" t="str">
        <f>IF(MOV_CC_NACIONAL!B1949="","",MOV_CC_NACIONAL!B1949)</f>
        <v/>
      </c>
      <c r="C1949" s="21" t="str">
        <f>IF(MOV_CC_NACIONAL!C1949="","",MOV_CC_NACIONAL!C1949)</f>
        <v/>
      </c>
      <c r="D1949" s="22" t="str">
        <f t="shared" si="1"/>
        <v>Other</v>
      </c>
    </row>
    <row r="1950" ht="15.75" customHeight="1">
      <c r="A1950" s="22" t="str">
        <f>IF(MOV_CC_NACIONAL!A1950="","",MOV_CC_NACIONAL!A1950)</f>
        <v/>
      </c>
      <c r="B1950" s="22" t="str">
        <f>IF(MOV_CC_NACIONAL!B1950="","",MOV_CC_NACIONAL!B1950)</f>
        <v/>
      </c>
      <c r="C1950" s="21" t="str">
        <f>IF(MOV_CC_NACIONAL!C1950="","",MOV_CC_NACIONAL!C1950)</f>
        <v/>
      </c>
      <c r="D1950" s="22" t="str">
        <f t="shared" si="1"/>
        <v>Other</v>
      </c>
    </row>
    <row r="1951" ht="15.75" customHeight="1">
      <c r="A1951" s="22" t="str">
        <f>IF(MOV_CC_NACIONAL!A1951="","",MOV_CC_NACIONAL!A1951)</f>
        <v/>
      </c>
      <c r="B1951" s="22" t="str">
        <f>IF(MOV_CC_NACIONAL!B1951="","",MOV_CC_NACIONAL!B1951)</f>
        <v/>
      </c>
      <c r="C1951" s="21" t="str">
        <f>IF(MOV_CC_NACIONAL!C1951="","",MOV_CC_NACIONAL!C1951)</f>
        <v/>
      </c>
      <c r="D1951" s="22" t="str">
        <f t="shared" si="1"/>
        <v>Other</v>
      </c>
    </row>
    <row r="1952" ht="15.75" customHeight="1">
      <c r="A1952" s="22" t="str">
        <f>IF(MOV_CC_NACIONAL!A1952="","",MOV_CC_NACIONAL!A1952)</f>
        <v/>
      </c>
      <c r="B1952" s="22" t="str">
        <f>IF(MOV_CC_NACIONAL!B1952="","",MOV_CC_NACIONAL!B1952)</f>
        <v/>
      </c>
      <c r="C1952" s="21" t="str">
        <f>IF(MOV_CC_NACIONAL!C1952="","",MOV_CC_NACIONAL!C1952)</f>
        <v/>
      </c>
      <c r="D1952" s="22" t="str">
        <f t="shared" si="1"/>
        <v>Other</v>
      </c>
    </row>
    <row r="1953" ht="15.75" customHeight="1">
      <c r="A1953" s="22" t="str">
        <f>IF(MOV_CC_NACIONAL!A1953="","",MOV_CC_NACIONAL!A1953)</f>
        <v/>
      </c>
      <c r="B1953" s="22" t="str">
        <f>IF(MOV_CC_NACIONAL!B1953="","",MOV_CC_NACIONAL!B1953)</f>
        <v/>
      </c>
      <c r="C1953" s="21" t="str">
        <f>IF(MOV_CC_NACIONAL!C1953="","",MOV_CC_NACIONAL!C1953)</f>
        <v/>
      </c>
      <c r="D1953" s="22" t="str">
        <f t="shared" si="1"/>
        <v>Other</v>
      </c>
    </row>
    <row r="1954" ht="15.75" customHeight="1">
      <c r="A1954" s="22" t="str">
        <f>IF(MOV_CC_NACIONAL!A1954="","",MOV_CC_NACIONAL!A1954)</f>
        <v/>
      </c>
      <c r="B1954" s="22" t="str">
        <f>IF(MOV_CC_NACIONAL!B1954="","",MOV_CC_NACIONAL!B1954)</f>
        <v/>
      </c>
      <c r="C1954" s="21" t="str">
        <f>IF(MOV_CC_NACIONAL!C1954="","",MOV_CC_NACIONAL!C1954)</f>
        <v/>
      </c>
      <c r="D1954" s="22" t="str">
        <f t="shared" si="1"/>
        <v>Other</v>
      </c>
    </row>
    <row r="1955" ht="15.75" customHeight="1">
      <c r="A1955" s="22" t="str">
        <f>IF(MOV_CC_NACIONAL!A1955="","",MOV_CC_NACIONAL!A1955)</f>
        <v/>
      </c>
      <c r="B1955" s="22" t="str">
        <f>IF(MOV_CC_NACIONAL!B1955="","",MOV_CC_NACIONAL!B1955)</f>
        <v/>
      </c>
      <c r="C1955" s="21" t="str">
        <f>IF(MOV_CC_NACIONAL!C1955="","",MOV_CC_NACIONAL!C1955)</f>
        <v/>
      </c>
      <c r="D1955" s="22" t="str">
        <f t="shared" si="1"/>
        <v>Other</v>
      </c>
    </row>
    <row r="1956" ht="15.75" customHeight="1">
      <c r="A1956" s="22" t="str">
        <f>IF(MOV_CC_NACIONAL!A1956="","",MOV_CC_NACIONAL!A1956)</f>
        <v/>
      </c>
      <c r="B1956" s="22" t="str">
        <f>IF(MOV_CC_NACIONAL!B1956="","",MOV_CC_NACIONAL!B1956)</f>
        <v/>
      </c>
      <c r="C1956" s="21" t="str">
        <f>IF(MOV_CC_NACIONAL!C1956="","",MOV_CC_NACIONAL!C1956)</f>
        <v/>
      </c>
      <c r="D1956" s="22" t="str">
        <f t="shared" si="1"/>
        <v>Other</v>
      </c>
    </row>
    <row r="1957" ht="15.75" customHeight="1">
      <c r="A1957" s="22" t="str">
        <f>IF(MOV_CC_NACIONAL!A1957="","",MOV_CC_NACIONAL!A1957)</f>
        <v/>
      </c>
      <c r="B1957" s="22" t="str">
        <f>IF(MOV_CC_NACIONAL!B1957="","",MOV_CC_NACIONAL!B1957)</f>
        <v/>
      </c>
      <c r="C1957" s="21" t="str">
        <f>IF(MOV_CC_NACIONAL!C1957="","",MOV_CC_NACIONAL!C1957)</f>
        <v/>
      </c>
      <c r="D1957" s="22" t="str">
        <f t="shared" si="1"/>
        <v>Other</v>
      </c>
    </row>
    <row r="1958" ht="15.75" customHeight="1">
      <c r="A1958" s="22" t="str">
        <f>IF(MOV_CC_NACIONAL!A1958="","",MOV_CC_NACIONAL!A1958)</f>
        <v/>
      </c>
      <c r="B1958" s="22" t="str">
        <f>IF(MOV_CC_NACIONAL!B1958="","",MOV_CC_NACIONAL!B1958)</f>
        <v/>
      </c>
      <c r="C1958" s="21" t="str">
        <f>IF(MOV_CC_NACIONAL!C1958="","",MOV_CC_NACIONAL!C1958)</f>
        <v/>
      </c>
      <c r="D1958" s="22" t="str">
        <f t="shared" si="1"/>
        <v>Other</v>
      </c>
    </row>
    <row r="1959" ht="15.75" customHeight="1">
      <c r="A1959" s="22" t="str">
        <f>IF(MOV_CC_NACIONAL!A1959="","",MOV_CC_NACIONAL!A1959)</f>
        <v/>
      </c>
      <c r="B1959" s="22" t="str">
        <f>IF(MOV_CC_NACIONAL!B1959="","",MOV_CC_NACIONAL!B1959)</f>
        <v/>
      </c>
      <c r="C1959" s="21" t="str">
        <f>IF(MOV_CC_NACIONAL!C1959="","",MOV_CC_NACIONAL!C1959)</f>
        <v/>
      </c>
      <c r="D1959" s="22" t="str">
        <f t="shared" si="1"/>
        <v>Other</v>
      </c>
    </row>
    <row r="1960" ht="15.75" customHeight="1">
      <c r="A1960" s="22" t="str">
        <f>IF(MOV_CC_NACIONAL!A1960="","",MOV_CC_NACIONAL!A1960)</f>
        <v/>
      </c>
      <c r="B1960" s="22" t="str">
        <f>IF(MOV_CC_NACIONAL!B1960="","",MOV_CC_NACIONAL!B1960)</f>
        <v/>
      </c>
      <c r="C1960" s="21" t="str">
        <f>IF(MOV_CC_NACIONAL!C1960="","",MOV_CC_NACIONAL!C1960)</f>
        <v/>
      </c>
      <c r="D1960" s="22" t="str">
        <f t="shared" si="1"/>
        <v>Other</v>
      </c>
    </row>
    <row r="1961" ht="15.75" customHeight="1">
      <c r="A1961" s="22" t="str">
        <f>IF(MOV_CC_NACIONAL!A1961="","",MOV_CC_NACIONAL!A1961)</f>
        <v/>
      </c>
      <c r="B1961" s="22" t="str">
        <f>IF(MOV_CC_NACIONAL!B1961="","",MOV_CC_NACIONAL!B1961)</f>
        <v/>
      </c>
      <c r="C1961" s="21" t="str">
        <f>IF(MOV_CC_NACIONAL!C1961="","",MOV_CC_NACIONAL!C1961)</f>
        <v/>
      </c>
      <c r="D1961" s="22" t="str">
        <f t="shared" si="1"/>
        <v>Other</v>
      </c>
    </row>
    <row r="1962" ht="15.75" customHeight="1">
      <c r="A1962" s="22" t="str">
        <f>IF(MOV_CC_NACIONAL!A1962="","",MOV_CC_NACIONAL!A1962)</f>
        <v/>
      </c>
      <c r="B1962" s="22" t="str">
        <f>IF(MOV_CC_NACIONAL!B1962="","",MOV_CC_NACIONAL!B1962)</f>
        <v/>
      </c>
      <c r="C1962" s="21" t="str">
        <f>IF(MOV_CC_NACIONAL!C1962="","",MOV_CC_NACIONAL!C1962)</f>
        <v/>
      </c>
      <c r="D1962" s="22" t="str">
        <f t="shared" si="1"/>
        <v>Other</v>
      </c>
    </row>
    <row r="1963" ht="15.75" customHeight="1">
      <c r="A1963" s="22" t="str">
        <f>IF(MOV_CC_NACIONAL!A1963="","",MOV_CC_NACIONAL!A1963)</f>
        <v/>
      </c>
      <c r="B1963" s="22" t="str">
        <f>IF(MOV_CC_NACIONAL!B1963="","",MOV_CC_NACIONAL!B1963)</f>
        <v/>
      </c>
      <c r="C1963" s="21" t="str">
        <f>IF(MOV_CC_NACIONAL!C1963="","",MOV_CC_NACIONAL!C1963)</f>
        <v/>
      </c>
      <c r="D1963" s="22" t="str">
        <f t="shared" si="1"/>
        <v>Other</v>
      </c>
    </row>
    <row r="1964" ht="15.75" customHeight="1">
      <c r="A1964" s="22" t="str">
        <f>IF(MOV_CC_NACIONAL!A1964="","",MOV_CC_NACIONAL!A1964)</f>
        <v/>
      </c>
      <c r="B1964" s="22" t="str">
        <f>IF(MOV_CC_NACIONAL!B1964="","",MOV_CC_NACIONAL!B1964)</f>
        <v/>
      </c>
      <c r="C1964" s="21" t="str">
        <f>IF(MOV_CC_NACIONAL!C1964="","",MOV_CC_NACIONAL!C1964)</f>
        <v/>
      </c>
      <c r="D1964" s="22" t="str">
        <f t="shared" si="1"/>
        <v>Other</v>
      </c>
    </row>
    <row r="1965" ht="15.75" customHeight="1">
      <c r="A1965" s="22" t="str">
        <f>IF(MOV_CC_NACIONAL!A1965="","",MOV_CC_NACIONAL!A1965)</f>
        <v/>
      </c>
      <c r="B1965" s="22" t="str">
        <f>IF(MOV_CC_NACIONAL!B1965="","",MOV_CC_NACIONAL!B1965)</f>
        <v/>
      </c>
      <c r="C1965" s="21" t="str">
        <f>IF(MOV_CC_NACIONAL!C1965="","",MOV_CC_NACIONAL!C1965)</f>
        <v/>
      </c>
      <c r="D1965" s="22" t="str">
        <f t="shared" si="1"/>
        <v>Other</v>
      </c>
    </row>
    <row r="1966" ht="15.75" customHeight="1">
      <c r="A1966" s="22" t="str">
        <f>IF(MOV_CC_NACIONAL!A1966="","",MOV_CC_NACIONAL!A1966)</f>
        <v/>
      </c>
      <c r="B1966" s="22" t="str">
        <f>IF(MOV_CC_NACIONAL!B1966="","",MOV_CC_NACIONAL!B1966)</f>
        <v/>
      </c>
      <c r="C1966" s="21" t="str">
        <f>IF(MOV_CC_NACIONAL!C1966="","",MOV_CC_NACIONAL!C1966)</f>
        <v/>
      </c>
      <c r="D1966" s="22" t="str">
        <f t="shared" si="1"/>
        <v>Other</v>
      </c>
    </row>
    <row r="1967" ht="15.75" customHeight="1">
      <c r="A1967" s="22" t="str">
        <f>IF(MOV_CC_NACIONAL!A1967="","",MOV_CC_NACIONAL!A1967)</f>
        <v/>
      </c>
      <c r="B1967" s="22" t="str">
        <f>IF(MOV_CC_NACIONAL!B1967="","",MOV_CC_NACIONAL!B1967)</f>
        <v/>
      </c>
      <c r="C1967" s="21" t="str">
        <f>IF(MOV_CC_NACIONAL!C1967="","",MOV_CC_NACIONAL!C1967)</f>
        <v/>
      </c>
      <c r="D1967" s="22" t="str">
        <f t="shared" si="1"/>
        <v>Other</v>
      </c>
    </row>
    <row r="1968" ht="15.75" customHeight="1">
      <c r="A1968" s="22" t="str">
        <f>IF(MOV_CC_NACIONAL!A1968="","",MOV_CC_NACIONAL!A1968)</f>
        <v/>
      </c>
      <c r="B1968" s="22" t="str">
        <f>IF(MOV_CC_NACIONAL!B1968="","",MOV_CC_NACIONAL!B1968)</f>
        <v/>
      </c>
      <c r="C1968" s="21" t="str">
        <f>IF(MOV_CC_NACIONAL!C1968="","",MOV_CC_NACIONAL!C1968)</f>
        <v/>
      </c>
      <c r="D1968" s="22" t="str">
        <f t="shared" si="1"/>
        <v>Other</v>
      </c>
    </row>
    <row r="1969" ht="15.75" customHeight="1">
      <c r="A1969" s="22" t="str">
        <f>IF(MOV_CC_NACIONAL!A1969="","",MOV_CC_NACIONAL!A1969)</f>
        <v/>
      </c>
      <c r="B1969" s="22" t="str">
        <f>IF(MOV_CC_NACIONAL!B1969="","",MOV_CC_NACIONAL!B1969)</f>
        <v/>
      </c>
      <c r="C1969" s="21" t="str">
        <f>IF(MOV_CC_NACIONAL!C1969="","",MOV_CC_NACIONAL!C1969)</f>
        <v/>
      </c>
      <c r="D1969" s="22" t="str">
        <f t="shared" si="1"/>
        <v>Other</v>
      </c>
    </row>
    <row r="1970" ht="15.75" customHeight="1">
      <c r="A1970" s="22" t="str">
        <f>IF(MOV_CC_NACIONAL!A1970="","",MOV_CC_NACIONAL!A1970)</f>
        <v/>
      </c>
      <c r="B1970" s="22" t="str">
        <f>IF(MOV_CC_NACIONAL!B1970="","",MOV_CC_NACIONAL!B1970)</f>
        <v/>
      </c>
      <c r="C1970" s="21" t="str">
        <f>IF(MOV_CC_NACIONAL!C1970="","",MOV_CC_NACIONAL!C1970)</f>
        <v/>
      </c>
      <c r="D1970" s="22" t="str">
        <f t="shared" si="1"/>
        <v>Other</v>
      </c>
    </row>
    <row r="1971" ht="15.75" customHeight="1">
      <c r="A1971" s="22" t="str">
        <f>IF(MOV_CC_NACIONAL!A1971="","",MOV_CC_NACIONAL!A1971)</f>
        <v/>
      </c>
      <c r="B1971" s="22" t="str">
        <f>IF(MOV_CC_NACIONAL!B1971="","",MOV_CC_NACIONAL!B1971)</f>
        <v/>
      </c>
      <c r="C1971" s="21" t="str">
        <f>IF(MOV_CC_NACIONAL!C1971="","",MOV_CC_NACIONAL!C1971)</f>
        <v/>
      </c>
      <c r="D1971" s="22" t="str">
        <f t="shared" si="1"/>
        <v>Other</v>
      </c>
    </row>
    <row r="1972" ht="15.75" customHeight="1">
      <c r="A1972" s="22" t="str">
        <f>IF(MOV_CC_NACIONAL!A1972="","",MOV_CC_NACIONAL!A1972)</f>
        <v/>
      </c>
      <c r="B1972" s="22" t="str">
        <f>IF(MOV_CC_NACIONAL!B1972="","",MOV_CC_NACIONAL!B1972)</f>
        <v/>
      </c>
      <c r="C1972" s="21" t="str">
        <f>IF(MOV_CC_NACIONAL!C1972="","",MOV_CC_NACIONAL!C1972)</f>
        <v/>
      </c>
      <c r="D1972" s="22" t="str">
        <f t="shared" si="1"/>
        <v>Other</v>
      </c>
    </row>
    <row r="1973" ht="15.75" customHeight="1">
      <c r="A1973" s="22" t="str">
        <f>IF(MOV_CC_NACIONAL!A1973="","",MOV_CC_NACIONAL!A1973)</f>
        <v/>
      </c>
      <c r="B1973" s="22" t="str">
        <f>IF(MOV_CC_NACIONAL!B1973="","",MOV_CC_NACIONAL!B1973)</f>
        <v/>
      </c>
      <c r="C1973" s="21" t="str">
        <f>IF(MOV_CC_NACIONAL!C1973="","",MOV_CC_NACIONAL!C1973)</f>
        <v/>
      </c>
      <c r="D1973" s="22" t="str">
        <f t="shared" si="1"/>
        <v>Other</v>
      </c>
    </row>
    <row r="1974" ht="15.75" customHeight="1">
      <c r="A1974" s="22" t="str">
        <f>IF(MOV_CC_NACIONAL!A1974="","",MOV_CC_NACIONAL!A1974)</f>
        <v/>
      </c>
      <c r="B1974" s="22" t="str">
        <f>IF(MOV_CC_NACIONAL!B1974="","",MOV_CC_NACIONAL!B1974)</f>
        <v/>
      </c>
      <c r="C1974" s="21" t="str">
        <f>IF(MOV_CC_NACIONAL!C1974="","",MOV_CC_NACIONAL!C1974)</f>
        <v/>
      </c>
      <c r="D1974" s="22" t="str">
        <f t="shared" si="1"/>
        <v>Other</v>
      </c>
    </row>
    <row r="1975" ht="15.75" customHeight="1">
      <c r="A1975" s="22" t="str">
        <f>IF(MOV_CC_NACIONAL!A1975="","",MOV_CC_NACIONAL!A1975)</f>
        <v/>
      </c>
      <c r="B1975" s="22" t="str">
        <f>IF(MOV_CC_NACIONAL!B1975="","",MOV_CC_NACIONAL!B1975)</f>
        <v/>
      </c>
      <c r="C1975" s="21" t="str">
        <f>IF(MOV_CC_NACIONAL!C1975="","",MOV_CC_NACIONAL!C1975)</f>
        <v/>
      </c>
      <c r="D1975" s="22" t="str">
        <f t="shared" si="1"/>
        <v>Other</v>
      </c>
    </row>
    <row r="1976" ht="15.75" customHeight="1">
      <c r="A1976" s="22" t="str">
        <f>IF(MOV_CC_NACIONAL!A1976="","",MOV_CC_NACIONAL!A1976)</f>
        <v/>
      </c>
      <c r="B1976" s="22" t="str">
        <f>IF(MOV_CC_NACIONAL!B1976="","",MOV_CC_NACIONAL!B1976)</f>
        <v/>
      </c>
      <c r="C1976" s="21" t="str">
        <f>IF(MOV_CC_NACIONAL!C1976="","",MOV_CC_NACIONAL!C1976)</f>
        <v/>
      </c>
      <c r="D1976" s="22" t="str">
        <f t="shared" si="1"/>
        <v>Other</v>
      </c>
    </row>
    <row r="1977" ht="15.75" customHeight="1">
      <c r="A1977" s="22" t="str">
        <f>IF(MOV_CC_NACIONAL!A1977="","",MOV_CC_NACIONAL!A1977)</f>
        <v/>
      </c>
      <c r="B1977" s="22" t="str">
        <f>IF(MOV_CC_NACIONAL!B1977="","",MOV_CC_NACIONAL!B1977)</f>
        <v/>
      </c>
      <c r="C1977" s="21" t="str">
        <f>IF(MOV_CC_NACIONAL!C1977="","",MOV_CC_NACIONAL!C1977)</f>
        <v/>
      </c>
      <c r="D1977" s="22" t="str">
        <f t="shared" si="1"/>
        <v>Other</v>
      </c>
    </row>
    <row r="1978" ht="15.75" customHeight="1">
      <c r="A1978" s="22" t="str">
        <f>IF(MOV_CC_NACIONAL!A1978="","",MOV_CC_NACIONAL!A1978)</f>
        <v/>
      </c>
      <c r="B1978" s="22" t="str">
        <f>IF(MOV_CC_NACIONAL!B1978="","",MOV_CC_NACIONAL!B1978)</f>
        <v/>
      </c>
      <c r="C1978" s="21" t="str">
        <f>IF(MOV_CC_NACIONAL!C1978="","",MOV_CC_NACIONAL!C1978)</f>
        <v/>
      </c>
      <c r="D1978" s="22" t="str">
        <f t="shared" si="1"/>
        <v>Other</v>
      </c>
    </row>
    <row r="1979" ht="15.75" customHeight="1">
      <c r="A1979" s="22" t="str">
        <f>IF(MOV_CC_NACIONAL!A1979="","",MOV_CC_NACIONAL!A1979)</f>
        <v/>
      </c>
      <c r="B1979" s="22" t="str">
        <f>IF(MOV_CC_NACIONAL!B1979="","",MOV_CC_NACIONAL!B1979)</f>
        <v/>
      </c>
      <c r="C1979" s="21" t="str">
        <f>IF(MOV_CC_NACIONAL!C1979="","",MOV_CC_NACIONAL!C1979)</f>
        <v/>
      </c>
      <c r="D1979" s="22" t="str">
        <f t="shared" si="1"/>
        <v>Other</v>
      </c>
    </row>
    <row r="1980" ht="15.75" customHeight="1">
      <c r="A1980" s="22" t="str">
        <f>IF(MOV_CC_NACIONAL!A1980="","",MOV_CC_NACIONAL!A1980)</f>
        <v/>
      </c>
      <c r="B1980" s="22" t="str">
        <f>IF(MOV_CC_NACIONAL!B1980="","",MOV_CC_NACIONAL!B1980)</f>
        <v/>
      </c>
      <c r="C1980" s="21" t="str">
        <f>IF(MOV_CC_NACIONAL!C1980="","",MOV_CC_NACIONAL!C1980)</f>
        <v/>
      </c>
      <c r="D1980" s="22" t="str">
        <f t="shared" si="1"/>
        <v>Other</v>
      </c>
    </row>
    <row r="1981" ht="15.75" customHeight="1">
      <c r="A1981" s="22" t="str">
        <f>IF(MOV_CC_NACIONAL!A1981="","",MOV_CC_NACIONAL!A1981)</f>
        <v/>
      </c>
      <c r="B1981" s="22" t="str">
        <f>IF(MOV_CC_NACIONAL!B1981="","",MOV_CC_NACIONAL!B1981)</f>
        <v/>
      </c>
      <c r="C1981" s="21" t="str">
        <f>IF(MOV_CC_NACIONAL!C1981="","",MOV_CC_NACIONAL!C1981)</f>
        <v/>
      </c>
      <c r="D1981" s="22" t="str">
        <f t="shared" si="1"/>
        <v>Other</v>
      </c>
    </row>
    <row r="1982" ht="15.75" customHeight="1">
      <c r="A1982" s="22" t="str">
        <f>IF(MOV_CC_NACIONAL!A1982="","",MOV_CC_NACIONAL!A1982)</f>
        <v/>
      </c>
      <c r="B1982" s="22" t="str">
        <f>IF(MOV_CC_NACIONAL!B1982="","",MOV_CC_NACIONAL!B1982)</f>
        <v/>
      </c>
      <c r="C1982" s="21" t="str">
        <f>IF(MOV_CC_NACIONAL!C1982="","",MOV_CC_NACIONAL!C1982)</f>
        <v/>
      </c>
      <c r="D1982" s="22" t="str">
        <f t="shared" si="1"/>
        <v>Other</v>
      </c>
    </row>
    <row r="1983" ht="15.75" customHeight="1">
      <c r="A1983" s="22" t="str">
        <f>IF(MOV_CC_NACIONAL!A1983="","",MOV_CC_NACIONAL!A1983)</f>
        <v/>
      </c>
      <c r="B1983" s="22" t="str">
        <f>IF(MOV_CC_NACIONAL!B1983="","",MOV_CC_NACIONAL!B1983)</f>
        <v/>
      </c>
      <c r="C1983" s="21" t="str">
        <f>IF(MOV_CC_NACIONAL!C1983="","",MOV_CC_NACIONAL!C1983)</f>
        <v/>
      </c>
      <c r="D1983" s="22" t="str">
        <f t="shared" si="1"/>
        <v>Other</v>
      </c>
    </row>
    <row r="1984" ht="15.75" customHeight="1">
      <c r="A1984" s="22" t="str">
        <f>IF(MOV_CC_NACIONAL!A1984="","",MOV_CC_NACIONAL!A1984)</f>
        <v/>
      </c>
      <c r="B1984" s="22" t="str">
        <f>IF(MOV_CC_NACIONAL!B1984="","",MOV_CC_NACIONAL!B1984)</f>
        <v/>
      </c>
      <c r="C1984" s="21" t="str">
        <f>IF(MOV_CC_NACIONAL!C1984="","",MOV_CC_NACIONAL!C1984)</f>
        <v/>
      </c>
      <c r="D1984" s="22" t="str">
        <f t="shared" si="1"/>
        <v>Other</v>
      </c>
    </row>
    <row r="1985" ht="15.75" customHeight="1">
      <c r="A1985" s="22" t="str">
        <f>IF(MOV_CC_NACIONAL!A1985="","",MOV_CC_NACIONAL!A1985)</f>
        <v/>
      </c>
      <c r="B1985" s="22" t="str">
        <f>IF(MOV_CC_NACIONAL!B1985="","",MOV_CC_NACIONAL!B1985)</f>
        <v/>
      </c>
      <c r="C1985" s="21" t="str">
        <f>IF(MOV_CC_NACIONAL!C1985="","",MOV_CC_NACIONAL!C1985)</f>
        <v/>
      </c>
      <c r="D1985" s="22" t="str">
        <f t="shared" si="1"/>
        <v>Other</v>
      </c>
    </row>
    <row r="1986" ht="15.75" customHeight="1">
      <c r="A1986" s="22" t="str">
        <f>IF(MOV_CC_NACIONAL!A1986="","",MOV_CC_NACIONAL!A1986)</f>
        <v/>
      </c>
      <c r="B1986" s="22" t="str">
        <f>IF(MOV_CC_NACIONAL!B1986="","",MOV_CC_NACIONAL!B1986)</f>
        <v/>
      </c>
      <c r="C1986" s="21" t="str">
        <f>IF(MOV_CC_NACIONAL!C1986="","",MOV_CC_NACIONAL!C1986)</f>
        <v/>
      </c>
      <c r="D1986" s="22" t="str">
        <f t="shared" si="1"/>
        <v>Other</v>
      </c>
    </row>
    <row r="1987" ht="15.75" customHeight="1">
      <c r="A1987" s="22" t="str">
        <f>IF(MOV_CC_NACIONAL!A1987="","",MOV_CC_NACIONAL!A1987)</f>
        <v/>
      </c>
      <c r="B1987" s="22" t="str">
        <f>IF(MOV_CC_NACIONAL!B1987="","",MOV_CC_NACIONAL!B1987)</f>
        <v/>
      </c>
      <c r="C1987" s="21" t="str">
        <f>IF(MOV_CC_NACIONAL!C1987="","",MOV_CC_NACIONAL!C1987)</f>
        <v/>
      </c>
      <c r="D1987" s="22" t="str">
        <f t="shared" si="1"/>
        <v>Other</v>
      </c>
    </row>
    <row r="1988" ht="15.75" customHeight="1">
      <c r="A1988" s="22" t="str">
        <f>IF(MOV_CC_NACIONAL!A1988="","",MOV_CC_NACIONAL!A1988)</f>
        <v/>
      </c>
      <c r="B1988" s="22" t="str">
        <f>IF(MOV_CC_NACIONAL!B1988="","",MOV_CC_NACIONAL!B1988)</f>
        <v/>
      </c>
      <c r="C1988" s="21" t="str">
        <f>IF(MOV_CC_NACIONAL!C1988="","",MOV_CC_NACIONAL!C1988)</f>
        <v/>
      </c>
      <c r="D1988" s="22" t="str">
        <f t="shared" si="1"/>
        <v>Other</v>
      </c>
    </row>
    <row r="1989" ht="15.75" customHeight="1">
      <c r="A1989" s="22" t="str">
        <f>IF(MOV_CC_NACIONAL!A1989="","",MOV_CC_NACIONAL!A1989)</f>
        <v/>
      </c>
      <c r="B1989" s="22" t="str">
        <f>IF(MOV_CC_NACIONAL!B1989="","",MOV_CC_NACIONAL!B1989)</f>
        <v/>
      </c>
      <c r="C1989" s="21" t="str">
        <f>IF(MOV_CC_NACIONAL!C1989="","",MOV_CC_NACIONAL!C1989)</f>
        <v/>
      </c>
      <c r="D1989" s="22" t="str">
        <f t="shared" si="1"/>
        <v>Other</v>
      </c>
    </row>
    <row r="1990" ht="15.75" customHeight="1">
      <c r="A1990" s="22" t="str">
        <f>IF(MOV_CC_NACIONAL!A1990="","",MOV_CC_NACIONAL!A1990)</f>
        <v/>
      </c>
      <c r="B1990" s="22" t="str">
        <f>IF(MOV_CC_NACIONAL!B1990="","",MOV_CC_NACIONAL!B1990)</f>
        <v/>
      </c>
      <c r="C1990" s="21" t="str">
        <f>IF(MOV_CC_NACIONAL!C1990="","",MOV_CC_NACIONAL!C1990)</f>
        <v/>
      </c>
      <c r="D1990" s="22" t="str">
        <f t="shared" si="1"/>
        <v>Other</v>
      </c>
    </row>
    <row r="1991" ht="15.75" customHeight="1">
      <c r="A1991" s="22" t="str">
        <f>IF(MOV_CC_NACIONAL!A1991="","",MOV_CC_NACIONAL!A1991)</f>
        <v/>
      </c>
      <c r="B1991" s="22" t="str">
        <f>IF(MOV_CC_NACIONAL!B1991="","",MOV_CC_NACIONAL!B1991)</f>
        <v/>
      </c>
      <c r="C1991" s="21" t="str">
        <f>IF(MOV_CC_NACIONAL!C1991="","",MOV_CC_NACIONAL!C1991)</f>
        <v/>
      </c>
      <c r="D1991" s="22" t="str">
        <f t="shared" si="1"/>
        <v>Other</v>
      </c>
    </row>
    <row r="1992" ht="15.75" customHeight="1">
      <c r="A1992" s="22" t="str">
        <f>IF(MOV_CC_NACIONAL!A1992="","",MOV_CC_NACIONAL!A1992)</f>
        <v/>
      </c>
      <c r="B1992" s="22" t="str">
        <f>IF(MOV_CC_NACIONAL!B1992="","",MOV_CC_NACIONAL!B1992)</f>
        <v/>
      </c>
      <c r="C1992" s="21" t="str">
        <f>IF(MOV_CC_NACIONAL!C1992="","",MOV_CC_NACIONAL!C1992)</f>
        <v/>
      </c>
      <c r="D1992" s="22" t="str">
        <f t="shared" si="1"/>
        <v>Other</v>
      </c>
    </row>
    <row r="1993" ht="15.75" customHeight="1">
      <c r="A1993" s="22" t="str">
        <f>IF(MOV_CC_NACIONAL!A1993="","",MOV_CC_NACIONAL!A1993)</f>
        <v/>
      </c>
      <c r="B1993" s="22" t="str">
        <f>IF(MOV_CC_NACIONAL!B1993="","",MOV_CC_NACIONAL!B1993)</f>
        <v/>
      </c>
      <c r="C1993" s="21" t="str">
        <f>IF(MOV_CC_NACIONAL!C1993="","",MOV_CC_NACIONAL!C1993)</f>
        <v/>
      </c>
      <c r="D1993" s="22" t="str">
        <f t="shared" si="1"/>
        <v>Other</v>
      </c>
    </row>
    <row r="1994" ht="15.75" customHeight="1">
      <c r="A1994" s="22" t="str">
        <f>IF(MOV_CC_NACIONAL!A1994="","",MOV_CC_NACIONAL!A1994)</f>
        <v/>
      </c>
      <c r="B1994" s="22" t="str">
        <f>IF(MOV_CC_NACIONAL!B1994="","",MOV_CC_NACIONAL!B1994)</f>
        <v/>
      </c>
      <c r="C1994" s="21" t="str">
        <f>IF(MOV_CC_NACIONAL!C1994="","",MOV_CC_NACIONAL!C1994)</f>
        <v/>
      </c>
      <c r="D1994" s="22" t="str">
        <f t="shared" si="1"/>
        <v>Other</v>
      </c>
    </row>
    <row r="1995" ht="15.75" customHeight="1">
      <c r="A1995" s="22" t="str">
        <f>IF(MOV_CC_NACIONAL!A1995="","",MOV_CC_NACIONAL!A1995)</f>
        <v/>
      </c>
      <c r="B1995" s="22" t="str">
        <f>IF(MOV_CC_NACIONAL!B1995="","",MOV_CC_NACIONAL!B1995)</f>
        <v/>
      </c>
      <c r="C1995" s="21" t="str">
        <f>IF(MOV_CC_NACIONAL!C1995="","",MOV_CC_NACIONAL!C1995)</f>
        <v/>
      </c>
      <c r="D1995" s="22" t="str">
        <f t="shared" si="1"/>
        <v>Other</v>
      </c>
    </row>
    <row r="1996" ht="15.75" customHeight="1">
      <c r="A1996" s="22" t="str">
        <f>IF(MOV_CC_NACIONAL!A1996="","",MOV_CC_NACIONAL!A1996)</f>
        <v/>
      </c>
      <c r="B1996" s="22" t="str">
        <f>IF(MOV_CC_NACIONAL!B1996="","",MOV_CC_NACIONAL!B1996)</f>
        <v/>
      </c>
      <c r="C1996" s="21" t="str">
        <f>IF(MOV_CC_NACIONAL!C1996="","",MOV_CC_NACIONAL!C1996)</f>
        <v/>
      </c>
      <c r="D1996" s="22" t="str">
        <f t="shared" si="1"/>
        <v>Other</v>
      </c>
    </row>
    <row r="1997" ht="15.75" customHeight="1">
      <c r="A1997" s="22" t="str">
        <f>IF(MOV_CC_NACIONAL!A1997="","",MOV_CC_NACIONAL!A1997)</f>
        <v/>
      </c>
      <c r="B1997" s="22" t="str">
        <f>IF(MOV_CC_NACIONAL!B1997="","",MOV_CC_NACIONAL!B1997)</f>
        <v/>
      </c>
      <c r="C1997" s="21" t="str">
        <f>IF(MOV_CC_NACIONAL!C1997="","",MOV_CC_NACIONAL!C1997)</f>
        <v/>
      </c>
      <c r="D1997" s="22" t="str">
        <f t="shared" si="1"/>
        <v>Other</v>
      </c>
    </row>
    <row r="1998" ht="15.75" customHeight="1">
      <c r="A1998" s="22" t="str">
        <f>IF(MOV_CC_NACIONAL!A1998="","",MOV_CC_NACIONAL!A1998)</f>
        <v/>
      </c>
      <c r="B1998" s="22" t="str">
        <f>IF(MOV_CC_NACIONAL!B1998="","",MOV_CC_NACIONAL!B1998)</f>
        <v/>
      </c>
      <c r="C1998" s="21" t="str">
        <f>IF(MOV_CC_NACIONAL!C1998="","",MOV_CC_NACIONAL!C1998)</f>
        <v/>
      </c>
      <c r="D1998" s="22" t="str">
        <f t="shared" si="1"/>
        <v>Other</v>
      </c>
    </row>
    <row r="1999" ht="15.75" customHeight="1">
      <c r="A1999" s="22" t="str">
        <f>IF(MOV_CC_NACIONAL!A1999="","",MOV_CC_NACIONAL!A1999)</f>
        <v/>
      </c>
      <c r="B1999" s="22" t="str">
        <f>IF(MOV_CC_NACIONAL!B1999="","",MOV_CC_NACIONAL!B1999)</f>
        <v/>
      </c>
      <c r="C1999" s="21" t="str">
        <f>IF(MOV_CC_NACIONAL!C1999="","",MOV_CC_NACIONAL!C1999)</f>
        <v/>
      </c>
      <c r="D1999" s="22" t="str">
        <f t="shared" si="1"/>
        <v>Other</v>
      </c>
    </row>
    <row r="2000" ht="15.75" customHeight="1">
      <c r="A2000" s="22" t="str">
        <f>IF(MOV_CC_NACIONAL!A2000="","",MOV_CC_NACIONAL!A2000)</f>
        <v/>
      </c>
      <c r="B2000" s="22" t="str">
        <f>IF(MOV_CC_NACIONAL!B2000="","",MOV_CC_NACIONAL!B2000)</f>
        <v/>
      </c>
      <c r="C2000" s="21" t="str">
        <f>IF(MOV_CC_NACIONAL!C2000="","",MOV_CC_NACIONAL!C2000)</f>
        <v/>
      </c>
      <c r="D2000" s="22" t="str">
        <f t="shared" si="1"/>
        <v>Other</v>
      </c>
    </row>
    <row r="2001" ht="15.75" customHeight="1">
      <c r="A2001" s="22" t="str">
        <f>IF(MOV_CC_NACIONAL!A2001="","",MOV_CC_NACIONAL!A2001)</f>
        <v/>
      </c>
      <c r="B2001" s="22" t="str">
        <f>IF(MOV_CC_NACIONAL!B2001="","",MOV_CC_NACIONAL!B2001)</f>
        <v/>
      </c>
      <c r="C2001" s="21" t="str">
        <f>IF(MOV_CC_NACIONAL!C2001="","",MOV_CC_NACIONAL!C2001)</f>
        <v/>
      </c>
      <c r="D2001" s="22" t="str">
        <f t="shared" si="1"/>
        <v>Other</v>
      </c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4.0"/>
    <col customWidth="1" min="4" max="4" width="22.0"/>
    <col customWidth="1" min="5" max="5" width="18.0"/>
    <col customWidth="1" min="6" max="26" width="8.71"/>
  </cols>
  <sheetData>
    <row r="1">
      <c r="A1" s="27" t="s">
        <v>59</v>
      </c>
      <c r="B1" s="27" t="s">
        <v>60</v>
      </c>
      <c r="C1" s="27" t="s">
        <v>88</v>
      </c>
      <c r="D1" s="27" t="s">
        <v>139</v>
      </c>
      <c r="E1" s="27" t="s">
        <v>169</v>
      </c>
    </row>
    <row r="2">
      <c r="A2" s="22" t="str">
        <f>IF(MOV_CC_INTL!A2="","",MOV_CC_INTL!A2)</f>
        <v>22-02-2026</v>
      </c>
      <c r="B2" s="22" t="str">
        <f>IF(MOV_CC_INTL!B2="","",MOV_CC_INTL!B2)</f>
        <v>EMBY PREMIERE           COMPRAS INT.VI</v>
      </c>
      <c r="C2" s="44">
        <f>IF(MOV_CC_INTL!C2="","",MOV_CC_INTL!C2)</f>
        <v>4.99</v>
      </c>
      <c r="D2" s="22" t="str">
        <f t="shared" ref="D2:D2001" si="1">IF(ISNUMBER(SEARCH("openai",LOWER(B2))),"AI Tools",IF(ISNUMBER(SEARCH("anthropic",LOWER(B2))),"AI Tools",IF(ISNUMBER(SEARCH("claude",LOWER(B2))),"AI Tools",IF(ISNUMBER(SEARCH("appbox",LOWER(B2))),"Digital Services",IF(ISNUMBER(SEARCH("apple",LOWER(B2))),"Digital Services",IF(ISNUMBER(SEARCH("playstation",LOWER(B2))),"Digital Services",IF(ISNUMBER(SEARCH("battle",LOWER(B2))),"Gaming","Other")))))))</f>
        <v>Other</v>
      </c>
      <c r="E2" s="21">
        <f>IF(C2="","",C2*CONFIG!B5)</f>
        <v>4740.5</v>
      </c>
    </row>
    <row r="3">
      <c r="A3" s="22" t="str">
        <f>IF(MOV_CC_INTL!A3="","",MOV_CC_INTL!A3)</f>
        <v>20-02-2026</v>
      </c>
      <c r="B3" s="22" t="str">
        <f>IF(MOV_CC_INTL!B3="","",MOV_CC_INTL!B3)</f>
        <v>CLAUDE.AI SUBSCRIPT     COMPRAS INT.VI</v>
      </c>
      <c r="C3" s="44">
        <f>IF(MOV_CC_INTL!C3="","",MOV_CC_INTL!C3)</f>
        <v>102.76</v>
      </c>
      <c r="D3" s="22" t="str">
        <f t="shared" si="1"/>
        <v>AI Tools</v>
      </c>
      <c r="E3" s="21">
        <f>IF(C3="","",C3*CONFIG!B5)</f>
        <v>97622</v>
      </c>
    </row>
    <row r="4">
      <c r="A4" s="22" t="str">
        <f>IF(MOV_CC_INTL!A4="","",MOV_CC_INTL!A4)</f>
        <v>19-02-2026</v>
      </c>
      <c r="B4" s="22" t="str">
        <f>IF(MOV_CC_INTL!B4="","",MOV_CC_INTL!B4)</f>
        <v>APPLE.COM/BILL          COMPRAS INT.VI</v>
      </c>
      <c r="C4" s="44">
        <f>IF(MOV_CC_INTL!C4="","",MOV_CC_INTL!C4)</f>
        <v>12.48</v>
      </c>
      <c r="D4" s="22" t="str">
        <f t="shared" si="1"/>
        <v>Digital Services</v>
      </c>
      <c r="E4" s="21">
        <f>IF(C4="","",C4*CONFIG!B5)</f>
        <v>11856</v>
      </c>
    </row>
    <row r="5">
      <c r="A5" s="22" t="str">
        <f>IF(MOV_CC_INTL!A5="","",MOV_CC_INTL!A5)</f>
        <v/>
      </c>
      <c r="B5" s="22" t="str">
        <f>IF(MOV_CC_INTL!B5="","",MOV_CC_INTL!B5)</f>
        <v/>
      </c>
      <c r="C5" s="22" t="str">
        <f>IF(MOV_CC_INTL!C5="","",MOV_CC_INTL!C5)</f>
        <v/>
      </c>
      <c r="D5" s="22" t="str">
        <f t="shared" si="1"/>
        <v>Other</v>
      </c>
      <c r="E5" s="21" t="str">
        <f>IF(C5="","",C5*CONFIG!B5)</f>
        <v/>
      </c>
    </row>
    <row r="6">
      <c r="A6" s="22" t="str">
        <f>IF(MOV_CC_INTL!A6="","",MOV_CC_INTL!A6)</f>
        <v/>
      </c>
      <c r="B6" s="22" t="str">
        <f>IF(MOV_CC_INTL!B6="","",MOV_CC_INTL!B6)</f>
        <v/>
      </c>
      <c r="C6" s="22" t="str">
        <f>IF(MOV_CC_INTL!C6="","",MOV_CC_INTL!C6)</f>
        <v/>
      </c>
      <c r="D6" s="22" t="str">
        <f t="shared" si="1"/>
        <v>Other</v>
      </c>
      <c r="E6" s="21" t="str">
        <f>IF(C6="","",C6*CONFIG!B5)</f>
        <v/>
      </c>
    </row>
    <row r="7">
      <c r="A7" s="22" t="str">
        <f>IF(MOV_CC_INTL!A7="","",MOV_CC_INTL!A7)</f>
        <v/>
      </c>
      <c r="B7" s="22" t="str">
        <f>IF(MOV_CC_INTL!B7="","",MOV_CC_INTL!B7)</f>
        <v/>
      </c>
      <c r="C7" s="22" t="str">
        <f>IF(MOV_CC_INTL!C7="","",MOV_CC_INTL!C7)</f>
        <v/>
      </c>
      <c r="D7" s="22" t="str">
        <f t="shared" si="1"/>
        <v>Other</v>
      </c>
      <c r="E7" s="21" t="str">
        <f>IF(C7="","",C7*CONFIG!B5)</f>
        <v/>
      </c>
    </row>
    <row r="8">
      <c r="A8" s="22" t="str">
        <f>IF(MOV_CC_INTL!A8="","",MOV_CC_INTL!A8)</f>
        <v/>
      </c>
      <c r="B8" s="22" t="str">
        <f>IF(MOV_CC_INTL!B8="","",MOV_CC_INTL!B8)</f>
        <v/>
      </c>
      <c r="C8" s="22" t="str">
        <f>IF(MOV_CC_INTL!C8="","",MOV_CC_INTL!C8)</f>
        <v/>
      </c>
      <c r="D8" s="22" t="str">
        <f t="shared" si="1"/>
        <v>Other</v>
      </c>
      <c r="E8" s="21" t="str">
        <f>IF(C8="","",C8*CONFIG!B5)</f>
        <v/>
      </c>
    </row>
    <row r="9">
      <c r="A9" s="22" t="str">
        <f>IF(MOV_CC_INTL!A9="","",MOV_CC_INTL!A9)</f>
        <v/>
      </c>
      <c r="B9" s="22" t="str">
        <f>IF(MOV_CC_INTL!B9="","",MOV_CC_INTL!B9)</f>
        <v/>
      </c>
      <c r="C9" s="22" t="str">
        <f>IF(MOV_CC_INTL!C9="","",MOV_CC_INTL!C9)</f>
        <v/>
      </c>
      <c r="D9" s="22" t="str">
        <f t="shared" si="1"/>
        <v>Other</v>
      </c>
      <c r="E9" s="21" t="str">
        <f>IF(C9="","",C9*CONFIG!B5)</f>
        <v/>
      </c>
    </row>
    <row r="10">
      <c r="A10" s="22" t="str">
        <f>IF(MOV_CC_INTL!A10="","",MOV_CC_INTL!A10)</f>
        <v/>
      </c>
      <c r="B10" s="22" t="str">
        <f>IF(MOV_CC_INTL!B10="","",MOV_CC_INTL!B10)</f>
        <v/>
      </c>
      <c r="C10" s="22" t="str">
        <f>IF(MOV_CC_INTL!C10="","",MOV_CC_INTL!C10)</f>
        <v/>
      </c>
      <c r="D10" s="22" t="str">
        <f t="shared" si="1"/>
        <v>Other</v>
      </c>
      <c r="E10" s="21" t="str">
        <f>IF(C10="","",C10*CONFIG!B5)</f>
        <v/>
      </c>
    </row>
    <row r="11">
      <c r="A11" s="22" t="str">
        <f>IF(MOV_CC_INTL!A11="","",MOV_CC_INTL!A11)</f>
        <v/>
      </c>
      <c r="B11" s="22" t="str">
        <f>IF(MOV_CC_INTL!B11="","",MOV_CC_INTL!B11)</f>
        <v/>
      </c>
      <c r="C11" s="22" t="str">
        <f>IF(MOV_CC_INTL!C11="","",MOV_CC_INTL!C11)</f>
        <v/>
      </c>
      <c r="D11" s="22" t="str">
        <f t="shared" si="1"/>
        <v>Other</v>
      </c>
      <c r="E11" s="21" t="str">
        <f>IF(C11="","",C11*CONFIG!B5)</f>
        <v/>
      </c>
    </row>
    <row r="12">
      <c r="A12" s="22" t="str">
        <f>IF(MOV_CC_INTL!A12="","",MOV_CC_INTL!A12)</f>
        <v/>
      </c>
      <c r="B12" s="22" t="str">
        <f>IF(MOV_CC_INTL!B12="","",MOV_CC_INTL!B12)</f>
        <v/>
      </c>
      <c r="C12" s="22" t="str">
        <f>IF(MOV_CC_INTL!C12="","",MOV_CC_INTL!C12)</f>
        <v/>
      </c>
      <c r="D12" s="22" t="str">
        <f t="shared" si="1"/>
        <v>Other</v>
      </c>
      <c r="E12" s="21" t="str">
        <f>IF(C12="","",C12*CONFIG!B5)</f>
        <v/>
      </c>
    </row>
    <row r="13">
      <c r="A13" s="22" t="str">
        <f>IF(MOV_CC_INTL!A13="","",MOV_CC_INTL!A13)</f>
        <v/>
      </c>
      <c r="B13" s="22" t="str">
        <f>IF(MOV_CC_INTL!B13="","",MOV_CC_INTL!B13)</f>
        <v/>
      </c>
      <c r="C13" s="22" t="str">
        <f>IF(MOV_CC_INTL!C13="","",MOV_CC_INTL!C13)</f>
        <v/>
      </c>
      <c r="D13" s="22" t="str">
        <f t="shared" si="1"/>
        <v>Other</v>
      </c>
      <c r="E13" s="21" t="str">
        <f>IF(C13="","",C13*CONFIG!B5)</f>
        <v/>
      </c>
    </row>
    <row r="14">
      <c r="A14" s="22" t="str">
        <f>IF(MOV_CC_INTL!A14="","",MOV_CC_INTL!A14)</f>
        <v/>
      </c>
      <c r="B14" s="22" t="str">
        <f>IF(MOV_CC_INTL!B14="","",MOV_CC_INTL!B14)</f>
        <v/>
      </c>
      <c r="C14" s="22" t="str">
        <f>IF(MOV_CC_INTL!C14="","",MOV_CC_INTL!C14)</f>
        <v/>
      </c>
      <c r="D14" s="22" t="str">
        <f t="shared" si="1"/>
        <v>Other</v>
      </c>
      <c r="E14" s="21" t="str">
        <f>IF(C14="","",C14*CONFIG!B5)</f>
        <v/>
      </c>
    </row>
    <row r="15">
      <c r="A15" s="22" t="str">
        <f>IF(MOV_CC_INTL!A15="","",MOV_CC_INTL!A15)</f>
        <v/>
      </c>
      <c r="B15" s="22" t="str">
        <f>IF(MOV_CC_INTL!B15="","",MOV_CC_INTL!B15)</f>
        <v/>
      </c>
      <c r="C15" s="22" t="str">
        <f>IF(MOV_CC_INTL!C15="","",MOV_CC_INTL!C15)</f>
        <v/>
      </c>
      <c r="D15" s="22" t="str">
        <f t="shared" si="1"/>
        <v>Other</v>
      </c>
      <c r="E15" s="21" t="str">
        <f>IF(C15="","",C15*CONFIG!B5)</f>
        <v/>
      </c>
    </row>
    <row r="16">
      <c r="A16" s="22" t="str">
        <f>IF(MOV_CC_INTL!A16="","",MOV_CC_INTL!A16)</f>
        <v/>
      </c>
      <c r="B16" s="22" t="str">
        <f>IF(MOV_CC_INTL!B16="","",MOV_CC_INTL!B16)</f>
        <v/>
      </c>
      <c r="C16" s="22" t="str">
        <f>IF(MOV_CC_INTL!C16="","",MOV_CC_INTL!C16)</f>
        <v/>
      </c>
      <c r="D16" s="22" t="str">
        <f t="shared" si="1"/>
        <v>Other</v>
      </c>
      <c r="E16" s="21" t="str">
        <f>IF(C16="","",C16*CONFIG!B5)</f>
        <v/>
      </c>
    </row>
    <row r="17">
      <c r="A17" s="22" t="str">
        <f>IF(MOV_CC_INTL!A17="","",MOV_CC_INTL!A17)</f>
        <v/>
      </c>
      <c r="B17" s="22" t="str">
        <f>IF(MOV_CC_INTL!B17="","",MOV_CC_INTL!B17)</f>
        <v/>
      </c>
      <c r="C17" s="22" t="str">
        <f>IF(MOV_CC_INTL!C17="","",MOV_CC_INTL!C17)</f>
        <v/>
      </c>
      <c r="D17" s="22" t="str">
        <f t="shared" si="1"/>
        <v>Other</v>
      </c>
      <c r="E17" s="21" t="str">
        <f>IF(C17="","",C17*CONFIG!B5)</f>
        <v/>
      </c>
    </row>
    <row r="18">
      <c r="A18" s="22" t="str">
        <f>IF(MOV_CC_INTL!A18="","",MOV_CC_INTL!A18)</f>
        <v/>
      </c>
      <c r="B18" s="22" t="str">
        <f>IF(MOV_CC_INTL!B18="","",MOV_CC_INTL!B18)</f>
        <v/>
      </c>
      <c r="C18" s="22" t="str">
        <f>IF(MOV_CC_INTL!C18="","",MOV_CC_INTL!C18)</f>
        <v/>
      </c>
      <c r="D18" s="22" t="str">
        <f t="shared" si="1"/>
        <v>Other</v>
      </c>
      <c r="E18" s="21" t="str">
        <f>IF(C18="","",C18*CONFIG!B5)</f>
        <v/>
      </c>
    </row>
    <row r="19">
      <c r="A19" s="22" t="str">
        <f>IF(MOV_CC_INTL!A19="","",MOV_CC_INTL!A19)</f>
        <v/>
      </c>
      <c r="B19" s="22" t="str">
        <f>IF(MOV_CC_INTL!B19="","",MOV_CC_INTL!B19)</f>
        <v/>
      </c>
      <c r="C19" s="22" t="str">
        <f>IF(MOV_CC_INTL!C19="","",MOV_CC_INTL!C19)</f>
        <v/>
      </c>
      <c r="D19" s="22" t="str">
        <f t="shared" si="1"/>
        <v>Other</v>
      </c>
      <c r="E19" s="21" t="str">
        <f>IF(C19="","",C19*CONFIG!B5)</f>
        <v/>
      </c>
    </row>
    <row r="20">
      <c r="A20" s="22" t="str">
        <f>IF(MOV_CC_INTL!A20="","",MOV_CC_INTL!A20)</f>
        <v/>
      </c>
      <c r="B20" s="22" t="str">
        <f>IF(MOV_CC_INTL!B20="","",MOV_CC_INTL!B20)</f>
        <v/>
      </c>
      <c r="C20" s="22" t="str">
        <f>IF(MOV_CC_INTL!C20="","",MOV_CC_INTL!C20)</f>
        <v/>
      </c>
      <c r="D20" s="22" t="str">
        <f t="shared" si="1"/>
        <v>Other</v>
      </c>
      <c r="E20" s="21" t="str">
        <f>IF(C20="","",C20*CONFIG!B5)</f>
        <v/>
      </c>
    </row>
    <row r="21" ht="15.75" customHeight="1">
      <c r="A21" s="22" t="str">
        <f>IF(MOV_CC_INTL!A21="","",MOV_CC_INTL!A21)</f>
        <v/>
      </c>
      <c r="B21" s="22" t="str">
        <f>IF(MOV_CC_INTL!B21="","",MOV_CC_INTL!B21)</f>
        <v/>
      </c>
      <c r="C21" s="22" t="str">
        <f>IF(MOV_CC_INTL!C21="","",MOV_CC_INTL!C21)</f>
        <v/>
      </c>
      <c r="D21" s="22" t="str">
        <f t="shared" si="1"/>
        <v>Other</v>
      </c>
      <c r="E21" s="21" t="str">
        <f>IF(C21="","",C21*CONFIG!B5)</f>
        <v/>
      </c>
    </row>
    <row r="22" ht="15.75" customHeight="1">
      <c r="A22" s="22" t="str">
        <f>IF(MOV_CC_INTL!A22="","",MOV_CC_INTL!A22)</f>
        <v/>
      </c>
      <c r="B22" s="22" t="str">
        <f>IF(MOV_CC_INTL!B22="","",MOV_CC_INTL!B22)</f>
        <v/>
      </c>
      <c r="C22" s="22" t="str">
        <f>IF(MOV_CC_INTL!C22="","",MOV_CC_INTL!C22)</f>
        <v/>
      </c>
      <c r="D22" s="22" t="str">
        <f t="shared" si="1"/>
        <v>Other</v>
      </c>
      <c r="E22" s="21" t="str">
        <f>IF(C22="","",C22*CONFIG!B5)</f>
        <v/>
      </c>
    </row>
    <row r="23" ht="15.75" customHeight="1">
      <c r="A23" s="22" t="str">
        <f>IF(MOV_CC_INTL!A23="","",MOV_CC_INTL!A23)</f>
        <v/>
      </c>
      <c r="B23" s="22" t="str">
        <f>IF(MOV_CC_INTL!B23="","",MOV_CC_INTL!B23)</f>
        <v/>
      </c>
      <c r="C23" s="22" t="str">
        <f>IF(MOV_CC_INTL!C23="","",MOV_CC_INTL!C23)</f>
        <v/>
      </c>
      <c r="D23" s="22" t="str">
        <f t="shared" si="1"/>
        <v>Other</v>
      </c>
      <c r="E23" s="21" t="str">
        <f>IF(C23="","",C23*CONFIG!B5)</f>
        <v/>
      </c>
    </row>
    <row r="24" ht="15.75" customHeight="1">
      <c r="A24" s="22" t="str">
        <f>IF(MOV_CC_INTL!A24="","",MOV_CC_INTL!A24)</f>
        <v/>
      </c>
      <c r="B24" s="22" t="str">
        <f>IF(MOV_CC_INTL!B24="","",MOV_CC_INTL!B24)</f>
        <v/>
      </c>
      <c r="C24" s="22" t="str">
        <f>IF(MOV_CC_INTL!C24="","",MOV_CC_INTL!C24)</f>
        <v/>
      </c>
      <c r="D24" s="22" t="str">
        <f t="shared" si="1"/>
        <v>Other</v>
      </c>
      <c r="E24" s="21" t="str">
        <f>IF(C24="","",C24*CONFIG!B5)</f>
        <v/>
      </c>
    </row>
    <row r="25" ht="15.75" customHeight="1">
      <c r="A25" s="22" t="str">
        <f>IF(MOV_CC_INTL!A25="","",MOV_CC_INTL!A25)</f>
        <v/>
      </c>
      <c r="B25" s="22" t="str">
        <f>IF(MOV_CC_INTL!B25="","",MOV_CC_INTL!B25)</f>
        <v/>
      </c>
      <c r="C25" s="22" t="str">
        <f>IF(MOV_CC_INTL!C25="","",MOV_CC_INTL!C25)</f>
        <v/>
      </c>
      <c r="D25" s="22" t="str">
        <f t="shared" si="1"/>
        <v>Other</v>
      </c>
      <c r="E25" s="21" t="str">
        <f>IF(C25="","",C25*CONFIG!B5)</f>
        <v/>
      </c>
    </row>
    <row r="26" ht="15.75" customHeight="1">
      <c r="A26" s="22" t="str">
        <f>IF(MOV_CC_INTL!A26="","",MOV_CC_INTL!A26)</f>
        <v/>
      </c>
      <c r="B26" s="22" t="str">
        <f>IF(MOV_CC_INTL!B26="","",MOV_CC_INTL!B26)</f>
        <v/>
      </c>
      <c r="C26" s="22" t="str">
        <f>IF(MOV_CC_INTL!C26="","",MOV_CC_INTL!C26)</f>
        <v/>
      </c>
      <c r="D26" s="22" t="str">
        <f t="shared" si="1"/>
        <v>Other</v>
      </c>
      <c r="E26" s="21" t="str">
        <f>IF(C26="","",C26*CONFIG!B5)</f>
        <v/>
      </c>
    </row>
    <row r="27" ht="15.75" customHeight="1">
      <c r="A27" s="22" t="str">
        <f>IF(MOV_CC_INTL!A27="","",MOV_CC_INTL!A27)</f>
        <v/>
      </c>
      <c r="B27" s="22" t="str">
        <f>IF(MOV_CC_INTL!B27="","",MOV_CC_INTL!B27)</f>
        <v/>
      </c>
      <c r="C27" s="22" t="str">
        <f>IF(MOV_CC_INTL!C27="","",MOV_CC_INTL!C27)</f>
        <v/>
      </c>
      <c r="D27" s="22" t="str">
        <f t="shared" si="1"/>
        <v>Other</v>
      </c>
      <c r="E27" s="21" t="str">
        <f>IF(C27="","",C27*CONFIG!B5)</f>
        <v/>
      </c>
    </row>
    <row r="28" ht="15.75" customHeight="1">
      <c r="A28" s="22" t="str">
        <f>IF(MOV_CC_INTL!A28="","",MOV_CC_INTL!A28)</f>
        <v/>
      </c>
      <c r="B28" s="22" t="str">
        <f>IF(MOV_CC_INTL!B28="","",MOV_CC_INTL!B28)</f>
        <v/>
      </c>
      <c r="C28" s="22" t="str">
        <f>IF(MOV_CC_INTL!C28="","",MOV_CC_INTL!C28)</f>
        <v/>
      </c>
      <c r="D28" s="22" t="str">
        <f t="shared" si="1"/>
        <v>Other</v>
      </c>
      <c r="E28" s="21" t="str">
        <f>IF(C28="","",C28*CONFIG!B5)</f>
        <v/>
      </c>
    </row>
    <row r="29" ht="15.75" customHeight="1">
      <c r="A29" s="22" t="str">
        <f>IF(MOV_CC_INTL!A29="","",MOV_CC_INTL!A29)</f>
        <v/>
      </c>
      <c r="B29" s="22" t="str">
        <f>IF(MOV_CC_INTL!B29="","",MOV_CC_INTL!B29)</f>
        <v/>
      </c>
      <c r="C29" s="22" t="str">
        <f>IF(MOV_CC_INTL!C29="","",MOV_CC_INTL!C29)</f>
        <v/>
      </c>
      <c r="D29" s="22" t="str">
        <f t="shared" si="1"/>
        <v>Other</v>
      </c>
      <c r="E29" s="21" t="str">
        <f>IF(C29="","",C29*CONFIG!B5)</f>
        <v/>
      </c>
    </row>
    <row r="30" ht="15.75" customHeight="1">
      <c r="A30" s="22" t="str">
        <f>IF(MOV_CC_INTL!A30="","",MOV_CC_INTL!A30)</f>
        <v/>
      </c>
      <c r="B30" s="22" t="str">
        <f>IF(MOV_CC_INTL!B30="","",MOV_CC_INTL!B30)</f>
        <v/>
      </c>
      <c r="C30" s="22" t="str">
        <f>IF(MOV_CC_INTL!C30="","",MOV_CC_INTL!C30)</f>
        <v/>
      </c>
      <c r="D30" s="22" t="str">
        <f t="shared" si="1"/>
        <v>Other</v>
      </c>
      <c r="E30" s="21" t="str">
        <f>IF(C30="","",C30*CONFIG!B5)</f>
        <v/>
      </c>
    </row>
    <row r="31" ht="15.75" customHeight="1">
      <c r="A31" s="22" t="str">
        <f>IF(MOV_CC_INTL!A31="","",MOV_CC_INTL!A31)</f>
        <v/>
      </c>
      <c r="B31" s="22" t="str">
        <f>IF(MOV_CC_INTL!B31="","",MOV_CC_INTL!B31)</f>
        <v/>
      </c>
      <c r="C31" s="22" t="str">
        <f>IF(MOV_CC_INTL!C31="","",MOV_CC_INTL!C31)</f>
        <v/>
      </c>
      <c r="D31" s="22" t="str">
        <f t="shared" si="1"/>
        <v>Other</v>
      </c>
      <c r="E31" s="21" t="str">
        <f>IF(C31="","",C31*CONFIG!B5)</f>
        <v/>
      </c>
    </row>
    <row r="32" ht="15.75" customHeight="1">
      <c r="A32" s="22" t="str">
        <f>IF(MOV_CC_INTL!A32="","",MOV_CC_INTL!A32)</f>
        <v/>
      </c>
      <c r="B32" s="22" t="str">
        <f>IF(MOV_CC_INTL!B32="","",MOV_CC_INTL!B32)</f>
        <v/>
      </c>
      <c r="C32" s="22" t="str">
        <f>IF(MOV_CC_INTL!C32="","",MOV_CC_INTL!C32)</f>
        <v/>
      </c>
      <c r="D32" s="22" t="str">
        <f t="shared" si="1"/>
        <v>Other</v>
      </c>
      <c r="E32" s="21" t="str">
        <f>IF(C32="","",C32*CONFIG!B5)</f>
        <v/>
      </c>
    </row>
    <row r="33" ht="15.75" customHeight="1">
      <c r="A33" s="22" t="str">
        <f>IF(MOV_CC_INTL!A33="","",MOV_CC_INTL!A33)</f>
        <v/>
      </c>
      <c r="B33" s="22" t="str">
        <f>IF(MOV_CC_INTL!B33="","",MOV_CC_INTL!B33)</f>
        <v/>
      </c>
      <c r="C33" s="22" t="str">
        <f>IF(MOV_CC_INTL!C33="","",MOV_CC_INTL!C33)</f>
        <v/>
      </c>
      <c r="D33" s="22" t="str">
        <f t="shared" si="1"/>
        <v>Other</v>
      </c>
      <c r="E33" s="21" t="str">
        <f>IF(C33="","",C33*CONFIG!B5)</f>
        <v/>
      </c>
    </row>
    <row r="34" ht="15.75" customHeight="1">
      <c r="A34" s="22" t="str">
        <f>IF(MOV_CC_INTL!A34="","",MOV_CC_INTL!A34)</f>
        <v/>
      </c>
      <c r="B34" s="22" t="str">
        <f>IF(MOV_CC_INTL!B34="","",MOV_CC_INTL!B34)</f>
        <v/>
      </c>
      <c r="C34" s="22" t="str">
        <f>IF(MOV_CC_INTL!C34="","",MOV_CC_INTL!C34)</f>
        <v/>
      </c>
      <c r="D34" s="22" t="str">
        <f t="shared" si="1"/>
        <v>Other</v>
      </c>
      <c r="E34" s="21" t="str">
        <f>IF(C34="","",C34*CONFIG!B5)</f>
        <v/>
      </c>
    </row>
    <row r="35" ht="15.75" customHeight="1">
      <c r="A35" s="22" t="str">
        <f>IF(MOV_CC_INTL!A35="","",MOV_CC_INTL!A35)</f>
        <v/>
      </c>
      <c r="B35" s="22" t="str">
        <f>IF(MOV_CC_INTL!B35="","",MOV_CC_INTL!B35)</f>
        <v/>
      </c>
      <c r="C35" s="22" t="str">
        <f>IF(MOV_CC_INTL!C35="","",MOV_CC_INTL!C35)</f>
        <v/>
      </c>
      <c r="D35" s="22" t="str">
        <f t="shared" si="1"/>
        <v>Other</v>
      </c>
      <c r="E35" s="21" t="str">
        <f>IF(C35="","",C35*CONFIG!B5)</f>
        <v/>
      </c>
    </row>
    <row r="36" ht="15.75" customHeight="1">
      <c r="A36" s="22" t="str">
        <f>IF(MOV_CC_INTL!A36="","",MOV_CC_INTL!A36)</f>
        <v/>
      </c>
      <c r="B36" s="22" t="str">
        <f>IF(MOV_CC_INTL!B36="","",MOV_CC_INTL!B36)</f>
        <v/>
      </c>
      <c r="C36" s="22" t="str">
        <f>IF(MOV_CC_INTL!C36="","",MOV_CC_INTL!C36)</f>
        <v/>
      </c>
      <c r="D36" s="22" t="str">
        <f t="shared" si="1"/>
        <v>Other</v>
      </c>
      <c r="E36" s="21" t="str">
        <f>IF(C36="","",C36*CONFIG!B5)</f>
        <v/>
      </c>
    </row>
    <row r="37" ht="15.75" customHeight="1">
      <c r="A37" s="22" t="str">
        <f>IF(MOV_CC_INTL!A37="","",MOV_CC_INTL!A37)</f>
        <v/>
      </c>
      <c r="B37" s="22" t="str">
        <f>IF(MOV_CC_INTL!B37="","",MOV_CC_INTL!B37)</f>
        <v/>
      </c>
      <c r="C37" s="22" t="str">
        <f>IF(MOV_CC_INTL!C37="","",MOV_CC_INTL!C37)</f>
        <v/>
      </c>
      <c r="D37" s="22" t="str">
        <f t="shared" si="1"/>
        <v>Other</v>
      </c>
      <c r="E37" s="21" t="str">
        <f>IF(C37="","",C37*CONFIG!B5)</f>
        <v/>
      </c>
    </row>
    <row r="38" ht="15.75" customHeight="1">
      <c r="A38" s="22" t="str">
        <f>IF(MOV_CC_INTL!A38="","",MOV_CC_INTL!A38)</f>
        <v/>
      </c>
      <c r="B38" s="22" t="str">
        <f>IF(MOV_CC_INTL!B38="","",MOV_CC_INTL!B38)</f>
        <v/>
      </c>
      <c r="C38" s="22" t="str">
        <f>IF(MOV_CC_INTL!C38="","",MOV_CC_INTL!C38)</f>
        <v/>
      </c>
      <c r="D38" s="22" t="str">
        <f t="shared" si="1"/>
        <v>Other</v>
      </c>
      <c r="E38" s="21" t="str">
        <f>IF(C38="","",C38*CONFIG!B5)</f>
        <v/>
      </c>
    </row>
    <row r="39" ht="15.75" customHeight="1">
      <c r="A39" s="22" t="str">
        <f>IF(MOV_CC_INTL!A39="","",MOV_CC_INTL!A39)</f>
        <v/>
      </c>
      <c r="B39" s="22" t="str">
        <f>IF(MOV_CC_INTL!B39="","",MOV_CC_INTL!B39)</f>
        <v/>
      </c>
      <c r="C39" s="22" t="str">
        <f>IF(MOV_CC_INTL!C39="","",MOV_CC_INTL!C39)</f>
        <v/>
      </c>
      <c r="D39" s="22" t="str">
        <f t="shared" si="1"/>
        <v>Other</v>
      </c>
      <c r="E39" s="21" t="str">
        <f>IF(C39="","",C39*CONFIG!B5)</f>
        <v/>
      </c>
    </row>
    <row r="40" ht="15.75" customHeight="1">
      <c r="A40" s="22" t="str">
        <f>IF(MOV_CC_INTL!A40="","",MOV_CC_INTL!A40)</f>
        <v/>
      </c>
      <c r="B40" s="22" t="str">
        <f>IF(MOV_CC_INTL!B40="","",MOV_CC_INTL!B40)</f>
        <v/>
      </c>
      <c r="C40" s="22" t="str">
        <f>IF(MOV_CC_INTL!C40="","",MOV_CC_INTL!C40)</f>
        <v/>
      </c>
      <c r="D40" s="22" t="str">
        <f t="shared" si="1"/>
        <v>Other</v>
      </c>
      <c r="E40" s="21" t="str">
        <f>IF(C40="","",C40*CONFIG!B5)</f>
        <v/>
      </c>
    </row>
    <row r="41" ht="15.75" customHeight="1">
      <c r="A41" s="22" t="str">
        <f>IF(MOV_CC_INTL!A41="","",MOV_CC_INTL!A41)</f>
        <v/>
      </c>
      <c r="B41" s="22" t="str">
        <f>IF(MOV_CC_INTL!B41="","",MOV_CC_INTL!B41)</f>
        <v/>
      </c>
      <c r="C41" s="22" t="str">
        <f>IF(MOV_CC_INTL!C41="","",MOV_CC_INTL!C41)</f>
        <v/>
      </c>
      <c r="D41" s="22" t="str">
        <f t="shared" si="1"/>
        <v>Other</v>
      </c>
      <c r="E41" s="21" t="str">
        <f>IF(C41="","",C41*CONFIG!B5)</f>
        <v/>
      </c>
    </row>
    <row r="42" ht="15.75" customHeight="1">
      <c r="A42" s="22" t="str">
        <f>IF(MOV_CC_INTL!A42="","",MOV_CC_INTL!A42)</f>
        <v/>
      </c>
      <c r="B42" s="22" t="str">
        <f>IF(MOV_CC_INTL!B42="","",MOV_CC_INTL!B42)</f>
        <v/>
      </c>
      <c r="C42" s="22" t="str">
        <f>IF(MOV_CC_INTL!C42="","",MOV_CC_INTL!C42)</f>
        <v/>
      </c>
      <c r="D42" s="22" t="str">
        <f t="shared" si="1"/>
        <v>Other</v>
      </c>
      <c r="E42" s="21" t="str">
        <f>IF(C42="","",C42*CONFIG!B5)</f>
        <v/>
      </c>
    </row>
    <row r="43" ht="15.75" customHeight="1">
      <c r="A43" s="22" t="str">
        <f>IF(MOV_CC_INTL!A43="","",MOV_CC_INTL!A43)</f>
        <v/>
      </c>
      <c r="B43" s="22" t="str">
        <f>IF(MOV_CC_INTL!B43="","",MOV_CC_INTL!B43)</f>
        <v/>
      </c>
      <c r="C43" s="22" t="str">
        <f>IF(MOV_CC_INTL!C43="","",MOV_CC_INTL!C43)</f>
        <v/>
      </c>
      <c r="D43" s="22" t="str">
        <f t="shared" si="1"/>
        <v>Other</v>
      </c>
      <c r="E43" s="21" t="str">
        <f>IF(C43="","",C43*CONFIG!B5)</f>
        <v/>
      </c>
    </row>
    <row r="44" ht="15.75" customHeight="1">
      <c r="A44" s="22" t="str">
        <f>IF(MOV_CC_INTL!A44="","",MOV_CC_INTL!A44)</f>
        <v/>
      </c>
      <c r="B44" s="22" t="str">
        <f>IF(MOV_CC_INTL!B44="","",MOV_CC_INTL!B44)</f>
        <v/>
      </c>
      <c r="C44" s="22" t="str">
        <f>IF(MOV_CC_INTL!C44="","",MOV_CC_INTL!C44)</f>
        <v/>
      </c>
      <c r="D44" s="22" t="str">
        <f t="shared" si="1"/>
        <v>Other</v>
      </c>
      <c r="E44" s="21" t="str">
        <f>IF(C44="","",C44*CONFIG!B5)</f>
        <v/>
      </c>
    </row>
    <row r="45" ht="15.75" customHeight="1">
      <c r="A45" s="22" t="str">
        <f>IF(MOV_CC_INTL!A45="","",MOV_CC_INTL!A45)</f>
        <v/>
      </c>
      <c r="B45" s="22" t="str">
        <f>IF(MOV_CC_INTL!B45="","",MOV_CC_INTL!B45)</f>
        <v/>
      </c>
      <c r="C45" s="22" t="str">
        <f>IF(MOV_CC_INTL!C45="","",MOV_CC_INTL!C45)</f>
        <v/>
      </c>
      <c r="D45" s="22" t="str">
        <f t="shared" si="1"/>
        <v>Other</v>
      </c>
      <c r="E45" s="21" t="str">
        <f>IF(C45="","",C45*CONFIG!B5)</f>
        <v/>
      </c>
    </row>
    <row r="46" ht="15.75" customHeight="1">
      <c r="A46" s="22" t="str">
        <f>IF(MOV_CC_INTL!A46="","",MOV_CC_INTL!A46)</f>
        <v/>
      </c>
      <c r="B46" s="22" t="str">
        <f>IF(MOV_CC_INTL!B46="","",MOV_CC_INTL!B46)</f>
        <v/>
      </c>
      <c r="C46" s="22" t="str">
        <f>IF(MOV_CC_INTL!C46="","",MOV_CC_INTL!C46)</f>
        <v/>
      </c>
      <c r="D46" s="22" t="str">
        <f t="shared" si="1"/>
        <v>Other</v>
      </c>
      <c r="E46" s="21" t="str">
        <f>IF(C46="","",C46*CONFIG!B5)</f>
        <v/>
      </c>
    </row>
    <row r="47" ht="15.75" customHeight="1">
      <c r="A47" s="22" t="str">
        <f>IF(MOV_CC_INTL!A47="","",MOV_CC_INTL!A47)</f>
        <v/>
      </c>
      <c r="B47" s="22" t="str">
        <f>IF(MOV_CC_INTL!B47="","",MOV_CC_INTL!B47)</f>
        <v/>
      </c>
      <c r="C47" s="22" t="str">
        <f>IF(MOV_CC_INTL!C47="","",MOV_CC_INTL!C47)</f>
        <v/>
      </c>
      <c r="D47" s="22" t="str">
        <f t="shared" si="1"/>
        <v>Other</v>
      </c>
      <c r="E47" s="21" t="str">
        <f>IF(C47="","",C47*CONFIG!B5)</f>
        <v/>
      </c>
    </row>
    <row r="48" ht="15.75" customHeight="1">
      <c r="A48" s="22" t="str">
        <f>IF(MOV_CC_INTL!A48="","",MOV_CC_INTL!A48)</f>
        <v/>
      </c>
      <c r="B48" s="22" t="str">
        <f>IF(MOV_CC_INTL!B48="","",MOV_CC_INTL!B48)</f>
        <v/>
      </c>
      <c r="C48" s="22" t="str">
        <f>IF(MOV_CC_INTL!C48="","",MOV_CC_INTL!C48)</f>
        <v/>
      </c>
      <c r="D48" s="22" t="str">
        <f t="shared" si="1"/>
        <v>Other</v>
      </c>
      <c r="E48" s="21" t="str">
        <f>IF(C48="","",C48*CONFIG!B5)</f>
        <v/>
      </c>
    </row>
    <row r="49" ht="15.75" customHeight="1">
      <c r="A49" s="22" t="str">
        <f>IF(MOV_CC_INTL!A49="","",MOV_CC_INTL!A49)</f>
        <v/>
      </c>
      <c r="B49" s="22" t="str">
        <f>IF(MOV_CC_INTL!B49="","",MOV_CC_INTL!B49)</f>
        <v/>
      </c>
      <c r="C49" s="22" t="str">
        <f>IF(MOV_CC_INTL!C49="","",MOV_CC_INTL!C49)</f>
        <v/>
      </c>
      <c r="D49" s="22" t="str">
        <f t="shared" si="1"/>
        <v>Other</v>
      </c>
      <c r="E49" s="21" t="str">
        <f>IF(C49="","",C49*CONFIG!B5)</f>
        <v/>
      </c>
    </row>
    <row r="50" ht="15.75" customHeight="1">
      <c r="A50" s="22" t="str">
        <f>IF(MOV_CC_INTL!A50="","",MOV_CC_INTL!A50)</f>
        <v/>
      </c>
      <c r="B50" s="22" t="str">
        <f>IF(MOV_CC_INTL!B50="","",MOV_CC_INTL!B50)</f>
        <v/>
      </c>
      <c r="C50" s="22" t="str">
        <f>IF(MOV_CC_INTL!C50="","",MOV_CC_INTL!C50)</f>
        <v/>
      </c>
      <c r="D50" s="22" t="str">
        <f t="shared" si="1"/>
        <v>Other</v>
      </c>
      <c r="E50" s="21" t="str">
        <f>IF(C50="","",C50*CONFIG!B5)</f>
        <v/>
      </c>
    </row>
    <row r="51" ht="15.75" customHeight="1">
      <c r="A51" s="22" t="str">
        <f>IF(MOV_CC_INTL!A51="","",MOV_CC_INTL!A51)</f>
        <v/>
      </c>
      <c r="B51" s="22" t="str">
        <f>IF(MOV_CC_INTL!B51="","",MOV_CC_INTL!B51)</f>
        <v/>
      </c>
      <c r="C51" s="22" t="str">
        <f>IF(MOV_CC_INTL!C51="","",MOV_CC_INTL!C51)</f>
        <v/>
      </c>
      <c r="D51" s="22" t="str">
        <f t="shared" si="1"/>
        <v>Other</v>
      </c>
      <c r="E51" s="21" t="str">
        <f>IF(C51="","",C51*CONFIG!B5)</f>
        <v/>
      </c>
    </row>
    <row r="52" ht="15.75" customHeight="1">
      <c r="A52" s="22" t="str">
        <f>IF(MOV_CC_INTL!A52="","",MOV_CC_INTL!A52)</f>
        <v/>
      </c>
      <c r="B52" s="22" t="str">
        <f>IF(MOV_CC_INTL!B52="","",MOV_CC_INTL!B52)</f>
        <v/>
      </c>
      <c r="C52" s="22" t="str">
        <f>IF(MOV_CC_INTL!C52="","",MOV_CC_INTL!C52)</f>
        <v/>
      </c>
      <c r="D52" s="22" t="str">
        <f t="shared" si="1"/>
        <v>Other</v>
      </c>
      <c r="E52" s="21" t="str">
        <f>IF(C52="","",C52*CONFIG!B5)</f>
        <v/>
      </c>
    </row>
    <row r="53" ht="15.75" customHeight="1">
      <c r="A53" s="22" t="str">
        <f>IF(MOV_CC_INTL!A53="","",MOV_CC_INTL!A53)</f>
        <v/>
      </c>
      <c r="B53" s="22" t="str">
        <f>IF(MOV_CC_INTL!B53="","",MOV_CC_INTL!B53)</f>
        <v/>
      </c>
      <c r="C53" s="22" t="str">
        <f>IF(MOV_CC_INTL!C53="","",MOV_CC_INTL!C53)</f>
        <v/>
      </c>
      <c r="D53" s="22" t="str">
        <f t="shared" si="1"/>
        <v>Other</v>
      </c>
      <c r="E53" s="21" t="str">
        <f>IF(C53="","",C53*CONFIG!B5)</f>
        <v/>
      </c>
    </row>
    <row r="54" ht="15.75" customHeight="1">
      <c r="A54" s="22" t="str">
        <f>IF(MOV_CC_INTL!A54="","",MOV_CC_INTL!A54)</f>
        <v/>
      </c>
      <c r="B54" s="22" t="str">
        <f>IF(MOV_CC_INTL!B54="","",MOV_CC_INTL!B54)</f>
        <v/>
      </c>
      <c r="C54" s="22" t="str">
        <f>IF(MOV_CC_INTL!C54="","",MOV_CC_INTL!C54)</f>
        <v/>
      </c>
      <c r="D54" s="22" t="str">
        <f t="shared" si="1"/>
        <v>Other</v>
      </c>
      <c r="E54" s="21" t="str">
        <f>IF(C54="","",C54*CONFIG!B5)</f>
        <v/>
      </c>
    </row>
    <row r="55" ht="15.75" customHeight="1">
      <c r="A55" s="22" t="str">
        <f>IF(MOV_CC_INTL!A55="","",MOV_CC_INTL!A55)</f>
        <v/>
      </c>
      <c r="B55" s="22" t="str">
        <f>IF(MOV_CC_INTL!B55="","",MOV_CC_INTL!B55)</f>
        <v/>
      </c>
      <c r="C55" s="22" t="str">
        <f>IF(MOV_CC_INTL!C55="","",MOV_CC_INTL!C55)</f>
        <v/>
      </c>
      <c r="D55" s="22" t="str">
        <f t="shared" si="1"/>
        <v>Other</v>
      </c>
      <c r="E55" s="21" t="str">
        <f>IF(C55="","",C55*CONFIG!B5)</f>
        <v/>
      </c>
    </row>
    <row r="56" ht="15.75" customHeight="1">
      <c r="A56" s="22" t="str">
        <f>IF(MOV_CC_INTL!A56="","",MOV_CC_INTL!A56)</f>
        <v/>
      </c>
      <c r="B56" s="22" t="str">
        <f>IF(MOV_CC_INTL!B56="","",MOV_CC_INTL!B56)</f>
        <v/>
      </c>
      <c r="C56" s="22" t="str">
        <f>IF(MOV_CC_INTL!C56="","",MOV_CC_INTL!C56)</f>
        <v/>
      </c>
      <c r="D56" s="22" t="str">
        <f t="shared" si="1"/>
        <v>Other</v>
      </c>
      <c r="E56" s="21" t="str">
        <f>IF(C56="","",C56*CONFIG!B5)</f>
        <v/>
      </c>
    </row>
    <row r="57" ht="15.75" customHeight="1">
      <c r="A57" s="22" t="str">
        <f>IF(MOV_CC_INTL!A57="","",MOV_CC_INTL!A57)</f>
        <v/>
      </c>
      <c r="B57" s="22" t="str">
        <f>IF(MOV_CC_INTL!B57="","",MOV_CC_INTL!B57)</f>
        <v/>
      </c>
      <c r="C57" s="22" t="str">
        <f>IF(MOV_CC_INTL!C57="","",MOV_CC_INTL!C57)</f>
        <v/>
      </c>
      <c r="D57" s="22" t="str">
        <f t="shared" si="1"/>
        <v>Other</v>
      </c>
      <c r="E57" s="21" t="str">
        <f>IF(C57="","",C57*CONFIG!B5)</f>
        <v/>
      </c>
    </row>
    <row r="58" ht="15.75" customHeight="1">
      <c r="A58" s="22" t="str">
        <f>IF(MOV_CC_INTL!A58="","",MOV_CC_INTL!A58)</f>
        <v/>
      </c>
      <c r="B58" s="22" t="str">
        <f>IF(MOV_CC_INTL!B58="","",MOV_CC_INTL!B58)</f>
        <v/>
      </c>
      <c r="C58" s="22" t="str">
        <f>IF(MOV_CC_INTL!C58="","",MOV_CC_INTL!C58)</f>
        <v/>
      </c>
      <c r="D58" s="22" t="str">
        <f t="shared" si="1"/>
        <v>Other</v>
      </c>
      <c r="E58" s="21" t="str">
        <f>IF(C58="","",C58*CONFIG!B5)</f>
        <v/>
      </c>
    </row>
    <row r="59" ht="15.75" customHeight="1">
      <c r="A59" s="22" t="str">
        <f>IF(MOV_CC_INTL!A59="","",MOV_CC_INTL!A59)</f>
        <v/>
      </c>
      <c r="B59" s="22" t="str">
        <f>IF(MOV_CC_INTL!B59="","",MOV_CC_INTL!B59)</f>
        <v/>
      </c>
      <c r="C59" s="22" t="str">
        <f>IF(MOV_CC_INTL!C59="","",MOV_CC_INTL!C59)</f>
        <v/>
      </c>
      <c r="D59" s="22" t="str">
        <f t="shared" si="1"/>
        <v>Other</v>
      </c>
      <c r="E59" s="21" t="str">
        <f>IF(C59="","",C59*CONFIG!B5)</f>
        <v/>
      </c>
    </row>
    <row r="60" ht="15.75" customHeight="1">
      <c r="A60" s="22" t="str">
        <f>IF(MOV_CC_INTL!A60="","",MOV_CC_INTL!A60)</f>
        <v/>
      </c>
      <c r="B60" s="22" t="str">
        <f>IF(MOV_CC_INTL!B60="","",MOV_CC_INTL!B60)</f>
        <v/>
      </c>
      <c r="C60" s="22" t="str">
        <f>IF(MOV_CC_INTL!C60="","",MOV_CC_INTL!C60)</f>
        <v/>
      </c>
      <c r="D60" s="22" t="str">
        <f t="shared" si="1"/>
        <v>Other</v>
      </c>
      <c r="E60" s="21" t="str">
        <f>IF(C60="","",C60*CONFIG!B5)</f>
        <v/>
      </c>
    </row>
    <row r="61" ht="15.75" customHeight="1">
      <c r="A61" s="22" t="str">
        <f>IF(MOV_CC_INTL!A61="","",MOV_CC_INTL!A61)</f>
        <v/>
      </c>
      <c r="B61" s="22" t="str">
        <f>IF(MOV_CC_INTL!B61="","",MOV_CC_INTL!B61)</f>
        <v/>
      </c>
      <c r="C61" s="22" t="str">
        <f>IF(MOV_CC_INTL!C61="","",MOV_CC_INTL!C61)</f>
        <v/>
      </c>
      <c r="D61" s="22" t="str">
        <f t="shared" si="1"/>
        <v>Other</v>
      </c>
      <c r="E61" s="21" t="str">
        <f>IF(C61="","",C61*CONFIG!B5)</f>
        <v/>
      </c>
    </row>
    <row r="62" ht="15.75" customHeight="1">
      <c r="A62" s="22" t="str">
        <f>IF(MOV_CC_INTL!A62="","",MOV_CC_INTL!A62)</f>
        <v/>
      </c>
      <c r="B62" s="22" t="str">
        <f>IF(MOV_CC_INTL!B62="","",MOV_CC_INTL!B62)</f>
        <v/>
      </c>
      <c r="C62" s="22" t="str">
        <f>IF(MOV_CC_INTL!C62="","",MOV_CC_INTL!C62)</f>
        <v/>
      </c>
      <c r="D62" s="22" t="str">
        <f t="shared" si="1"/>
        <v>Other</v>
      </c>
      <c r="E62" s="21" t="str">
        <f>IF(C62="","",C62*CONFIG!B5)</f>
        <v/>
      </c>
    </row>
    <row r="63" ht="15.75" customHeight="1">
      <c r="A63" s="22" t="str">
        <f>IF(MOV_CC_INTL!A63="","",MOV_CC_INTL!A63)</f>
        <v/>
      </c>
      <c r="B63" s="22" t="str">
        <f>IF(MOV_CC_INTL!B63="","",MOV_CC_INTL!B63)</f>
        <v/>
      </c>
      <c r="C63" s="22" t="str">
        <f>IF(MOV_CC_INTL!C63="","",MOV_CC_INTL!C63)</f>
        <v/>
      </c>
      <c r="D63" s="22" t="str">
        <f t="shared" si="1"/>
        <v>Other</v>
      </c>
      <c r="E63" s="21" t="str">
        <f>IF(C63="","",C63*CONFIG!B5)</f>
        <v/>
      </c>
    </row>
    <row r="64" ht="15.75" customHeight="1">
      <c r="A64" s="22" t="str">
        <f>IF(MOV_CC_INTL!A64="","",MOV_CC_INTL!A64)</f>
        <v/>
      </c>
      <c r="B64" s="22" t="str">
        <f>IF(MOV_CC_INTL!B64="","",MOV_CC_INTL!B64)</f>
        <v/>
      </c>
      <c r="C64" s="22" t="str">
        <f>IF(MOV_CC_INTL!C64="","",MOV_CC_INTL!C64)</f>
        <v/>
      </c>
      <c r="D64" s="22" t="str">
        <f t="shared" si="1"/>
        <v>Other</v>
      </c>
      <c r="E64" s="21" t="str">
        <f>IF(C64="","",C64*CONFIG!B5)</f>
        <v/>
      </c>
    </row>
    <row r="65" ht="15.75" customHeight="1">
      <c r="A65" s="22" t="str">
        <f>IF(MOV_CC_INTL!A65="","",MOV_CC_INTL!A65)</f>
        <v/>
      </c>
      <c r="B65" s="22" t="str">
        <f>IF(MOV_CC_INTL!B65="","",MOV_CC_INTL!B65)</f>
        <v/>
      </c>
      <c r="C65" s="22" t="str">
        <f>IF(MOV_CC_INTL!C65="","",MOV_CC_INTL!C65)</f>
        <v/>
      </c>
      <c r="D65" s="22" t="str">
        <f t="shared" si="1"/>
        <v>Other</v>
      </c>
      <c r="E65" s="21" t="str">
        <f>IF(C65="","",C65*CONFIG!B5)</f>
        <v/>
      </c>
    </row>
    <row r="66" ht="15.75" customHeight="1">
      <c r="A66" s="22" t="str">
        <f>IF(MOV_CC_INTL!A66="","",MOV_CC_INTL!A66)</f>
        <v/>
      </c>
      <c r="B66" s="22" t="str">
        <f>IF(MOV_CC_INTL!B66="","",MOV_CC_INTL!B66)</f>
        <v/>
      </c>
      <c r="C66" s="22" t="str">
        <f>IF(MOV_CC_INTL!C66="","",MOV_CC_INTL!C66)</f>
        <v/>
      </c>
      <c r="D66" s="22" t="str">
        <f t="shared" si="1"/>
        <v>Other</v>
      </c>
      <c r="E66" s="21" t="str">
        <f>IF(C66="","",C66*CONFIG!B5)</f>
        <v/>
      </c>
    </row>
    <row r="67" ht="15.75" customHeight="1">
      <c r="A67" s="22" t="str">
        <f>IF(MOV_CC_INTL!A67="","",MOV_CC_INTL!A67)</f>
        <v/>
      </c>
      <c r="B67" s="22" t="str">
        <f>IF(MOV_CC_INTL!B67="","",MOV_CC_INTL!B67)</f>
        <v/>
      </c>
      <c r="C67" s="22" t="str">
        <f>IF(MOV_CC_INTL!C67="","",MOV_CC_INTL!C67)</f>
        <v/>
      </c>
      <c r="D67" s="22" t="str">
        <f t="shared" si="1"/>
        <v>Other</v>
      </c>
      <c r="E67" s="21" t="str">
        <f>IF(C67="","",C67*CONFIG!B5)</f>
        <v/>
      </c>
    </row>
    <row r="68" ht="15.75" customHeight="1">
      <c r="A68" s="22" t="str">
        <f>IF(MOV_CC_INTL!A68="","",MOV_CC_INTL!A68)</f>
        <v/>
      </c>
      <c r="B68" s="22" t="str">
        <f>IF(MOV_CC_INTL!B68="","",MOV_CC_INTL!B68)</f>
        <v/>
      </c>
      <c r="C68" s="22" t="str">
        <f>IF(MOV_CC_INTL!C68="","",MOV_CC_INTL!C68)</f>
        <v/>
      </c>
      <c r="D68" s="22" t="str">
        <f t="shared" si="1"/>
        <v>Other</v>
      </c>
      <c r="E68" s="21" t="str">
        <f>IF(C68="","",C68*CONFIG!B5)</f>
        <v/>
      </c>
    </row>
    <row r="69" ht="15.75" customHeight="1">
      <c r="A69" s="22" t="str">
        <f>IF(MOV_CC_INTL!A69="","",MOV_CC_INTL!A69)</f>
        <v/>
      </c>
      <c r="B69" s="22" t="str">
        <f>IF(MOV_CC_INTL!B69="","",MOV_CC_INTL!B69)</f>
        <v/>
      </c>
      <c r="C69" s="22" t="str">
        <f>IF(MOV_CC_INTL!C69="","",MOV_CC_INTL!C69)</f>
        <v/>
      </c>
      <c r="D69" s="22" t="str">
        <f t="shared" si="1"/>
        <v>Other</v>
      </c>
      <c r="E69" s="21" t="str">
        <f>IF(C69="","",C69*CONFIG!B5)</f>
        <v/>
      </c>
    </row>
    <row r="70" ht="15.75" customHeight="1">
      <c r="A70" s="22" t="str">
        <f>IF(MOV_CC_INTL!A70="","",MOV_CC_INTL!A70)</f>
        <v/>
      </c>
      <c r="B70" s="22" t="str">
        <f>IF(MOV_CC_INTL!B70="","",MOV_CC_INTL!B70)</f>
        <v/>
      </c>
      <c r="C70" s="22" t="str">
        <f>IF(MOV_CC_INTL!C70="","",MOV_CC_INTL!C70)</f>
        <v/>
      </c>
      <c r="D70" s="22" t="str">
        <f t="shared" si="1"/>
        <v>Other</v>
      </c>
      <c r="E70" s="21" t="str">
        <f>IF(C70="","",C70*CONFIG!B5)</f>
        <v/>
      </c>
    </row>
    <row r="71" ht="15.75" customHeight="1">
      <c r="A71" s="22" t="str">
        <f>IF(MOV_CC_INTL!A71="","",MOV_CC_INTL!A71)</f>
        <v/>
      </c>
      <c r="B71" s="22" t="str">
        <f>IF(MOV_CC_INTL!B71="","",MOV_CC_INTL!B71)</f>
        <v/>
      </c>
      <c r="C71" s="22" t="str">
        <f>IF(MOV_CC_INTL!C71="","",MOV_CC_INTL!C71)</f>
        <v/>
      </c>
      <c r="D71" s="22" t="str">
        <f t="shared" si="1"/>
        <v>Other</v>
      </c>
      <c r="E71" s="21" t="str">
        <f>IF(C71="","",C71*CONFIG!B5)</f>
        <v/>
      </c>
    </row>
    <row r="72" ht="15.75" customHeight="1">
      <c r="A72" s="22" t="str">
        <f>IF(MOV_CC_INTL!A72="","",MOV_CC_INTL!A72)</f>
        <v/>
      </c>
      <c r="B72" s="22" t="str">
        <f>IF(MOV_CC_INTL!B72="","",MOV_CC_INTL!B72)</f>
        <v/>
      </c>
      <c r="C72" s="22" t="str">
        <f>IF(MOV_CC_INTL!C72="","",MOV_CC_INTL!C72)</f>
        <v/>
      </c>
      <c r="D72" s="22" t="str">
        <f t="shared" si="1"/>
        <v>Other</v>
      </c>
      <c r="E72" s="21" t="str">
        <f>IF(C72="","",C72*CONFIG!B5)</f>
        <v/>
      </c>
    </row>
    <row r="73" ht="15.75" customHeight="1">
      <c r="A73" s="22" t="str">
        <f>IF(MOV_CC_INTL!A73="","",MOV_CC_INTL!A73)</f>
        <v/>
      </c>
      <c r="B73" s="22" t="str">
        <f>IF(MOV_CC_INTL!B73="","",MOV_CC_INTL!B73)</f>
        <v/>
      </c>
      <c r="C73" s="22" t="str">
        <f>IF(MOV_CC_INTL!C73="","",MOV_CC_INTL!C73)</f>
        <v/>
      </c>
      <c r="D73" s="22" t="str">
        <f t="shared" si="1"/>
        <v>Other</v>
      </c>
      <c r="E73" s="21" t="str">
        <f>IF(C73="","",C73*CONFIG!B5)</f>
        <v/>
      </c>
    </row>
    <row r="74" ht="15.75" customHeight="1">
      <c r="A74" s="22" t="str">
        <f>IF(MOV_CC_INTL!A74="","",MOV_CC_INTL!A74)</f>
        <v/>
      </c>
      <c r="B74" s="22" t="str">
        <f>IF(MOV_CC_INTL!B74="","",MOV_CC_INTL!B74)</f>
        <v/>
      </c>
      <c r="C74" s="22" t="str">
        <f>IF(MOV_CC_INTL!C74="","",MOV_CC_INTL!C74)</f>
        <v/>
      </c>
      <c r="D74" s="22" t="str">
        <f t="shared" si="1"/>
        <v>Other</v>
      </c>
      <c r="E74" s="21" t="str">
        <f>IF(C74="","",C74*CONFIG!B5)</f>
        <v/>
      </c>
    </row>
    <row r="75" ht="15.75" customHeight="1">
      <c r="A75" s="22" t="str">
        <f>IF(MOV_CC_INTL!A75="","",MOV_CC_INTL!A75)</f>
        <v/>
      </c>
      <c r="B75" s="22" t="str">
        <f>IF(MOV_CC_INTL!B75="","",MOV_CC_INTL!B75)</f>
        <v/>
      </c>
      <c r="C75" s="22" t="str">
        <f>IF(MOV_CC_INTL!C75="","",MOV_CC_INTL!C75)</f>
        <v/>
      </c>
      <c r="D75" s="22" t="str">
        <f t="shared" si="1"/>
        <v>Other</v>
      </c>
      <c r="E75" s="21" t="str">
        <f>IF(C75="","",C75*CONFIG!B5)</f>
        <v/>
      </c>
    </row>
    <row r="76" ht="15.75" customHeight="1">
      <c r="A76" s="22" t="str">
        <f>IF(MOV_CC_INTL!A76="","",MOV_CC_INTL!A76)</f>
        <v/>
      </c>
      <c r="B76" s="22" t="str">
        <f>IF(MOV_CC_INTL!B76="","",MOV_CC_INTL!B76)</f>
        <v/>
      </c>
      <c r="C76" s="22" t="str">
        <f>IF(MOV_CC_INTL!C76="","",MOV_CC_INTL!C76)</f>
        <v/>
      </c>
      <c r="D76" s="22" t="str">
        <f t="shared" si="1"/>
        <v>Other</v>
      </c>
      <c r="E76" s="21" t="str">
        <f>IF(C76="","",C76*CONFIG!B5)</f>
        <v/>
      </c>
    </row>
    <row r="77" ht="15.75" customHeight="1">
      <c r="A77" s="22" t="str">
        <f>IF(MOV_CC_INTL!A77="","",MOV_CC_INTL!A77)</f>
        <v/>
      </c>
      <c r="B77" s="22" t="str">
        <f>IF(MOV_CC_INTL!B77="","",MOV_CC_INTL!B77)</f>
        <v/>
      </c>
      <c r="C77" s="22" t="str">
        <f>IF(MOV_CC_INTL!C77="","",MOV_CC_INTL!C77)</f>
        <v/>
      </c>
      <c r="D77" s="22" t="str">
        <f t="shared" si="1"/>
        <v>Other</v>
      </c>
      <c r="E77" s="21" t="str">
        <f>IF(C77="","",C77*CONFIG!B5)</f>
        <v/>
      </c>
    </row>
    <row r="78" ht="15.75" customHeight="1">
      <c r="A78" s="22" t="str">
        <f>IF(MOV_CC_INTL!A78="","",MOV_CC_INTL!A78)</f>
        <v/>
      </c>
      <c r="B78" s="22" t="str">
        <f>IF(MOV_CC_INTL!B78="","",MOV_CC_INTL!B78)</f>
        <v/>
      </c>
      <c r="C78" s="22" t="str">
        <f>IF(MOV_CC_INTL!C78="","",MOV_CC_INTL!C78)</f>
        <v/>
      </c>
      <c r="D78" s="22" t="str">
        <f t="shared" si="1"/>
        <v>Other</v>
      </c>
      <c r="E78" s="21" t="str">
        <f>IF(C78="","",C78*CONFIG!B5)</f>
        <v/>
      </c>
    </row>
    <row r="79" ht="15.75" customHeight="1">
      <c r="A79" s="22" t="str">
        <f>IF(MOV_CC_INTL!A79="","",MOV_CC_INTL!A79)</f>
        <v/>
      </c>
      <c r="B79" s="22" t="str">
        <f>IF(MOV_CC_INTL!B79="","",MOV_CC_INTL!B79)</f>
        <v/>
      </c>
      <c r="C79" s="22" t="str">
        <f>IF(MOV_CC_INTL!C79="","",MOV_CC_INTL!C79)</f>
        <v/>
      </c>
      <c r="D79" s="22" t="str">
        <f t="shared" si="1"/>
        <v>Other</v>
      </c>
      <c r="E79" s="21" t="str">
        <f>IF(C79="","",C79*CONFIG!B5)</f>
        <v/>
      </c>
    </row>
    <row r="80" ht="15.75" customHeight="1">
      <c r="A80" s="22" t="str">
        <f>IF(MOV_CC_INTL!A80="","",MOV_CC_INTL!A80)</f>
        <v/>
      </c>
      <c r="B80" s="22" t="str">
        <f>IF(MOV_CC_INTL!B80="","",MOV_CC_INTL!B80)</f>
        <v/>
      </c>
      <c r="C80" s="22" t="str">
        <f>IF(MOV_CC_INTL!C80="","",MOV_CC_INTL!C80)</f>
        <v/>
      </c>
      <c r="D80" s="22" t="str">
        <f t="shared" si="1"/>
        <v>Other</v>
      </c>
      <c r="E80" s="21" t="str">
        <f>IF(C80="","",C80*CONFIG!B5)</f>
        <v/>
      </c>
    </row>
    <row r="81" ht="15.75" customHeight="1">
      <c r="A81" s="22" t="str">
        <f>IF(MOV_CC_INTL!A81="","",MOV_CC_INTL!A81)</f>
        <v/>
      </c>
      <c r="B81" s="22" t="str">
        <f>IF(MOV_CC_INTL!B81="","",MOV_CC_INTL!B81)</f>
        <v/>
      </c>
      <c r="C81" s="22" t="str">
        <f>IF(MOV_CC_INTL!C81="","",MOV_CC_INTL!C81)</f>
        <v/>
      </c>
      <c r="D81" s="22" t="str">
        <f t="shared" si="1"/>
        <v>Other</v>
      </c>
      <c r="E81" s="21" t="str">
        <f>IF(C81="","",C81*CONFIG!B5)</f>
        <v/>
      </c>
    </row>
    <row r="82" ht="15.75" customHeight="1">
      <c r="A82" s="22" t="str">
        <f>IF(MOV_CC_INTL!A82="","",MOV_CC_INTL!A82)</f>
        <v/>
      </c>
      <c r="B82" s="22" t="str">
        <f>IF(MOV_CC_INTL!B82="","",MOV_CC_INTL!B82)</f>
        <v/>
      </c>
      <c r="C82" s="22" t="str">
        <f>IF(MOV_CC_INTL!C82="","",MOV_CC_INTL!C82)</f>
        <v/>
      </c>
      <c r="D82" s="22" t="str">
        <f t="shared" si="1"/>
        <v>Other</v>
      </c>
      <c r="E82" s="21" t="str">
        <f>IF(C82="","",C82*CONFIG!B5)</f>
        <v/>
      </c>
    </row>
    <row r="83" ht="15.75" customHeight="1">
      <c r="A83" s="22" t="str">
        <f>IF(MOV_CC_INTL!A83="","",MOV_CC_INTL!A83)</f>
        <v/>
      </c>
      <c r="B83" s="22" t="str">
        <f>IF(MOV_CC_INTL!B83="","",MOV_CC_INTL!B83)</f>
        <v/>
      </c>
      <c r="C83" s="22" t="str">
        <f>IF(MOV_CC_INTL!C83="","",MOV_CC_INTL!C83)</f>
        <v/>
      </c>
      <c r="D83" s="22" t="str">
        <f t="shared" si="1"/>
        <v>Other</v>
      </c>
      <c r="E83" s="21" t="str">
        <f>IF(C83="","",C83*CONFIG!B5)</f>
        <v/>
      </c>
    </row>
    <row r="84" ht="15.75" customHeight="1">
      <c r="A84" s="22" t="str">
        <f>IF(MOV_CC_INTL!A84="","",MOV_CC_INTL!A84)</f>
        <v/>
      </c>
      <c r="B84" s="22" t="str">
        <f>IF(MOV_CC_INTL!B84="","",MOV_CC_INTL!B84)</f>
        <v/>
      </c>
      <c r="C84" s="22" t="str">
        <f>IF(MOV_CC_INTL!C84="","",MOV_CC_INTL!C84)</f>
        <v/>
      </c>
      <c r="D84" s="22" t="str">
        <f t="shared" si="1"/>
        <v>Other</v>
      </c>
      <c r="E84" s="21" t="str">
        <f>IF(C84="","",C84*CONFIG!B5)</f>
        <v/>
      </c>
    </row>
    <row r="85" ht="15.75" customHeight="1">
      <c r="A85" s="22" t="str">
        <f>IF(MOV_CC_INTL!A85="","",MOV_CC_INTL!A85)</f>
        <v/>
      </c>
      <c r="B85" s="22" t="str">
        <f>IF(MOV_CC_INTL!B85="","",MOV_CC_INTL!B85)</f>
        <v/>
      </c>
      <c r="C85" s="22" t="str">
        <f>IF(MOV_CC_INTL!C85="","",MOV_CC_INTL!C85)</f>
        <v/>
      </c>
      <c r="D85" s="22" t="str">
        <f t="shared" si="1"/>
        <v>Other</v>
      </c>
      <c r="E85" s="21" t="str">
        <f>IF(C85="","",C85*CONFIG!B5)</f>
        <v/>
      </c>
    </row>
    <row r="86" ht="15.75" customHeight="1">
      <c r="A86" s="22" t="str">
        <f>IF(MOV_CC_INTL!A86="","",MOV_CC_INTL!A86)</f>
        <v/>
      </c>
      <c r="B86" s="22" t="str">
        <f>IF(MOV_CC_INTL!B86="","",MOV_CC_INTL!B86)</f>
        <v/>
      </c>
      <c r="C86" s="22" t="str">
        <f>IF(MOV_CC_INTL!C86="","",MOV_CC_INTL!C86)</f>
        <v/>
      </c>
      <c r="D86" s="22" t="str">
        <f t="shared" si="1"/>
        <v>Other</v>
      </c>
      <c r="E86" s="21" t="str">
        <f>IF(C86="","",C86*CONFIG!B5)</f>
        <v/>
      </c>
    </row>
    <row r="87" ht="15.75" customHeight="1">
      <c r="A87" s="22" t="str">
        <f>IF(MOV_CC_INTL!A87="","",MOV_CC_INTL!A87)</f>
        <v/>
      </c>
      <c r="B87" s="22" t="str">
        <f>IF(MOV_CC_INTL!B87="","",MOV_CC_INTL!B87)</f>
        <v/>
      </c>
      <c r="C87" s="22" t="str">
        <f>IF(MOV_CC_INTL!C87="","",MOV_CC_INTL!C87)</f>
        <v/>
      </c>
      <c r="D87" s="22" t="str">
        <f t="shared" si="1"/>
        <v>Other</v>
      </c>
      <c r="E87" s="21" t="str">
        <f>IF(C87="","",C87*CONFIG!B5)</f>
        <v/>
      </c>
    </row>
    <row r="88" ht="15.75" customHeight="1">
      <c r="A88" s="22" t="str">
        <f>IF(MOV_CC_INTL!A88="","",MOV_CC_INTL!A88)</f>
        <v/>
      </c>
      <c r="B88" s="22" t="str">
        <f>IF(MOV_CC_INTL!B88="","",MOV_CC_INTL!B88)</f>
        <v/>
      </c>
      <c r="C88" s="22" t="str">
        <f>IF(MOV_CC_INTL!C88="","",MOV_CC_INTL!C88)</f>
        <v/>
      </c>
      <c r="D88" s="22" t="str">
        <f t="shared" si="1"/>
        <v>Other</v>
      </c>
      <c r="E88" s="21" t="str">
        <f>IF(C88="","",C88*CONFIG!B5)</f>
        <v/>
      </c>
    </row>
    <row r="89" ht="15.75" customHeight="1">
      <c r="A89" s="22" t="str">
        <f>IF(MOV_CC_INTL!A89="","",MOV_CC_INTL!A89)</f>
        <v/>
      </c>
      <c r="B89" s="22" t="str">
        <f>IF(MOV_CC_INTL!B89="","",MOV_CC_INTL!B89)</f>
        <v/>
      </c>
      <c r="C89" s="22" t="str">
        <f>IF(MOV_CC_INTL!C89="","",MOV_CC_INTL!C89)</f>
        <v/>
      </c>
      <c r="D89" s="22" t="str">
        <f t="shared" si="1"/>
        <v>Other</v>
      </c>
      <c r="E89" s="21" t="str">
        <f>IF(C89="","",C89*CONFIG!B5)</f>
        <v/>
      </c>
    </row>
    <row r="90" ht="15.75" customHeight="1">
      <c r="A90" s="22" t="str">
        <f>IF(MOV_CC_INTL!A90="","",MOV_CC_INTL!A90)</f>
        <v/>
      </c>
      <c r="B90" s="22" t="str">
        <f>IF(MOV_CC_INTL!B90="","",MOV_CC_INTL!B90)</f>
        <v/>
      </c>
      <c r="C90" s="22" t="str">
        <f>IF(MOV_CC_INTL!C90="","",MOV_CC_INTL!C90)</f>
        <v/>
      </c>
      <c r="D90" s="22" t="str">
        <f t="shared" si="1"/>
        <v>Other</v>
      </c>
      <c r="E90" s="21" t="str">
        <f>IF(C90="","",C90*CONFIG!B5)</f>
        <v/>
      </c>
    </row>
    <row r="91" ht="15.75" customHeight="1">
      <c r="A91" s="22" t="str">
        <f>IF(MOV_CC_INTL!A91="","",MOV_CC_INTL!A91)</f>
        <v/>
      </c>
      <c r="B91" s="22" t="str">
        <f>IF(MOV_CC_INTL!B91="","",MOV_CC_INTL!B91)</f>
        <v/>
      </c>
      <c r="C91" s="22" t="str">
        <f>IF(MOV_CC_INTL!C91="","",MOV_CC_INTL!C91)</f>
        <v/>
      </c>
      <c r="D91" s="22" t="str">
        <f t="shared" si="1"/>
        <v>Other</v>
      </c>
      <c r="E91" s="21" t="str">
        <f>IF(C91="","",C91*CONFIG!B5)</f>
        <v/>
      </c>
    </row>
    <row r="92" ht="15.75" customHeight="1">
      <c r="A92" s="22" t="str">
        <f>IF(MOV_CC_INTL!A92="","",MOV_CC_INTL!A92)</f>
        <v/>
      </c>
      <c r="B92" s="22" t="str">
        <f>IF(MOV_CC_INTL!B92="","",MOV_CC_INTL!B92)</f>
        <v/>
      </c>
      <c r="C92" s="22" t="str">
        <f>IF(MOV_CC_INTL!C92="","",MOV_CC_INTL!C92)</f>
        <v/>
      </c>
      <c r="D92" s="22" t="str">
        <f t="shared" si="1"/>
        <v>Other</v>
      </c>
      <c r="E92" s="21" t="str">
        <f>IF(C92="","",C92*CONFIG!B5)</f>
        <v/>
      </c>
    </row>
    <row r="93" ht="15.75" customHeight="1">
      <c r="A93" s="22" t="str">
        <f>IF(MOV_CC_INTL!A93="","",MOV_CC_INTL!A93)</f>
        <v/>
      </c>
      <c r="B93" s="22" t="str">
        <f>IF(MOV_CC_INTL!B93="","",MOV_CC_INTL!B93)</f>
        <v/>
      </c>
      <c r="C93" s="22" t="str">
        <f>IF(MOV_CC_INTL!C93="","",MOV_CC_INTL!C93)</f>
        <v/>
      </c>
      <c r="D93" s="22" t="str">
        <f t="shared" si="1"/>
        <v>Other</v>
      </c>
      <c r="E93" s="21" t="str">
        <f>IF(C93="","",C93*CONFIG!B5)</f>
        <v/>
      </c>
    </row>
    <row r="94" ht="15.75" customHeight="1">
      <c r="A94" s="22" t="str">
        <f>IF(MOV_CC_INTL!A94="","",MOV_CC_INTL!A94)</f>
        <v/>
      </c>
      <c r="B94" s="22" t="str">
        <f>IF(MOV_CC_INTL!B94="","",MOV_CC_INTL!B94)</f>
        <v/>
      </c>
      <c r="C94" s="22" t="str">
        <f>IF(MOV_CC_INTL!C94="","",MOV_CC_INTL!C94)</f>
        <v/>
      </c>
      <c r="D94" s="22" t="str">
        <f t="shared" si="1"/>
        <v>Other</v>
      </c>
      <c r="E94" s="21" t="str">
        <f>IF(C94="","",C94*CONFIG!B5)</f>
        <v/>
      </c>
    </row>
    <row r="95" ht="15.75" customHeight="1">
      <c r="A95" s="22" t="str">
        <f>IF(MOV_CC_INTL!A95="","",MOV_CC_INTL!A95)</f>
        <v/>
      </c>
      <c r="B95" s="22" t="str">
        <f>IF(MOV_CC_INTL!B95="","",MOV_CC_INTL!B95)</f>
        <v/>
      </c>
      <c r="C95" s="22" t="str">
        <f>IF(MOV_CC_INTL!C95="","",MOV_CC_INTL!C95)</f>
        <v/>
      </c>
      <c r="D95" s="22" t="str">
        <f t="shared" si="1"/>
        <v>Other</v>
      </c>
      <c r="E95" s="21" t="str">
        <f>IF(C95="","",C95*CONFIG!B5)</f>
        <v/>
      </c>
    </row>
    <row r="96" ht="15.75" customHeight="1">
      <c r="A96" s="22" t="str">
        <f>IF(MOV_CC_INTL!A96="","",MOV_CC_INTL!A96)</f>
        <v/>
      </c>
      <c r="B96" s="22" t="str">
        <f>IF(MOV_CC_INTL!B96="","",MOV_CC_INTL!B96)</f>
        <v/>
      </c>
      <c r="C96" s="22" t="str">
        <f>IF(MOV_CC_INTL!C96="","",MOV_CC_INTL!C96)</f>
        <v/>
      </c>
      <c r="D96" s="22" t="str">
        <f t="shared" si="1"/>
        <v>Other</v>
      </c>
      <c r="E96" s="21" t="str">
        <f>IF(C96="","",C96*CONFIG!B5)</f>
        <v/>
      </c>
    </row>
    <row r="97" ht="15.75" customHeight="1">
      <c r="A97" s="22" t="str">
        <f>IF(MOV_CC_INTL!A97="","",MOV_CC_INTL!A97)</f>
        <v/>
      </c>
      <c r="B97" s="22" t="str">
        <f>IF(MOV_CC_INTL!B97="","",MOV_CC_INTL!B97)</f>
        <v/>
      </c>
      <c r="C97" s="22" t="str">
        <f>IF(MOV_CC_INTL!C97="","",MOV_CC_INTL!C97)</f>
        <v/>
      </c>
      <c r="D97" s="22" t="str">
        <f t="shared" si="1"/>
        <v>Other</v>
      </c>
      <c r="E97" s="21" t="str">
        <f>IF(C97="","",C97*CONFIG!B5)</f>
        <v/>
      </c>
    </row>
    <row r="98" ht="15.75" customHeight="1">
      <c r="A98" s="22" t="str">
        <f>IF(MOV_CC_INTL!A98="","",MOV_CC_INTL!A98)</f>
        <v/>
      </c>
      <c r="B98" s="22" t="str">
        <f>IF(MOV_CC_INTL!B98="","",MOV_CC_INTL!B98)</f>
        <v/>
      </c>
      <c r="C98" s="22" t="str">
        <f>IF(MOV_CC_INTL!C98="","",MOV_CC_INTL!C98)</f>
        <v/>
      </c>
      <c r="D98" s="22" t="str">
        <f t="shared" si="1"/>
        <v>Other</v>
      </c>
      <c r="E98" s="21" t="str">
        <f>IF(C98="","",C98*CONFIG!B5)</f>
        <v/>
      </c>
    </row>
    <row r="99" ht="15.75" customHeight="1">
      <c r="A99" s="22" t="str">
        <f>IF(MOV_CC_INTL!A99="","",MOV_CC_INTL!A99)</f>
        <v/>
      </c>
      <c r="B99" s="22" t="str">
        <f>IF(MOV_CC_INTL!B99="","",MOV_CC_INTL!B99)</f>
        <v/>
      </c>
      <c r="C99" s="22" t="str">
        <f>IF(MOV_CC_INTL!C99="","",MOV_CC_INTL!C99)</f>
        <v/>
      </c>
      <c r="D99" s="22" t="str">
        <f t="shared" si="1"/>
        <v>Other</v>
      </c>
      <c r="E99" s="21" t="str">
        <f>IF(C99="","",C99*CONFIG!B5)</f>
        <v/>
      </c>
    </row>
    <row r="100" ht="15.75" customHeight="1">
      <c r="A100" s="22" t="str">
        <f>IF(MOV_CC_INTL!A100="","",MOV_CC_INTL!A100)</f>
        <v/>
      </c>
      <c r="B100" s="22" t="str">
        <f>IF(MOV_CC_INTL!B100="","",MOV_CC_INTL!B100)</f>
        <v/>
      </c>
      <c r="C100" s="22" t="str">
        <f>IF(MOV_CC_INTL!C100="","",MOV_CC_INTL!C100)</f>
        <v/>
      </c>
      <c r="D100" s="22" t="str">
        <f t="shared" si="1"/>
        <v>Other</v>
      </c>
      <c r="E100" s="21" t="str">
        <f>IF(C100="","",C100*CONFIG!B5)</f>
        <v/>
      </c>
    </row>
    <row r="101" ht="15.75" customHeight="1">
      <c r="A101" s="22" t="str">
        <f>IF(MOV_CC_INTL!A101="","",MOV_CC_INTL!A101)</f>
        <v/>
      </c>
      <c r="B101" s="22" t="str">
        <f>IF(MOV_CC_INTL!B101="","",MOV_CC_INTL!B101)</f>
        <v/>
      </c>
      <c r="C101" s="22" t="str">
        <f>IF(MOV_CC_INTL!C101="","",MOV_CC_INTL!C101)</f>
        <v/>
      </c>
      <c r="D101" s="22" t="str">
        <f t="shared" si="1"/>
        <v>Other</v>
      </c>
      <c r="E101" s="21" t="str">
        <f>IF(C101="","",C101*CONFIG!B5)</f>
        <v/>
      </c>
    </row>
    <row r="102" ht="15.75" customHeight="1">
      <c r="A102" s="22" t="str">
        <f>IF(MOV_CC_INTL!A102="","",MOV_CC_INTL!A102)</f>
        <v/>
      </c>
      <c r="B102" s="22" t="str">
        <f>IF(MOV_CC_INTL!B102="","",MOV_CC_INTL!B102)</f>
        <v/>
      </c>
      <c r="C102" s="22" t="str">
        <f>IF(MOV_CC_INTL!C102="","",MOV_CC_INTL!C102)</f>
        <v/>
      </c>
      <c r="D102" s="22" t="str">
        <f t="shared" si="1"/>
        <v>Other</v>
      </c>
      <c r="E102" s="21" t="str">
        <f>IF(C102="","",C102*CONFIG!B5)</f>
        <v/>
      </c>
    </row>
    <row r="103" ht="15.75" customHeight="1">
      <c r="A103" s="22" t="str">
        <f>IF(MOV_CC_INTL!A103="","",MOV_CC_INTL!A103)</f>
        <v/>
      </c>
      <c r="B103" s="22" t="str">
        <f>IF(MOV_CC_INTL!B103="","",MOV_CC_INTL!B103)</f>
        <v/>
      </c>
      <c r="C103" s="22" t="str">
        <f>IF(MOV_CC_INTL!C103="","",MOV_CC_INTL!C103)</f>
        <v/>
      </c>
      <c r="D103" s="22" t="str">
        <f t="shared" si="1"/>
        <v>Other</v>
      </c>
      <c r="E103" s="21" t="str">
        <f>IF(C103="","",C103*CONFIG!B5)</f>
        <v/>
      </c>
    </row>
    <row r="104" ht="15.75" customHeight="1">
      <c r="A104" s="22" t="str">
        <f>IF(MOV_CC_INTL!A104="","",MOV_CC_INTL!A104)</f>
        <v/>
      </c>
      <c r="B104" s="22" t="str">
        <f>IF(MOV_CC_INTL!B104="","",MOV_CC_INTL!B104)</f>
        <v/>
      </c>
      <c r="C104" s="22" t="str">
        <f>IF(MOV_CC_INTL!C104="","",MOV_CC_INTL!C104)</f>
        <v/>
      </c>
      <c r="D104" s="22" t="str">
        <f t="shared" si="1"/>
        <v>Other</v>
      </c>
      <c r="E104" s="21" t="str">
        <f>IF(C104="","",C104*CONFIG!B5)</f>
        <v/>
      </c>
    </row>
    <row r="105" ht="15.75" customHeight="1">
      <c r="A105" s="22" t="str">
        <f>IF(MOV_CC_INTL!A105="","",MOV_CC_INTL!A105)</f>
        <v/>
      </c>
      <c r="B105" s="22" t="str">
        <f>IF(MOV_CC_INTL!B105="","",MOV_CC_INTL!B105)</f>
        <v/>
      </c>
      <c r="C105" s="22" t="str">
        <f>IF(MOV_CC_INTL!C105="","",MOV_CC_INTL!C105)</f>
        <v/>
      </c>
      <c r="D105" s="22" t="str">
        <f t="shared" si="1"/>
        <v>Other</v>
      </c>
      <c r="E105" s="21" t="str">
        <f>IF(C105="","",C105*CONFIG!B5)</f>
        <v/>
      </c>
    </row>
    <row r="106" ht="15.75" customHeight="1">
      <c r="A106" s="22" t="str">
        <f>IF(MOV_CC_INTL!A106="","",MOV_CC_INTL!A106)</f>
        <v/>
      </c>
      <c r="B106" s="22" t="str">
        <f>IF(MOV_CC_INTL!B106="","",MOV_CC_INTL!B106)</f>
        <v/>
      </c>
      <c r="C106" s="22" t="str">
        <f>IF(MOV_CC_INTL!C106="","",MOV_CC_INTL!C106)</f>
        <v/>
      </c>
      <c r="D106" s="22" t="str">
        <f t="shared" si="1"/>
        <v>Other</v>
      </c>
      <c r="E106" s="21" t="str">
        <f>IF(C106="","",C106*CONFIG!B5)</f>
        <v/>
      </c>
    </row>
    <row r="107" ht="15.75" customHeight="1">
      <c r="A107" s="22" t="str">
        <f>IF(MOV_CC_INTL!A107="","",MOV_CC_INTL!A107)</f>
        <v/>
      </c>
      <c r="B107" s="22" t="str">
        <f>IF(MOV_CC_INTL!B107="","",MOV_CC_INTL!B107)</f>
        <v/>
      </c>
      <c r="C107" s="22" t="str">
        <f>IF(MOV_CC_INTL!C107="","",MOV_CC_INTL!C107)</f>
        <v/>
      </c>
      <c r="D107" s="22" t="str">
        <f t="shared" si="1"/>
        <v>Other</v>
      </c>
      <c r="E107" s="21" t="str">
        <f>IF(C107="","",C107*CONFIG!B5)</f>
        <v/>
      </c>
    </row>
    <row r="108" ht="15.75" customHeight="1">
      <c r="A108" s="22" t="str">
        <f>IF(MOV_CC_INTL!A108="","",MOV_CC_INTL!A108)</f>
        <v/>
      </c>
      <c r="B108" s="22" t="str">
        <f>IF(MOV_CC_INTL!B108="","",MOV_CC_INTL!B108)</f>
        <v/>
      </c>
      <c r="C108" s="22" t="str">
        <f>IF(MOV_CC_INTL!C108="","",MOV_CC_INTL!C108)</f>
        <v/>
      </c>
      <c r="D108" s="22" t="str">
        <f t="shared" si="1"/>
        <v>Other</v>
      </c>
      <c r="E108" s="21" t="str">
        <f>IF(C108="","",C108*CONFIG!B5)</f>
        <v/>
      </c>
    </row>
    <row r="109" ht="15.75" customHeight="1">
      <c r="A109" s="22" t="str">
        <f>IF(MOV_CC_INTL!A109="","",MOV_CC_INTL!A109)</f>
        <v/>
      </c>
      <c r="B109" s="22" t="str">
        <f>IF(MOV_CC_INTL!B109="","",MOV_CC_INTL!B109)</f>
        <v/>
      </c>
      <c r="C109" s="22" t="str">
        <f>IF(MOV_CC_INTL!C109="","",MOV_CC_INTL!C109)</f>
        <v/>
      </c>
      <c r="D109" s="22" t="str">
        <f t="shared" si="1"/>
        <v>Other</v>
      </c>
      <c r="E109" s="21" t="str">
        <f>IF(C109="","",C109*CONFIG!B5)</f>
        <v/>
      </c>
    </row>
    <row r="110" ht="15.75" customHeight="1">
      <c r="A110" s="22" t="str">
        <f>IF(MOV_CC_INTL!A110="","",MOV_CC_INTL!A110)</f>
        <v/>
      </c>
      <c r="B110" s="22" t="str">
        <f>IF(MOV_CC_INTL!B110="","",MOV_CC_INTL!B110)</f>
        <v/>
      </c>
      <c r="C110" s="22" t="str">
        <f>IF(MOV_CC_INTL!C110="","",MOV_CC_INTL!C110)</f>
        <v/>
      </c>
      <c r="D110" s="22" t="str">
        <f t="shared" si="1"/>
        <v>Other</v>
      </c>
      <c r="E110" s="21" t="str">
        <f>IF(C110="","",C110*CONFIG!B5)</f>
        <v/>
      </c>
    </row>
    <row r="111" ht="15.75" customHeight="1">
      <c r="A111" s="22" t="str">
        <f>IF(MOV_CC_INTL!A111="","",MOV_CC_INTL!A111)</f>
        <v/>
      </c>
      <c r="B111" s="22" t="str">
        <f>IF(MOV_CC_INTL!B111="","",MOV_CC_INTL!B111)</f>
        <v/>
      </c>
      <c r="C111" s="22" t="str">
        <f>IF(MOV_CC_INTL!C111="","",MOV_CC_INTL!C111)</f>
        <v/>
      </c>
      <c r="D111" s="22" t="str">
        <f t="shared" si="1"/>
        <v>Other</v>
      </c>
      <c r="E111" s="21" t="str">
        <f>IF(C111="","",C111*CONFIG!B5)</f>
        <v/>
      </c>
    </row>
    <row r="112" ht="15.75" customHeight="1">
      <c r="A112" s="22" t="str">
        <f>IF(MOV_CC_INTL!A112="","",MOV_CC_INTL!A112)</f>
        <v/>
      </c>
      <c r="B112" s="22" t="str">
        <f>IF(MOV_CC_INTL!B112="","",MOV_CC_INTL!B112)</f>
        <v/>
      </c>
      <c r="C112" s="22" t="str">
        <f>IF(MOV_CC_INTL!C112="","",MOV_CC_INTL!C112)</f>
        <v/>
      </c>
      <c r="D112" s="22" t="str">
        <f t="shared" si="1"/>
        <v>Other</v>
      </c>
      <c r="E112" s="21" t="str">
        <f>IF(C112="","",C112*CONFIG!B5)</f>
        <v/>
      </c>
    </row>
    <row r="113" ht="15.75" customHeight="1">
      <c r="A113" s="22" t="str">
        <f>IF(MOV_CC_INTL!A113="","",MOV_CC_INTL!A113)</f>
        <v/>
      </c>
      <c r="B113" s="22" t="str">
        <f>IF(MOV_CC_INTL!B113="","",MOV_CC_INTL!B113)</f>
        <v/>
      </c>
      <c r="C113" s="22" t="str">
        <f>IF(MOV_CC_INTL!C113="","",MOV_CC_INTL!C113)</f>
        <v/>
      </c>
      <c r="D113" s="22" t="str">
        <f t="shared" si="1"/>
        <v>Other</v>
      </c>
      <c r="E113" s="21" t="str">
        <f>IF(C113="","",C113*CONFIG!B5)</f>
        <v/>
      </c>
    </row>
    <row r="114" ht="15.75" customHeight="1">
      <c r="A114" s="22" t="str">
        <f>IF(MOV_CC_INTL!A114="","",MOV_CC_INTL!A114)</f>
        <v/>
      </c>
      <c r="B114" s="22" t="str">
        <f>IF(MOV_CC_INTL!B114="","",MOV_CC_INTL!B114)</f>
        <v/>
      </c>
      <c r="C114" s="22" t="str">
        <f>IF(MOV_CC_INTL!C114="","",MOV_CC_INTL!C114)</f>
        <v/>
      </c>
      <c r="D114" s="22" t="str">
        <f t="shared" si="1"/>
        <v>Other</v>
      </c>
      <c r="E114" s="21" t="str">
        <f>IF(C114="","",C114*CONFIG!B5)</f>
        <v/>
      </c>
    </row>
    <row r="115" ht="15.75" customHeight="1">
      <c r="A115" s="22" t="str">
        <f>IF(MOV_CC_INTL!A115="","",MOV_CC_INTL!A115)</f>
        <v/>
      </c>
      <c r="B115" s="22" t="str">
        <f>IF(MOV_CC_INTL!B115="","",MOV_CC_INTL!B115)</f>
        <v/>
      </c>
      <c r="C115" s="22" t="str">
        <f>IF(MOV_CC_INTL!C115="","",MOV_CC_INTL!C115)</f>
        <v/>
      </c>
      <c r="D115" s="22" t="str">
        <f t="shared" si="1"/>
        <v>Other</v>
      </c>
      <c r="E115" s="21" t="str">
        <f>IF(C115="","",C115*CONFIG!B5)</f>
        <v/>
      </c>
    </row>
    <row r="116" ht="15.75" customHeight="1">
      <c r="A116" s="22" t="str">
        <f>IF(MOV_CC_INTL!A116="","",MOV_CC_INTL!A116)</f>
        <v/>
      </c>
      <c r="B116" s="22" t="str">
        <f>IF(MOV_CC_INTL!B116="","",MOV_CC_INTL!B116)</f>
        <v/>
      </c>
      <c r="C116" s="22" t="str">
        <f>IF(MOV_CC_INTL!C116="","",MOV_CC_INTL!C116)</f>
        <v/>
      </c>
      <c r="D116" s="22" t="str">
        <f t="shared" si="1"/>
        <v>Other</v>
      </c>
      <c r="E116" s="21" t="str">
        <f>IF(C116="","",C116*CONFIG!B5)</f>
        <v/>
      </c>
    </row>
    <row r="117" ht="15.75" customHeight="1">
      <c r="A117" s="22" t="str">
        <f>IF(MOV_CC_INTL!A117="","",MOV_CC_INTL!A117)</f>
        <v/>
      </c>
      <c r="B117" s="22" t="str">
        <f>IF(MOV_CC_INTL!B117="","",MOV_CC_INTL!B117)</f>
        <v/>
      </c>
      <c r="C117" s="22" t="str">
        <f>IF(MOV_CC_INTL!C117="","",MOV_CC_INTL!C117)</f>
        <v/>
      </c>
      <c r="D117" s="22" t="str">
        <f t="shared" si="1"/>
        <v>Other</v>
      </c>
      <c r="E117" s="21" t="str">
        <f>IF(C117="","",C117*CONFIG!B5)</f>
        <v/>
      </c>
    </row>
    <row r="118" ht="15.75" customHeight="1">
      <c r="A118" s="22" t="str">
        <f>IF(MOV_CC_INTL!A118="","",MOV_CC_INTL!A118)</f>
        <v/>
      </c>
      <c r="B118" s="22" t="str">
        <f>IF(MOV_CC_INTL!B118="","",MOV_CC_INTL!B118)</f>
        <v/>
      </c>
      <c r="C118" s="22" t="str">
        <f>IF(MOV_CC_INTL!C118="","",MOV_CC_INTL!C118)</f>
        <v/>
      </c>
      <c r="D118" s="22" t="str">
        <f t="shared" si="1"/>
        <v>Other</v>
      </c>
      <c r="E118" s="21" t="str">
        <f>IF(C118="","",C118*CONFIG!B5)</f>
        <v/>
      </c>
    </row>
    <row r="119" ht="15.75" customHeight="1">
      <c r="A119" s="22" t="str">
        <f>IF(MOV_CC_INTL!A119="","",MOV_CC_INTL!A119)</f>
        <v/>
      </c>
      <c r="B119" s="22" t="str">
        <f>IF(MOV_CC_INTL!B119="","",MOV_CC_INTL!B119)</f>
        <v/>
      </c>
      <c r="C119" s="22" t="str">
        <f>IF(MOV_CC_INTL!C119="","",MOV_CC_INTL!C119)</f>
        <v/>
      </c>
      <c r="D119" s="22" t="str">
        <f t="shared" si="1"/>
        <v>Other</v>
      </c>
      <c r="E119" s="21" t="str">
        <f>IF(C119="","",C119*CONFIG!B5)</f>
        <v/>
      </c>
    </row>
    <row r="120" ht="15.75" customHeight="1">
      <c r="A120" s="22" t="str">
        <f>IF(MOV_CC_INTL!A120="","",MOV_CC_INTL!A120)</f>
        <v/>
      </c>
      <c r="B120" s="22" t="str">
        <f>IF(MOV_CC_INTL!B120="","",MOV_CC_INTL!B120)</f>
        <v/>
      </c>
      <c r="C120" s="22" t="str">
        <f>IF(MOV_CC_INTL!C120="","",MOV_CC_INTL!C120)</f>
        <v/>
      </c>
      <c r="D120" s="22" t="str">
        <f t="shared" si="1"/>
        <v>Other</v>
      </c>
      <c r="E120" s="21" t="str">
        <f>IF(C120="","",C120*CONFIG!B5)</f>
        <v/>
      </c>
    </row>
    <row r="121" ht="15.75" customHeight="1">
      <c r="A121" s="22" t="str">
        <f>IF(MOV_CC_INTL!A121="","",MOV_CC_INTL!A121)</f>
        <v/>
      </c>
      <c r="B121" s="22" t="str">
        <f>IF(MOV_CC_INTL!B121="","",MOV_CC_INTL!B121)</f>
        <v/>
      </c>
      <c r="C121" s="22" t="str">
        <f>IF(MOV_CC_INTL!C121="","",MOV_CC_INTL!C121)</f>
        <v/>
      </c>
      <c r="D121" s="22" t="str">
        <f t="shared" si="1"/>
        <v>Other</v>
      </c>
      <c r="E121" s="21" t="str">
        <f>IF(C121="","",C121*CONFIG!B5)</f>
        <v/>
      </c>
    </row>
    <row r="122" ht="15.75" customHeight="1">
      <c r="A122" s="22" t="str">
        <f>IF(MOV_CC_INTL!A122="","",MOV_CC_INTL!A122)</f>
        <v/>
      </c>
      <c r="B122" s="22" t="str">
        <f>IF(MOV_CC_INTL!B122="","",MOV_CC_INTL!B122)</f>
        <v/>
      </c>
      <c r="C122" s="22" t="str">
        <f>IF(MOV_CC_INTL!C122="","",MOV_CC_INTL!C122)</f>
        <v/>
      </c>
      <c r="D122" s="22" t="str">
        <f t="shared" si="1"/>
        <v>Other</v>
      </c>
      <c r="E122" s="21" t="str">
        <f>IF(C122="","",C122*CONFIG!B5)</f>
        <v/>
      </c>
    </row>
    <row r="123" ht="15.75" customHeight="1">
      <c r="A123" s="22" t="str">
        <f>IF(MOV_CC_INTL!A123="","",MOV_CC_INTL!A123)</f>
        <v/>
      </c>
      <c r="B123" s="22" t="str">
        <f>IF(MOV_CC_INTL!B123="","",MOV_CC_INTL!B123)</f>
        <v/>
      </c>
      <c r="C123" s="22" t="str">
        <f>IF(MOV_CC_INTL!C123="","",MOV_CC_INTL!C123)</f>
        <v/>
      </c>
      <c r="D123" s="22" t="str">
        <f t="shared" si="1"/>
        <v>Other</v>
      </c>
      <c r="E123" s="21" t="str">
        <f>IF(C123="","",C123*CONFIG!B5)</f>
        <v/>
      </c>
    </row>
    <row r="124" ht="15.75" customHeight="1">
      <c r="A124" s="22" t="str">
        <f>IF(MOV_CC_INTL!A124="","",MOV_CC_INTL!A124)</f>
        <v/>
      </c>
      <c r="B124" s="22" t="str">
        <f>IF(MOV_CC_INTL!B124="","",MOV_CC_INTL!B124)</f>
        <v/>
      </c>
      <c r="C124" s="22" t="str">
        <f>IF(MOV_CC_INTL!C124="","",MOV_CC_INTL!C124)</f>
        <v/>
      </c>
      <c r="D124" s="22" t="str">
        <f t="shared" si="1"/>
        <v>Other</v>
      </c>
      <c r="E124" s="21" t="str">
        <f>IF(C124="","",C124*CONFIG!B5)</f>
        <v/>
      </c>
    </row>
    <row r="125" ht="15.75" customHeight="1">
      <c r="A125" s="22" t="str">
        <f>IF(MOV_CC_INTL!A125="","",MOV_CC_INTL!A125)</f>
        <v/>
      </c>
      <c r="B125" s="22" t="str">
        <f>IF(MOV_CC_INTL!B125="","",MOV_CC_INTL!B125)</f>
        <v/>
      </c>
      <c r="C125" s="22" t="str">
        <f>IF(MOV_CC_INTL!C125="","",MOV_CC_INTL!C125)</f>
        <v/>
      </c>
      <c r="D125" s="22" t="str">
        <f t="shared" si="1"/>
        <v>Other</v>
      </c>
      <c r="E125" s="21" t="str">
        <f>IF(C125="","",C125*CONFIG!B5)</f>
        <v/>
      </c>
    </row>
    <row r="126" ht="15.75" customHeight="1">
      <c r="A126" s="22" t="str">
        <f>IF(MOV_CC_INTL!A126="","",MOV_CC_INTL!A126)</f>
        <v/>
      </c>
      <c r="B126" s="22" t="str">
        <f>IF(MOV_CC_INTL!B126="","",MOV_CC_INTL!B126)</f>
        <v/>
      </c>
      <c r="C126" s="22" t="str">
        <f>IF(MOV_CC_INTL!C126="","",MOV_CC_INTL!C126)</f>
        <v/>
      </c>
      <c r="D126" s="22" t="str">
        <f t="shared" si="1"/>
        <v>Other</v>
      </c>
      <c r="E126" s="21" t="str">
        <f>IF(C126="","",C126*CONFIG!B5)</f>
        <v/>
      </c>
    </row>
    <row r="127" ht="15.75" customHeight="1">
      <c r="A127" s="22" t="str">
        <f>IF(MOV_CC_INTL!A127="","",MOV_CC_INTL!A127)</f>
        <v/>
      </c>
      <c r="B127" s="22" t="str">
        <f>IF(MOV_CC_INTL!B127="","",MOV_CC_INTL!B127)</f>
        <v/>
      </c>
      <c r="C127" s="22" t="str">
        <f>IF(MOV_CC_INTL!C127="","",MOV_CC_INTL!C127)</f>
        <v/>
      </c>
      <c r="D127" s="22" t="str">
        <f t="shared" si="1"/>
        <v>Other</v>
      </c>
      <c r="E127" s="21" t="str">
        <f>IF(C127="","",C127*CONFIG!B5)</f>
        <v/>
      </c>
    </row>
    <row r="128" ht="15.75" customHeight="1">
      <c r="A128" s="22" t="str">
        <f>IF(MOV_CC_INTL!A128="","",MOV_CC_INTL!A128)</f>
        <v/>
      </c>
      <c r="B128" s="22" t="str">
        <f>IF(MOV_CC_INTL!B128="","",MOV_CC_INTL!B128)</f>
        <v/>
      </c>
      <c r="C128" s="22" t="str">
        <f>IF(MOV_CC_INTL!C128="","",MOV_CC_INTL!C128)</f>
        <v/>
      </c>
      <c r="D128" s="22" t="str">
        <f t="shared" si="1"/>
        <v>Other</v>
      </c>
      <c r="E128" s="21" t="str">
        <f>IF(C128="","",C128*CONFIG!B5)</f>
        <v/>
      </c>
    </row>
    <row r="129" ht="15.75" customHeight="1">
      <c r="A129" s="22" t="str">
        <f>IF(MOV_CC_INTL!A129="","",MOV_CC_INTL!A129)</f>
        <v/>
      </c>
      <c r="B129" s="22" t="str">
        <f>IF(MOV_CC_INTL!B129="","",MOV_CC_INTL!B129)</f>
        <v/>
      </c>
      <c r="C129" s="22" t="str">
        <f>IF(MOV_CC_INTL!C129="","",MOV_CC_INTL!C129)</f>
        <v/>
      </c>
      <c r="D129" s="22" t="str">
        <f t="shared" si="1"/>
        <v>Other</v>
      </c>
      <c r="E129" s="21" t="str">
        <f>IF(C129="","",C129*CONFIG!B5)</f>
        <v/>
      </c>
    </row>
    <row r="130" ht="15.75" customHeight="1">
      <c r="A130" s="22" t="str">
        <f>IF(MOV_CC_INTL!A130="","",MOV_CC_INTL!A130)</f>
        <v/>
      </c>
      <c r="B130" s="22" t="str">
        <f>IF(MOV_CC_INTL!B130="","",MOV_CC_INTL!B130)</f>
        <v/>
      </c>
      <c r="C130" s="22" t="str">
        <f>IF(MOV_CC_INTL!C130="","",MOV_CC_INTL!C130)</f>
        <v/>
      </c>
      <c r="D130" s="22" t="str">
        <f t="shared" si="1"/>
        <v>Other</v>
      </c>
      <c r="E130" s="21" t="str">
        <f>IF(C130="","",C130*CONFIG!B5)</f>
        <v/>
      </c>
    </row>
    <row r="131" ht="15.75" customHeight="1">
      <c r="A131" s="22" t="str">
        <f>IF(MOV_CC_INTL!A131="","",MOV_CC_INTL!A131)</f>
        <v/>
      </c>
      <c r="B131" s="22" t="str">
        <f>IF(MOV_CC_INTL!B131="","",MOV_CC_INTL!B131)</f>
        <v/>
      </c>
      <c r="C131" s="22" t="str">
        <f>IF(MOV_CC_INTL!C131="","",MOV_CC_INTL!C131)</f>
        <v/>
      </c>
      <c r="D131" s="22" t="str">
        <f t="shared" si="1"/>
        <v>Other</v>
      </c>
      <c r="E131" s="21" t="str">
        <f>IF(C131="","",C131*CONFIG!B5)</f>
        <v/>
      </c>
    </row>
    <row r="132" ht="15.75" customHeight="1">
      <c r="A132" s="22" t="str">
        <f>IF(MOV_CC_INTL!A132="","",MOV_CC_INTL!A132)</f>
        <v/>
      </c>
      <c r="B132" s="22" t="str">
        <f>IF(MOV_CC_INTL!B132="","",MOV_CC_INTL!B132)</f>
        <v/>
      </c>
      <c r="C132" s="22" t="str">
        <f>IF(MOV_CC_INTL!C132="","",MOV_CC_INTL!C132)</f>
        <v/>
      </c>
      <c r="D132" s="22" t="str">
        <f t="shared" si="1"/>
        <v>Other</v>
      </c>
      <c r="E132" s="21" t="str">
        <f>IF(C132="","",C132*CONFIG!B5)</f>
        <v/>
      </c>
    </row>
    <row r="133" ht="15.75" customHeight="1">
      <c r="A133" s="22" t="str">
        <f>IF(MOV_CC_INTL!A133="","",MOV_CC_INTL!A133)</f>
        <v/>
      </c>
      <c r="B133" s="22" t="str">
        <f>IF(MOV_CC_INTL!B133="","",MOV_CC_INTL!B133)</f>
        <v/>
      </c>
      <c r="C133" s="22" t="str">
        <f>IF(MOV_CC_INTL!C133="","",MOV_CC_INTL!C133)</f>
        <v/>
      </c>
      <c r="D133" s="22" t="str">
        <f t="shared" si="1"/>
        <v>Other</v>
      </c>
      <c r="E133" s="21" t="str">
        <f>IF(C133="","",C133*CONFIG!B5)</f>
        <v/>
      </c>
    </row>
    <row r="134" ht="15.75" customHeight="1">
      <c r="A134" s="22" t="str">
        <f>IF(MOV_CC_INTL!A134="","",MOV_CC_INTL!A134)</f>
        <v/>
      </c>
      <c r="B134" s="22" t="str">
        <f>IF(MOV_CC_INTL!B134="","",MOV_CC_INTL!B134)</f>
        <v/>
      </c>
      <c r="C134" s="22" t="str">
        <f>IF(MOV_CC_INTL!C134="","",MOV_CC_INTL!C134)</f>
        <v/>
      </c>
      <c r="D134" s="22" t="str">
        <f t="shared" si="1"/>
        <v>Other</v>
      </c>
      <c r="E134" s="21" t="str">
        <f>IF(C134="","",C134*CONFIG!B5)</f>
        <v/>
      </c>
    </row>
    <row r="135" ht="15.75" customHeight="1">
      <c r="A135" s="22" t="str">
        <f>IF(MOV_CC_INTL!A135="","",MOV_CC_INTL!A135)</f>
        <v/>
      </c>
      <c r="B135" s="22" t="str">
        <f>IF(MOV_CC_INTL!B135="","",MOV_CC_INTL!B135)</f>
        <v/>
      </c>
      <c r="C135" s="22" t="str">
        <f>IF(MOV_CC_INTL!C135="","",MOV_CC_INTL!C135)</f>
        <v/>
      </c>
      <c r="D135" s="22" t="str">
        <f t="shared" si="1"/>
        <v>Other</v>
      </c>
      <c r="E135" s="21" t="str">
        <f>IF(C135="","",C135*CONFIG!B5)</f>
        <v/>
      </c>
    </row>
    <row r="136" ht="15.75" customHeight="1">
      <c r="A136" s="22" t="str">
        <f>IF(MOV_CC_INTL!A136="","",MOV_CC_INTL!A136)</f>
        <v/>
      </c>
      <c r="B136" s="22" t="str">
        <f>IF(MOV_CC_INTL!B136="","",MOV_CC_INTL!B136)</f>
        <v/>
      </c>
      <c r="C136" s="22" t="str">
        <f>IF(MOV_CC_INTL!C136="","",MOV_CC_INTL!C136)</f>
        <v/>
      </c>
      <c r="D136" s="22" t="str">
        <f t="shared" si="1"/>
        <v>Other</v>
      </c>
      <c r="E136" s="21" t="str">
        <f>IF(C136="","",C136*CONFIG!B5)</f>
        <v/>
      </c>
    </row>
    <row r="137" ht="15.75" customHeight="1">
      <c r="A137" s="22" t="str">
        <f>IF(MOV_CC_INTL!A137="","",MOV_CC_INTL!A137)</f>
        <v/>
      </c>
      <c r="B137" s="22" t="str">
        <f>IF(MOV_CC_INTL!B137="","",MOV_CC_INTL!B137)</f>
        <v/>
      </c>
      <c r="C137" s="22" t="str">
        <f>IF(MOV_CC_INTL!C137="","",MOV_CC_INTL!C137)</f>
        <v/>
      </c>
      <c r="D137" s="22" t="str">
        <f t="shared" si="1"/>
        <v>Other</v>
      </c>
      <c r="E137" s="21" t="str">
        <f>IF(C137="","",C137*CONFIG!B5)</f>
        <v/>
      </c>
    </row>
    <row r="138" ht="15.75" customHeight="1">
      <c r="A138" s="22" t="str">
        <f>IF(MOV_CC_INTL!A138="","",MOV_CC_INTL!A138)</f>
        <v/>
      </c>
      <c r="B138" s="22" t="str">
        <f>IF(MOV_CC_INTL!B138="","",MOV_CC_INTL!B138)</f>
        <v/>
      </c>
      <c r="C138" s="22" t="str">
        <f>IF(MOV_CC_INTL!C138="","",MOV_CC_INTL!C138)</f>
        <v/>
      </c>
      <c r="D138" s="22" t="str">
        <f t="shared" si="1"/>
        <v>Other</v>
      </c>
      <c r="E138" s="21" t="str">
        <f>IF(C138="","",C138*CONFIG!B5)</f>
        <v/>
      </c>
    </row>
    <row r="139" ht="15.75" customHeight="1">
      <c r="A139" s="22" t="str">
        <f>IF(MOV_CC_INTL!A139="","",MOV_CC_INTL!A139)</f>
        <v/>
      </c>
      <c r="B139" s="22" t="str">
        <f>IF(MOV_CC_INTL!B139="","",MOV_CC_INTL!B139)</f>
        <v/>
      </c>
      <c r="C139" s="22" t="str">
        <f>IF(MOV_CC_INTL!C139="","",MOV_CC_INTL!C139)</f>
        <v/>
      </c>
      <c r="D139" s="22" t="str">
        <f t="shared" si="1"/>
        <v>Other</v>
      </c>
      <c r="E139" s="21" t="str">
        <f>IF(C139="","",C139*CONFIG!B5)</f>
        <v/>
      </c>
    </row>
    <row r="140" ht="15.75" customHeight="1">
      <c r="A140" s="22" t="str">
        <f>IF(MOV_CC_INTL!A140="","",MOV_CC_INTL!A140)</f>
        <v/>
      </c>
      <c r="B140" s="22" t="str">
        <f>IF(MOV_CC_INTL!B140="","",MOV_CC_INTL!B140)</f>
        <v/>
      </c>
      <c r="C140" s="22" t="str">
        <f>IF(MOV_CC_INTL!C140="","",MOV_CC_INTL!C140)</f>
        <v/>
      </c>
      <c r="D140" s="22" t="str">
        <f t="shared" si="1"/>
        <v>Other</v>
      </c>
      <c r="E140" s="21" t="str">
        <f>IF(C140="","",C140*CONFIG!B5)</f>
        <v/>
      </c>
    </row>
    <row r="141" ht="15.75" customHeight="1">
      <c r="A141" s="22" t="str">
        <f>IF(MOV_CC_INTL!A141="","",MOV_CC_INTL!A141)</f>
        <v/>
      </c>
      <c r="B141" s="22" t="str">
        <f>IF(MOV_CC_INTL!B141="","",MOV_CC_INTL!B141)</f>
        <v/>
      </c>
      <c r="C141" s="22" t="str">
        <f>IF(MOV_CC_INTL!C141="","",MOV_CC_INTL!C141)</f>
        <v/>
      </c>
      <c r="D141" s="22" t="str">
        <f t="shared" si="1"/>
        <v>Other</v>
      </c>
      <c r="E141" s="21" t="str">
        <f>IF(C141="","",C141*CONFIG!B5)</f>
        <v/>
      </c>
    </row>
    <row r="142" ht="15.75" customHeight="1">
      <c r="A142" s="22" t="str">
        <f>IF(MOV_CC_INTL!A142="","",MOV_CC_INTL!A142)</f>
        <v/>
      </c>
      <c r="B142" s="22" t="str">
        <f>IF(MOV_CC_INTL!B142="","",MOV_CC_INTL!B142)</f>
        <v/>
      </c>
      <c r="C142" s="22" t="str">
        <f>IF(MOV_CC_INTL!C142="","",MOV_CC_INTL!C142)</f>
        <v/>
      </c>
      <c r="D142" s="22" t="str">
        <f t="shared" si="1"/>
        <v>Other</v>
      </c>
      <c r="E142" s="21" t="str">
        <f>IF(C142="","",C142*CONFIG!B5)</f>
        <v/>
      </c>
    </row>
    <row r="143" ht="15.75" customHeight="1">
      <c r="A143" s="22" t="str">
        <f>IF(MOV_CC_INTL!A143="","",MOV_CC_INTL!A143)</f>
        <v/>
      </c>
      <c r="B143" s="22" t="str">
        <f>IF(MOV_CC_INTL!B143="","",MOV_CC_INTL!B143)</f>
        <v/>
      </c>
      <c r="C143" s="22" t="str">
        <f>IF(MOV_CC_INTL!C143="","",MOV_CC_INTL!C143)</f>
        <v/>
      </c>
      <c r="D143" s="22" t="str">
        <f t="shared" si="1"/>
        <v>Other</v>
      </c>
      <c r="E143" s="21" t="str">
        <f>IF(C143="","",C143*CONFIG!B5)</f>
        <v/>
      </c>
    </row>
    <row r="144" ht="15.75" customHeight="1">
      <c r="A144" s="22" t="str">
        <f>IF(MOV_CC_INTL!A144="","",MOV_CC_INTL!A144)</f>
        <v/>
      </c>
      <c r="B144" s="22" t="str">
        <f>IF(MOV_CC_INTL!B144="","",MOV_CC_INTL!B144)</f>
        <v/>
      </c>
      <c r="C144" s="22" t="str">
        <f>IF(MOV_CC_INTL!C144="","",MOV_CC_INTL!C144)</f>
        <v/>
      </c>
      <c r="D144" s="22" t="str">
        <f t="shared" si="1"/>
        <v>Other</v>
      </c>
      <c r="E144" s="21" t="str">
        <f>IF(C144="","",C144*CONFIG!B5)</f>
        <v/>
      </c>
    </row>
    <row r="145" ht="15.75" customHeight="1">
      <c r="A145" s="22" t="str">
        <f>IF(MOV_CC_INTL!A145="","",MOV_CC_INTL!A145)</f>
        <v/>
      </c>
      <c r="B145" s="22" t="str">
        <f>IF(MOV_CC_INTL!B145="","",MOV_CC_INTL!B145)</f>
        <v/>
      </c>
      <c r="C145" s="22" t="str">
        <f>IF(MOV_CC_INTL!C145="","",MOV_CC_INTL!C145)</f>
        <v/>
      </c>
      <c r="D145" s="22" t="str">
        <f t="shared" si="1"/>
        <v>Other</v>
      </c>
      <c r="E145" s="21" t="str">
        <f>IF(C145="","",C145*CONFIG!B5)</f>
        <v/>
      </c>
    </row>
    <row r="146" ht="15.75" customHeight="1">
      <c r="A146" s="22" t="str">
        <f>IF(MOV_CC_INTL!A146="","",MOV_CC_INTL!A146)</f>
        <v/>
      </c>
      <c r="B146" s="22" t="str">
        <f>IF(MOV_CC_INTL!B146="","",MOV_CC_INTL!B146)</f>
        <v/>
      </c>
      <c r="C146" s="22" t="str">
        <f>IF(MOV_CC_INTL!C146="","",MOV_CC_INTL!C146)</f>
        <v/>
      </c>
      <c r="D146" s="22" t="str">
        <f t="shared" si="1"/>
        <v>Other</v>
      </c>
      <c r="E146" s="21" t="str">
        <f>IF(C146="","",C146*CONFIG!B5)</f>
        <v/>
      </c>
    </row>
    <row r="147" ht="15.75" customHeight="1">
      <c r="A147" s="22" t="str">
        <f>IF(MOV_CC_INTL!A147="","",MOV_CC_INTL!A147)</f>
        <v/>
      </c>
      <c r="B147" s="22" t="str">
        <f>IF(MOV_CC_INTL!B147="","",MOV_CC_INTL!B147)</f>
        <v/>
      </c>
      <c r="C147" s="22" t="str">
        <f>IF(MOV_CC_INTL!C147="","",MOV_CC_INTL!C147)</f>
        <v/>
      </c>
      <c r="D147" s="22" t="str">
        <f t="shared" si="1"/>
        <v>Other</v>
      </c>
      <c r="E147" s="21" t="str">
        <f>IF(C147="","",C147*CONFIG!B5)</f>
        <v/>
      </c>
    </row>
    <row r="148" ht="15.75" customHeight="1">
      <c r="A148" s="22" t="str">
        <f>IF(MOV_CC_INTL!A148="","",MOV_CC_INTL!A148)</f>
        <v/>
      </c>
      <c r="B148" s="22" t="str">
        <f>IF(MOV_CC_INTL!B148="","",MOV_CC_INTL!B148)</f>
        <v/>
      </c>
      <c r="C148" s="22" t="str">
        <f>IF(MOV_CC_INTL!C148="","",MOV_CC_INTL!C148)</f>
        <v/>
      </c>
      <c r="D148" s="22" t="str">
        <f t="shared" si="1"/>
        <v>Other</v>
      </c>
      <c r="E148" s="21" t="str">
        <f>IF(C148="","",C148*CONFIG!B5)</f>
        <v/>
      </c>
    </row>
    <row r="149" ht="15.75" customHeight="1">
      <c r="A149" s="22" t="str">
        <f>IF(MOV_CC_INTL!A149="","",MOV_CC_INTL!A149)</f>
        <v/>
      </c>
      <c r="B149" s="22" t="str">
        <f>IF(MOV_CC_INTL!B149="","",MOV_CC_INTL!B149)</f>
        <v/>
      </c>
      <c r="C149" s="22" t="str">
        <f>IF(MOV_CC_INTL!C149="","",MOV_CC_INTL!C149)</f>
        <v/>
      </c>
      <c r="D149" s="22" t="str">
        <f t="shared" si="1"/>
        <v>Other</v>
      </c>
      <c r="E149" s="21" t="str">
        <f>IF(C149="","",C149*CONFIG!B5)</f>
        <v/>
      </c>
    </row>
    <row r="150" ht="15.75" customHeight="1">
      <c r="A150" s="22" t="str">
        <f>IF(MOV_CC_INTL!A150="","",MOV_CC_INTL!A150)</f>
        <v/>
      </c>
      <c r="B150" s="22" t="str">
        <f>IF(MOV_CC_INTL!B150="","",MOV_CC_INTL!B150)</f>
        <v/>
      </c>
      <c r="C150" s="22" t="str">
        <f>IF(MOV_CC_INTL!C150="","",MOV_CC_INTL!C150)</f>
        <v/>
      </c>
      <c r="D150" s="22" t="str">
        <f t="shared" si="1"/>
        <v>Other</v>
      </c>
      <c r="E150" s="21" t="str">
        <f>IF(C150="","",C150*CONFIG!B5)</f>
        <v/>
      </c>
    </row>
    <row r="151" ht="15.75" customHeight="1">
      <c r="A151" s="22" t="str">
        <f>IF(MOV_CC_INTL!A151="","",MOV_CC_INTL!A151)</f>
        <v/>
      </c>
      <c r="B151" s="22" t="str">
        <f>IF(MOV_CC_INTL!B151="","",MOV_CC_INTL!B151)</f>
        <v/>
      </c>
      <c r="C151" s="22" t="str">
        <f>IF(MOV_CC_INTL!C151="","",MOV_CC_INTL!C151)</f>
        <v/>
      </c>
      <c r="D151" s="22" t="str">
        <f t="shared" si="1"/>
        <v>Other</v>
      </c>
      <c r="E151" s="21" t="str">
        <f>IF(C151="","",C151*CONFIG!B5)</f>
        <v/>
      </c>
    </row>
    <row r="152" ht="15.75" customHeight="1">
      <c r="A152" s="22" t="str">
        <f>IF(MOV_CC_INTL!A152="","",MOV_CC_INTL!A152)</f>
        <v/>
      </c>
      <c r="B152" s="22" t="str">
        <f>IF(MOV_CC_INTL!B152="","",MOV_CC_INTL!B152)</f>
        <v/>
      </c>
      <c r="C152" s="22" t="str">
        <f>IF(MOV_CC_INTL!C152="","",MOV_CC_INTL!C152)</f>
        <v/>
      </c>
      <c r="D152" s="22" t="str">
        <f t="shared" si="1"/>
        <v>Other</v>
      </c>
      <c r="E152" s="21" t="str">
        <f>IF(C152="","",C152*CONFIG!B5)</f>
        <v/>
      </c>
    </row>
    <row r="153" ht="15.75" customHeight="1">
      <c r="A153" s="22" t="str">
        <f>IF(MOV_CC_INTL!A153="","",MOV_CC_INTL!A153)</f>
        <v/>
      </c>
      <c r="B153" s="22" t="str">
        <f>IF(MOV_CC_INTL!B153="","",MOV_CC_INTL!B153)</f>
        <v/>
      </c>
      <c r="C153" s="22" t="str">
        <f>IF(MOV_CC_INTL!C153="","",MOV_CC_INTL!C153)</f>
        <v/>
      </c>
      <c r="D153" s="22" t="str">
        <f t="shared" si="1"/>
        <v>Other</v>
      </c>
      <c r="E153" s="21" t="str">
        <f>IF(C153="","",C153*CONFIG!B5)</f>
        <v/>
      </c>
    </row>
    <row r="154" ht="15.75" customHeight="1">
      <c r="A154" s="22" t="str">
        <f>IF(MOV_CC_INTL!A154="","",MOV_CC_INTL!A154)</f>
        <v/>
      </c>
      <c r="B154" s="22" t="str">
        <f>IF(MOV_CC_INTL!B154="","",MOV_CC_INTL!B154)</f>
        <v/>
      </c>
      <c r="C154" s="22" t="str">
        <f>IF(MOV_CC_INTL!C154="","",MOV_CC_INTL!C154)</f>
        <v/>
      </c>
      <c r="D154" s="22" t="str">
        <f t="shared" si="1"/>
        <v>Other</v>
      </c>
      <c r="E154" s="21" t="str">
        <f>IF(C154="","",C154*CONFIG!B5)</f>
        <v/>
      </c>
    </row>
    <row r="155" ht="15.75" customHeight="1">
      <c r="A155" s="22" t="str">
        <f>IF(MOV_CC_INTL!A155="","",MOV_CC_INTL!A155)</f>
        <v/>
      </c>
      <c r="B155" s="22" t="str">
        <f>IF(MOV_CC_INTL!B155="","",MOV_CC_INTL!B155)</f>
        <v/>
      </c>
      <c r="C155" s="22" t="str">
        <f>IF(MOV_CC_INTL!C155="","",MOV_CC_INTL!C155)</f>
        <v/>
      </c>
      <c r="D155" s="22" t="str">
        <f t="shared" si="1"/>
        <v>Other</v>
      </c>
      <c r="E155" s="21" t="str">
        <f>IF(C155="","",C155*CONFIG!B5)</f>
        <v/>
      </c>
    </row>
    <row r="156" ht="15.75" customHeight="1">
      <c r="A156" s="22" t="str">
        <f>IF(MOV_CC_INTL!A156="","",MOV_CC_INTL!A156)</f>
        <v/>
      </c>
      <c r="B156" s="22" t="str">
        <f>IF(MOV_CC_INTL!B156="","",MOV_CC_INTL!B156)</f>
        <v/>
      </c>
      <c r="C156" s="22" t="str">
        <f>IF(MOV_CC_INTL!C156="","",MOV_CC_INTL!C156)</f>
        <v/>
      </c>
      <c r="D156" s="22" t="str">
        <f t="shared" si="1"/>
        <v>Other</v>
      </c>
      <c r="E156" s="21" t="str">
        <f>IF(C156="","",C156*CONFIG!B5)</f>
        <v/>
      </c>
    </row>
    <row r="157" ht="15.75" customHeight="1">
      <c r="A157" s="22" t="str">
        <f>IF(MOV_CC_INTL!A157="","",MOV_CC_INTL!A157)</f>
        <v/>
      </c>
      <c r="B157" s="22" t="str">
        <f>IF(MOV_CC_INTL!B157="","",MOV_CC_INTL!B157)</f>
        <v/>
      </c>
      <c r="C157" s="22" t="str">
        <f>IF(MOV_CC_INTL!C157="","",MOV_CC_INTL!C157)</f>
        <v/>
      </c>
      <c r="D157" s="22" t="str">
        <f t="shared" si="1"/>
        <v>Other</v>
      </c>
      <c r="E157" s="21" t="str">
        <f>IF(C157="","",C157*CONFIG!B5)</f>
        <v/>
      </c>
    </row>
    <row r="158" ht="15.75" customHeight="1">
      <c r="A158" s="22" t="str">
        <f>IF(MOV_CC_INTL!A158="","",MOV_CC_INTL!A158)</f>
        <v/>
      </c>
      <c r="B158" s="22" t="str">
        <f>IF(MOV_CC_INTL!B158="","",MOV_CC_INTL!B158)</f>
        <v/>
      </c>
      <c r="C158" s="22" t="str">
        <f>IF(MOV_CC_INTL!C158="","",MOV_CC_INTL!C158)</f>
        <v/>
      </c>
      <c r="D158" s="22" t="str">
        <f t="shared" si="1"/>
        <v>Other</v>
      </c>
      <c r="E158" s="21" t="str">
        <f>IF(C158="","",C158*CONFIG!B5)</f>
        <v/>
      </c>
    </row>
    <row r="159" ht="15.75" customHeight="1">
      <c r="A159" s="22" t="str">
        <f>IF(MOV_CC_INTL!A159="","",MOV_CC_INTL!A159)</f>
        <v/>
      </c>
      <c r="B159" s="22" t="str">
        <f>IF(MOV_CC_INTL!B159="","",MOV_CC_INTL!B159)</f>
        <v/>
      </c>
      <c r="C159" s="22" t="str">
        <f>IF(MOV_CC_INTL!C159="","",MOV_CC_INTL!C159)</f>
        <v/>
      </c>
      <c r="D159" s="22" t="str">
        <f t="shared" si="1"/>
        <v>Other</v>
      </c>
      <c r="E159" s="21" t="str">
        <f>IF(C159="","",C159*CONFIG!B5)</f>
        <v/>
      </c>
    </row>
    <row r="160" ht="15.75" customHeight="1">
      <c r="A160" s="22" t="str">
        <f>IF(MOV_CC_INTL!A160="","",MOV_CC_INTL!A160)</f>
        <v/>
      </c>
      <c r="B160" s="22" t="str">
        <f>IF(MOV_CC_INTL!B160="","",MOV_CC_INTL!B160)</f>
        <v/>
      </c>
      <c r="C160" s="22" t="str">
        <f>IF(MOV_CC_INTL!C160="","",MOV_CC_INTL!C160)</f>
        <v/>
      </c>
      <c r="D160" s="22" t="str">
        <f t="shared" si="1"/>
        <v>Other</v>
      </c>
      <c r="E160" s="21" t="str">
        <f>IF(C160="","",C160*CONFIG!B5)</f>
        <v/>
      </c>
    </row>
    <row r="161" ht="15.75" customHeight="1">
      <c r="A161" s="22" t="str">
        <f>IF(MOV_CC_INTL!A161="","",MOV_CC_INTL!A161)</f>
        <v/>
      </c>
      <c r="B161" s="22" t="str">
        <f>IF(MOV_CC_INTL!B161="","",MOV_CC_INTL!B161)</f>
        <v/>
      </c>
      <c r="C161" s="22" t="str">
        <f>IF(MOV_CC_INTL!C161="","",MOV_CC_INTL!C161)</f>
        <v/>
      </c>
      <c r="D161" s="22" t="str">
        <f t="shared" si="1"/>
        <v>Other</v>
      </c>
      <c r="E161" s="21" t="str">
        <f>IF(C161="","",C161*CONFIG!B5)</f>
        <v/>
      </c>
    </row>
    <row r="162" ht="15.75" customHeight="1">
      <c r="A162" s="22" t="str">
        <f>IF(MOV_CC_INTL!A162="","",MOV_CC_INTL!A162)</f>
        <v/>
      </c>
      <c r="B162" s="22" t="str">
        <f>IF(MOV_CC_INTL!B162="","",MOV_CC_INTL!B162)</f>
        <v/>
      </c>
      <c r="C162" s="22" t="str">
        <f>IF(MOV_CC_INTL!C162="","",MOV_CC_INTL!C162)</f>
        <v/>
      </c>
      <c r="D162" s="22" t="str">
        <f t="shared" si="1"/>
        <v>Other</v>
      </c>
      <c r="E162" s="21" t="str">
        <f>IF(C162="","",C162*CONFIG!B5)</f>
        <v/>
      </c>
    </row>
    <row r="163" ht="15.75" customHeight="1">
      <c r="A163" s="22" t="str">
        <f>IF(MOV_CC_INTL!A163="","",MOV_CC_INTL!A163)</f>
        <v/>
      </c>
      <c r="B163" s="22" t="str">
        <f>IF(MOV_CC_INTL!B163="","",MOV_CC_INTL!B163)</f>
        <v/>
      </c>
      <c r="C163" s="22" t="str">
        <f>IF(MOV_CC_INTL!C163="","",MOV_CC_INTL!C163)</f>
        <v/>
      </c>
      <c r="D163" s="22" t="str">
        <f t="shared" si="1"/>
        <v>Other</v>
      </c>
      <c r="E163" s="21" t="str">
        <f>IF(C163="","",C163*CONFIG!B5)</f>
        <v/>
      </c>
    </row>
    <row r="164" ht="15.75" customHeight="1">
      <c r="A164" s="22" t="str">
        <f>IF(MOV_CC_INTL!A164="","",MOV_CC_INTL!A164)</f>
        <v/>
      </c>
      <c r="B164" s="22" t="str">
        <f>IF(MOV_CC_INTL!B164="","",MOV_CC_INTL!B164)</f>
        <v/>
      </c>
      <c r="C164" s="22" t="str">
        <f>IF(MOV_CC_INTL!C164="","",MOV_CC_INTL!C164)</f>
        <v/>
      </c>
      <c r="D164" s="22" t="str">
        <f t="shared" si="1"/>
        <v>Other</v>
      </c>
      <c r="E164" s="21" t="str">
        <f>IF(C164="","",C164*CONFIG!B5)</f>
        <v/>
      </c>
    </row>
    <row r="165" ht="15.75" customHeight="1">
      <c r="A165" s="22" t="str">
        <f>IF(MOV_CC_INTL!A165="","",MOV_CC_INTL!A165)</f>
        <v/>
      </c>
      <c r="B165" s="22" t="str">
        <f>IF(MOV_CC_INTL!B165="","",MOV_CC_INTL!B165)</f>
        <v/>
      </c>
      <c r="C165" s="22" t="str">
        <f>IF(MOV_CC_INTL!C165="","",MOV_CC_INTL!C165)</f>
        <v/>
      </c>
      <c r="D165" s="22" t="str">
        <f t="shared" si="1"/>
        <v>Other</v>
      </c>
      <c r="E165" s="21" t="str">
        <f>IF(C165="","",C165*CONFIG!B5)</f>
        <v/>
      </c>
    </row>
    <row r="166" ht="15.75" customHeight="1">
      <c r="A166" s="22" t="str">
        <f>IF(MOV_CC_INTL!A166="","",MOV_CC_INTL!A166)</f>
        <v/>
      </c>
      <c r="B166" s="22" t="str">
        <f>IF(MOV_CC_INTL!B166="","",MOV_CC_INTL!B166)</f>
        <v/>
      </c>
      <c r="C166" s="22" t="str">
        <f>IF(MOV_CC_INTL!C166="","",MOV_CC_INTL!C166)</f>
        <v/>
      </c>
      <c r="D166" s="22" t="str">
        <f t="shared" si="1"/>
        <v>Other</v>
      </c>
      <c r="E166" s="21" t="str">
        <f>IF(C166="","",C166*CONFIG!B5)</f>
        <v/>
      </c>
    </row>
    <row r="167" ht="15.75" customHeight="1">
      <c r="A167" s="22" t="str">
        <f>IF(MOV_CC_INTL!A167="","",MOV_CC_INTL!A167)</f>
        <v/>
      </c>
      <c r="B167" s="22" t="str">
        <f>IF(MOV_CC_INTL!B167="","",MOV_CC_INTL!B167)</f>
        <v/>
      </c>
      <c r="C167" s="22" t="str">
        <f>IF(MOV_CC_INTL!C167="","",MOV_CC_INTL!C167)</f>
        <v/>
      </c>
      <c r="D167" s="22" t="str">
        <f t="shared" si="1"/>
        <v>Other</v>
      </c>
      <c r="E167" s="21" t="str">
        <f>IF(C167="","",C167*CONFIG!B5)</f>
        <v/>
      </c>
    </row>
    <row r="168" ht="15.75" customHeight="1">
      <c r="A168" s="22" t="str">
        <f>IF(MOV_CC_INTL!A168="","",MOV_CC_INTL!A168)</f>
        <v/>
      </c>
      <c r="B168" s="22" t="str">
        <f>IF(MOV_CC_INTL!B168="","",MOV_CC_INTL!B168)</f>
        <v/>
      </c>
      <c r="C168" s="22" t="str">
        <f>IF(MOV_CC_INTL!C168="","",MOV_CC_INTL!C168)</f>
        <v/>
      </c>
      <c r="D168" s="22" t="str">
        <f t="shared" si="1"/>
        <v>Other</v>
      </c>
      <c r="E168" s="21" t="str">
        <f>IF(C168="","",C168*CONFIG!B5)</f>
        <v/>
      </c>
    </row>
    <row r="169" ht="15.75" customHeight="1">
      <c r="A169" s="22" t="str">
        <f>IF(MOV_CC_INTL!A169="","",MOV_CC_INTL!A169)</f>
        <v/>
      </c>
      <c r="B169" s="22" t="str">
        <f>IF(MOV_CC_INTL!B169="","",MOV_CC_INTL!B169)</f>
        <v/>
      </c>
      <c r="C169" s="22" t="str">
        <f>IF(MOV_CC_INTL!C169="","",MOV_CC_INTL!C169)</f>
        <v/>
      </c>
      <c r="D169" s="22" t="str">
        <f t="shared" si="1"/>
        <v>Other</v>
      </c>
      <c r="E169" s="21" t="str">
        <f>IF(C169="","",C169*CONFIG!B5)</f>
        <v/>
      </c>
    </row>
    <row r="170" ht="15.75" customHeight="1">
      <c r="A170" s="22" t="str">
        <f>IF(MOV_CC_INTL!A170="","",MOV_CC_INTL!A170)</f>
        <v/>
      </c>
      <c r="B170" s="22" t="str">
        <f>IF(MOV_CC_INTL!B170="","",MOV_CC_INTL!B170)</f>
        <v/>
      </c>
      <c r="C170" s="22" t="str">
        <f>IF(MOV_CC_INTL!C170="","",MOV_CC_INTL!C170)</f>
        <v/>
      </c>
      <c r="D170" s="22" t="str">
        <f t="shared" si="1"/>
        <v>Other</v>
      </c>
      <c r="E170" s="21" t="str">
        <f>IF(C170="","",C170*CONFIG!B5)</f>
        <v/>
      </c>
    </row>
    <row r="171" ht="15.75" customHeight="1">
      <c r="A171" s="22" t="str">
        <f>IF(MOV_CC_INTL!A171="","",MOV_CC_INTL!A171)</f>
        <v/>
      </c>
      <c r="B171" s="22" t="str">
        <f>IF(MOV_CC_INTL!B171="","",MOV_CC_INTL!B171)</f>
        <v/>
      </c>
      <c r="C171" s="22" t="str">
        <f>IF(MOV_CC_INTL!C171="","",MOV_CC_INTL!C171)</f>
        <v/>
      </c>
      <c r="D171" s="22" t="str">
        <f t="shared" si="1"/>
        <v>Other</v>
      </c>
      <c r="E171" s="21" t="str">
        <f>IF(C171="","",C171*CONFIG!B5)</f>
        <v/>
      </c>
    </row>
    <row r="172" ht="15.75" customHeight="1">
      <c r="A172" s="22" t="str">
        <f>IF(MOV_CC_INTL!A172="","",MOV_CC_INTL!A172)</f>
        <v/>
      </c>
      <c r="B172" s="22" t="str">
        <f>IF(MOV_CC_INTL!B172="","",MOV_CC_INTL!B172)</f>
        <v/>
      </c>
      <c r="C172" s="22" t="str">
        <f>IF(MOV_CC_INTL!C172="","",MOV_CC_INTL!C172)</f>
        <v/>
      </c>
      <c r="D172" s="22" t="str">
        <f t="shared" si="1"/>
        <v>Other</v>
      </c>
      <c r="E172" s="21" t="str">
        <f>IF(C172="","",C172*CONFIG!B5)</f>
        <v/>
      </c>
    </row>
    <row r="173" ht="15.75" customHeight="1">
      <c r="A173" s="22" t="str">
        <f>IF(MOV_CC_INTL!A173="","",MOV_CC_INTL!A173)</f>
        <v/>
      </c>
      <c r="B173" s="22" t="str">
        <f>IF(MOV_CC_INTL!B173="","",MOV_CC_INTL!B173)</f>
        <v/>
      </c>
      <c r="C173" s="22" t="str">
        <f>IF(MOV_CC_INTL!C173="","",MOV_CC_INTL!C173)</f>
        <v/>
      </c>
      <c r="D173" s="22" t="str">
        <f t="shared" si="1"/>
        <v>Other</v>
      </c>
      <c r="E173" s="21" t="str">
        <f>IF(C173="","",C173*CONFIG!B5)</f>
        <v/>
      </c>
    </row>
    <row r="174" ht="15.75" customHeight="1">
      <c r="A174" s="22" t="str">
        <f>IF(MOV_CC_INTL!A174="","",MOV_CC_INTL!A174)</f>
        <v/>
      </c>
      <c r="B174" s="22" t="str">
        <f>IF(MOV_CC_INTL!B174="","",MOV_CC_INTL!B174)</f>
        <v/>
      </c>
      <c r="C174" s="22" t="str">
        <f>IF(MOV_CC_INTL!C174="","",MOV_CC_INTL!C174)</f>
        <v/>
      </c>
      <c r="D174" s="22" t="str">
        <f t="shared" si="1"/>
        <v>Other</v>
      </c>
      <c r="E174" s="21" t="str">
        <f>IF(C174="","",C174*CONFIG!B5)</f>
        <v/>
      </c>
    </row>
    <row r="175" ht="15.75" customHeight="1">
      <c r="A175" s="22" t="str">
        <f>IF(MOV_CC_INTL!A175="","",MOV_CC_INTL!A175)</f>
        <v/>
      </c>
      <c r="B175" s="22" t="str">
        <f>IF(MOV_CC_INTL!B175="","",MOV_CC_INTL!B175)</f>
        <v/>
      </c>
      <c r="C175" s="22" t="str">
        <f>IF(MOV_CC_INTL!C175="","",MOV_CC_INTL!C175)</f>
        <v/>
      </c>
      <c r="D175" s="22" t="str">
        <f t="shared" si="1"/>
        <v>Other</v>
      </c>
      <c r="E175" s="21" t="str">
        <f>IF(C175="","",C175*CONFIG!B5)</f>
        <v/>
      </c>
    </row>
    <row r="176" ht="15.75" customHeight="1">
      <c r="A176" s="22" t="str">
        <f>IF(MOV_CC_INTL!A176="","",MOV_CC_INTL!A176)</f>
        <v/>
      </c>
      <c r="B176" s="22" t="str">
        <f>IF(MOV_CC_INTL!B176="","",MOV_CC_INTL!B176)</f>
        <v/>
      </c>
      <c r="C176" s="22" t="str">
        <f>IF(MOV_CC_INTL!C176="","",MOV_CC_INTL!C176)</f>
        <v/>
      </c>
      <c r="D176" s="22" t="str">
        <f t="shared" si="1"/>
        <v>Other</v>
      </c>
      <c r="E176" s="21" t="str">
        <f>IF(C176="","",C176*CONFIG!B5)</f>
        <v/>
      </c>
    </row>
    <row r="177" ht="15.75" customHeight="1">
      <c r="A177" s="22" t="str">
        <f>IF(MOV_CC_INTL!A177="","",MOV_CC_INTL!A177)</f>
        <v/>
      </c>
      <c r="B177" s="22" t="str">
        <f>IF(MOV_CC_INTL!B177="","",MOV_CC_INTL!B177)</f>
        <v/>
      </c>
      <c r="C177" s="22" t="str">
        <f>IF(MOV_CC_INTL!C177="","",MOV_CC_INTL!C177)</f>
        <v/>
      </c>
      <c r="D177" s="22" t="str">
        <f t="shared" si="1"/>
        <v>Other</v>
      </c>
      <c r="E177" s="21" t="str">
        <f>IF(C177="","",C177*CONFIG!B5)</f>
        <v/>
      </c>
    </row>
    <row r="178" ht="15.75" customHeight="1">
      <c r="A178" s="22" t="str">
        <f>IF(MOV_CC_INTL!A178="","",MOV_CC_INTL!A178)</f>
        <v/>
      </c>
      <c r="B178" s="22" t="str">
        <f>IF(MOV_CC_INTL!B178="","",MOV_CC_INTL!B178)</f>
        <v/>
      </c>
      <c r="C178" s="22" t="str">
        <f>IF(MOV_CC_INTL!C178="","",MOV_CC_INTL!C178)</f>
        <v/>
      </c>
      <c r="D178" s="22" t="str">
        <f t="shared" si="1"/>
        <v>Other</v>
      </c>
      <c r="E178" s="21" t="str">
        <f>IF(C178="","",C178*CONFIG!B5)</f>
        <v/>
      </c>
    </row>
    <row r="179" ht="15.75" customHeight="1">
      <c r="A179" s="22" t="str">
        <f>IF(MOV_CC_INTL!A179="","",MOV_CC_INTL!A179)</f>
        <v/>
      </c>
      <c r="B179" s="22" t="str">
        <f>IF(MOV_CC_INTL!B179="","",MOV_CC_INTL!B179)</f>
        <v/>
      </c>
      <c r="C179" s="22" t="str">
        <f>IF(MOV_CC_INTL!C179="","",MOV_CC_INTL!C179)</f>
        <v/>
      </c>
      <c r="D179" s="22" t="str">
        <f t="shared" si="1"/>
        <v>Other</v>
      </c>
      <c r="E179" s="21" t="str">
        <f>IF(C179="","",C179*CONFIG!B5)</f>
        <v/>
      </c>
    </row>
    <row r="180" ht="15.75" customHeight="1">
      <c r="A180" s="22" t="str">
        <f>IF(MOV_CC_INTL!A180="","",MOV_CC_INTL!A180)</f>
        <v/>
      </c>
      <c r="B180" s="22" t="str">
        <f>IF(MOV_CC_INTL!B180="","",MOV_CC_INTL!B180)</f>
        <v/>
      </c>
      <c r="C180" s="22" t="str">
        <f>IF(MOV_CC_INTL!C180="","",MOV_CC_INTL!C180)</f>
        <v/>
      </c>
      <c r="D180" s="22" t="str">
        <f t="shared" si="1"/>
        <v>Other</v>
      </c>
      <c r="E180" s="21" t="str">
        <f>IF(C180="","",C180*CONFIG!B5)</f>
        <v/>
      </c>
    </row>
    <row r="181" ht="15.75" customHeight="1">
      <c r="A181" s="22" t="str">
        <f>IF(MOV_CC_INTL!A181="","",MOV_CC_INTL!A181)</f>
        <v/>
      </c>
      <c r="B181" s="22" t="str">
        <f>IF(MOV_CC_INTL!B181="","",MOV_CC_INTL!B181)</f>
        <v/>
      </c>
      <c r="C181" s="22" t="str">
        <f>IF(MOV_CC_INTL!C181="","",MOV_CC_INTL!C181)</f>
        <v/>
      </c>
      <c r="D181" s="22" t="str">
        <f t="shared" si="1"/>
        <v>Other</v>
      </c>
      <c r="E181" s="21" t="str">
        <f>IF(C181="","",C181*CONFIG!B5)</f>
        <v/>
      </c>
    </row>
    <row r="182" ht="15.75" customHeight="1">
      <c r="A182" s="22" t="str">
        <f>IF(MOV_CC_INTL!A182="","",MOV_CC_INTL!A182)</f>
        <v/>
      </c>
      <c r="B182" s="22" t="str">
        <f>IF(MOV_CC_INTL!B182="","",MOV_CC_INTL!B182)</f>
        <v/>
      </c>
      <c r="C182" s="22" t="str">
        <f>IF(MOV_CC_INTL!C182="","",MOV_CC_INTL!C182)</f>
        <v/>
      </c>
      <c r="D182" s="22" t="str">
        <f t="shared" si="1"/>
        <v>Other</v>
      </c>
      <c r="E182" s="21" t="str">
        <f>IF(C182="","",C182*CONFIG!B5)</f>
        <v/>
      </c>
    </row>
    <row r="183" ht="15.75" customHeight="1">
      <c r="A183" s="22" t="str">
        <f>IF(MOV_CC_INTL!A183="","",MOV_CC_INTL!A183)</f>
        <v/>
      </c>
      <c r="B183" s="22" t="str">
        <f>IF(MOV_CC_INTL!B183="","",MOV_CC_INTL!B183)</f>
        <v/>
      </c>
      <c r="C183" s="22" t="str">
        <f>IF(MOV_CC_INTL!C183="","",MOV_CC_INTL!C183)</f>
        <v/>
      </c>
      <c r="D183" s="22" t="str">
        <f t="shared" si="1"/>
        <v>Other</v>
      </c>
      <c r="E183" s="21" t="str">
        <f>IF(C183="","",C183*CONFIG!B5)</f>
        <v/>
      </c>
    </row>
    <row r="184" ht="15.75" customHeight="1">
      <c r="A184" s="22" t="str">
        <f>IF(MOV_CC_INTL!A184="","",MOV_CC_INTL!A184)</f>
        <v/>
      </c>
      <c r="B184" s="22" t="str">
        <f>IF(MOV_CC_INTL!B184="","",MOV_CC_INTL!B184)</f>
        <v/>
      </c>
      <c r="C184" s="22" t="str">
        <f>IF(MOV_CC_INTL!C184="","",MOV_CC_INTL!C184)</f>
        <v/>
      </c>
      <c r="D184" s="22" t="str">
        <f t="shared" si="1"/>
        <v>Other</v>
      </c>
      <c r="E184" s="21" t="str">
        <f>IF(C184="","",C184*CONFIG!B5)</f>
        <v/>
      </c>
    </row>
    <row r="185" ht="15.75" customHeight="1">
      <c r="A185" s="22" t="str">
        <f>IF(MOV_CC_INTL!A185="","",MOV_CC_INTL!A185)</f>
        <v/>
      </c>
      <c r="B185" s="22" t="str">
        <f>IF(MOV_CC_INTL!B185="","",MOV_CC_INTL!B185)</f>
        <v/>
      </c>
      <c r="C185" s="22" t="str">
        <f>IF(MOV_CC_INTL!C185="","",MOV_CC_INTL!C185)</f>
        <v/>
      </c>
      <c r="D185" s="22" t="str">
        <f t="shared" si="1"/>
        <v>Other</v>
      </c>
      <c r="E185" s="21" t="str">
        <f>IF(C185="","",C185*CONFIG!B5)</f>
        <v/>
      </c>
    </row>
    <row r="186" ht="15.75" customHeight="1">
      <c r="A186" s="22" t="str">
        <f>IF(MOV_CC_INTL!A186="","",MOV_CC_INTL!A186)</f>
        <v/>
      </c>
      <c r="B186" s="22" t="str">
        <f>IF(MOV_CC_INTL!B186="","",MOV_CC_INTL!B186)</f>
        <v/>
      </c>
      <c r="C186" s="22" t="str">
        <f>IF(MOV_CC_INTL!C186="","",MOV_CC_INTL!C186)</f>
        <v/>
      </c>
      <c r="D186" s="22" t="str">
        <f t="shared" si="1"/>
        <v>Other</v>
      </c>
      <c r="E186" s="21" t="str">
        <f>IF(C186="","",C186*CONFIG!B5)</f>
        <v/>
      </c>
    </row>
    <row r="187" ht="15.75" customHeight="1">
      <c r="A187" s="22" t="str">
        <f>IF(MOV_CC_INTL!A187="","",MOV_CC_INTL!A187)</f>
        <v/>
      </c>
      <c r="B187" s="22" t="str">
        <f>IF(MOV_CC_INTL!B187="","",MOV_CC_INTL!B187)</f>
        <v/>
      </c>
      <c r="C187" s="22" t="str">
        <f>IF(MOV_CC_INTL!C187="","",MOV_CC_INTL!C187)</f>
        <v/>
      </c>
      <c r="D187" s="22" t="str">
        <f t="shared" si="1"/>
        <v>Other</v>
      </c>
      <c r="E187" s="21" t="str">
        <f>IF(C187="","",C187*CONFIG!B5)</f>
        <v/>
      </c>
    </row>
    <row r="188" ht="15.75" customHeight="1">
      <c r="A188" s="22" t="str">
        <f>IF(MOV_CC_INTL!A188="","",MOV_CC_INTL!A188)</f>
        <v/>
      </c>
      <c r="B188" s="22" t="str">
        <f>IF(MOV_CC_INTL!B188="","",MOV_CC_INTL!B188)</f>
        <v/>
      </c>
      <c r="C188" s="22" t="str">
        <f>IF(MOV_CC_INTL!C188="","",MOV_CC_INTL!C188)</f>
        <v/>
      </c>
      <c r="D188" s="22" t="str">
        <f t="shared" si="1"/>
        <v>Other</v>
      </c>
      <c r="E188" s="21" t="str">
        <f>IF(C188="","",C188*CONFIG!B5)</f>
        <v/>
      </c>
    </row>
    <row r="189" ht="15.75" customHeight="1">
      <c r="A189" s="22" t="str">
        <f>IF(MOV_CC_INTL!A189="","",MOV_CC_INTL!A189)</f>
        <v/>
      </c>
      <c r="B189" s="22" t="str">
        <f>IF(MOV_CC_INTL!B189="","",MOV_CC_INTL!B189)</f>
        <v/>
      </c>
      <c r="C189" s="22" t="str">
        <f>IF(MOV_CC_INTL!C189="","",MOV_CC_INTL!C189)</f>
        <v/>
      </c>
      <c r="D189" s="22" t="str">
        <f t="shared" si="1"/>
        <v>Other</v>
      </c>
      <c r="E189" s="21" t="str">
        <f>IF(C189="","",C189*CONFIG!B5)</f>
        <v/>
      </c>
    </row>
    <row r="190" ht="15.75" customHeight="1">
      <c r="A190" s="22" t="str">
        <f>IF(MOV_CC_INTL!A190="","",MOV_CC_INTL!A190)</f>
        <v/>
      </c>
      <c r="B190" s="22" t="str">
        <f>IF(MOV_CC_INTL!B190="","",MOV_CC_INTL!B190)</f>
        <v/>
      </c>
      <c r="C190" s="22" t="str">
        <f>IF(MOV_CC_INTL!C190="","",MOV_CC_INTL!C190)</f>
        <v/>
      </c>
      <c r="D190" s="22" t="str">
        <f t="shared" si="1"/>
        <v>Other</v>
      </c>
      <c r="E190" s="21" t="str">
        <f>IF(C190="","",C190*CONFIG!B5)</f>
        <v/>
      </c>
    </row>
    <row r="191" ht="15.75" customHeight="1">
      <c r="A191" s="22" t="str">
        <f>IF(MOV_CC_INTL!A191="","",MOV_CC_INTL!A191)</f>
        <v/>
      </c>
      <c r="B191" s="22" t="str">
        <f>IF(MOV_CC_INTL!B191="","",MOV_CC_INTL!B191)</f>
        <v/>
      </c>
      <c r="C191" s="22" t="str">
        <f>IF(MOV_CC_INTL!C191="","",MOV_CC_INTL!C191)</f>
        <v/>
      </c>
      <c r="D191" s="22" t="str">
        <f t="shared" si="1"/>
        <v>Other</v>
      </c>
      <c r="E191" s="21" t="str">
        <f>IF(C191="","",C191*CONFIG!B5)</f>
        <v/>
      </c>
    </row>
    <row r="192" ht="15.75" customHeight="1">
      <c r="A192" s="22" t="str">
        <f>IF(MOV_CC_INTL!A192="","",MOV_CC_INTL!A192)</f>
        <v/>
      </c>
      <c r="B192" s="22" t="str">
        <f>IF(MOV_CC_INTL!B192="","",MOV_CC_INTL!B192)</f>
        <v/>
      </c>
      <c r="C192" s="22" t="str">
        <f>IF(MOV_CC_INTL!C192="","",MOV_CC_INTL!C192)</f>
        <v/>
      </c>
      <c r="D192" s="22" t="str">
        <f t="shared" si="1"/>
        <v>Other</v>
      </c>
      <c r="E192" s="21" t="str">
        <f>IF(C192="","",C192*CONFIG!B5)</f>
        <v/>
      </c>
    </row>
    <row r="193" ht="15.75" customHeight="1">
      <c r="A193" s="22" t="str">
        <f>IF(MOV_CC_INTL!A193="","",MOV_CC_INTL!A193)</f>
        <v/>
      </c>
      <c r="B193" s="22" t="str">
        <f>IF(MOV_CC_INTL!B193="","",MOV_CC_INTL!B193)</f>
        <v/>
      </c>
      <c r="C193" s="22" t="str">
        <f>IF(MOV_CC_INTL!C193="","",MOV_CC_INTL!C193)</f>
        <v/>
      </c>
      <c r="D193" s="22" t="str">
        <f t="shared" si="1"/>
        <v>Other</v>
      </c>
      <c r="E193" s="21" t="str">
        <f>IF(C193="","",C193*CONFIG!B5)</f>
        <v/>
      </c>
    </row>
    <row r="194" ht="15.75" customHeight="1">
      <c r="A194" s="22" t="str">
        <f>IF(MOV_CC_INTL!A194="","",MOV_CC_INTL!A194)</f>
        <v/>
      </c>
      <c r="B194" s="22" t="str">
        <f>IF(MOV_CC_INTL!B194="","",MOV_CC_INTL!B194)</f>
        <v/>
      </c>
      <c r="C194" s="22" t="str">
        <f>IF(MOV_CC_INTL!C194="","",MOV_CC_INTL!C194)</f>
        <v/>
      </c>
      <c r="D194" s="22" t="str">
        <f t="shared" si="1"/>
        <v>Other</v>
      </c>
      <c r="E194" s="21" t="str">
        <f>IF(C194="","",C194*CONFIG!B5)</f>
        <v/>
      </c>
    </row>
    <row r="195" ht="15.75" customHeight="1">
      <c r="A195" s="22" t="str">
        <f>IF(MOV_CC_INTL!A195="","",MOV_CC_INTL!A195)</f>
        <v/>
      </c>
      <c r="B195" s="22" t="str">
        <f>IF(MOV_CC_INTL!B195="","",MOV_CC_INTL!B195)</f>
        <v/>
      </c>
      <c r="C195" s="22" t="str">
        <f>IF(MOV_CC_INTL!C195="","",MOV_CC_INTL!C195)</f>
        <v/>
      </c>
      <c r="D195" s="22" t="str">
        <f t="shared" si="1"/>
        <v>Other</v>
      </c>
      <c r="E195" s="21" t="str">
        <f>IF(C195="","",C195*CONFIG!B5)</f>
        <v/>
      </c>
    </row>
    <row r="196" ht="15.75" customHeight="1">
      <c r="A196" s="22" t="str">
        <f>IF(MOV_CC_INTL!A196="","",MOV_CC_INTL!A196)</f>
        <v/>
      </c>
      <c r="B196" s="22" t="str">
        <f>IF(MOV_CC_INTL!B196="","",MOV_CC_INTL!B196)</f>
        <v/>
      </c>
      <c r="C196" s="22" t="str">
        <f>IF(MOV_CC_INTL!C196="","",MOV_CC_INTL!C196)</f>
        <v/>
      </c>
      <c r="D196" s="22" t="str">
        <f t="shared" si="1"/>
        <v>Other</v>
      </c>
      <c r="E196" s="21" t="str">
        <f>IF(C196="","",C196*CONFIG!B5)</f>
        <v/>
      </c>
    </row>
    <row r="197" ht="15.75" customHeight="1">
      <c r="A197" s="22" t="str">
        <f>IF(MOV_CC_INTL!A197="","",MOV_CC_INTL!A197)</f>
        <v/>
      </c>
      <c r="B197" s="22" t="str">
        <f>IF(MOV_CC_INTL!B197="","",MOV_CC_INTL!B197)</f>
        <v/>
      </c>
      <c r="C197" s="22" t="str">
        <f>IF(MOV_CC_INTL!C197="","",MOV_CC_INTL!C197)</f>
        <v/>
      </c>
      <c r="D197" s="22" t="str">
        <f t="shared" si="1"/>
        <v>Other</v>
      </c>
      <c r="E197" s="21" t="str">
        <f>IF(C197="","",C197*CONFIG!B5)</f>
        <v/>
      </c>
    </row>
    <row r="198" ht="15.75" customHeight="1">
      <c r="A198" s="22" t="str">
        <f>IF(MOV_CC_INTL!A198="","",MOV_CC_INTL!A198)</f>
        <v/>
      </c>
      <c r="B198" s="22" t="str">
        <f>IF(MOV_CC_INTL!B198="","",MOV_CC_INTL!B198)</f>
        <v/>
      </c>
      <c r="C198" s="22" t="str">
        <f>IF(MOV_CC_INTL!C198="","",MOV_CC_INTL!C198)</f>
        <v/>
      </c>
      <c r="D198" s="22" t="str">
        <f t="shared" si="1"/>
        <v>Other</v>
      </c>
      <c r="E198" s="21" t="str">
        <f>IF(C198="","",C198*CONFIG!B5)</f>
        <v/>
      </c>
    </row>
    <row r="199" ht="15.75" customHeight="1">
      <c r="A199" s="22" t="str">
        <f>IF(MOV_CC_INTL!A199="","",MOV_CC_INTL!A199)</f>
        <v/>
      </c>
      <c r="B199" s="22" t="str">
        <f>IF(MOV_CC_INTL!B199="","",MOV_CC_INTL!B199)</f>
        <v/>
      </c>
      <c r="C199" s="22" t="str">
        <f>IF(MOV_CC_INTL!C199="","",MOV_CC_INTL!C199)</f>
        <v/>
      </c>
      <c r="D199" s="22" t="str">
        <f t="shared" si="1"/>
        <v>Other</v>
      </c>
      <c r="E199" s="21" t="str">
        <f>IF(C199="","",C199*CONFIG!B5)</f>
        <v/>
      </c>
    </row>
    <row r="200" ht="15.75" customHeight="1">
      <c r="A200" s="22" t="str">
        <f>IF(MOV_CC_INTL!A200="","",MOV_CC_INTL!A200)</f>
        <v/>
      </c>
      <c r="B200" s="22" t="str">
        <f>IF(MOV_CC_INTL!B200="","",MOV_CC_INTL!B200)</f>
        <v/>
      </c>
      <c r="C200" s="22" t="str">
        <f>IF(MOV_CC_INTL!C200="","",MOV_CC_INTL!C200)</f>
        <v/>
      </c>
      <c r="D200" s="22" t="str">
        <f t="shared" si="1"/>
        <v>Other</v>
      </c>
      <c r="E200" s="21" t="str">
        <f>IF(C200="","",C200*CONFIG!B5)</f>
        <v/>
      </c>
    </row>
    <row r="201" ht="15.75" customHeight="1">
      <c r="A201" s="22" t="str">
        <f>IF(MOV_CC_INTL!A201="","",MOV_CC_INTL!A201)</f>
        <v/>
      </c>
      <c r="B201" s="22" t="str">
        <f>IF(MOV_CC_INTL!B201="","",MOV_CC_INTL!B201)</f>
        <v/>
      </c>
      <c r="C201" s="22" t="str">
        <f>IF(MOV_CC_INTL!C201="","",MOV_CC_INTL!C201)</f>
        <v/>
      </c>
      <c r="D201" s="22" t="str">
        <f t="shared" si="1"/>
        <v>Other</v>
      </c>
      <c r="E201" s="21" t="str">
        <f>IF(C201="","",C201*CONFIG!B5)</f>
        <v/>
      </c>
    </row>
    <row r="202" ht="15.75" customHeight="1">
      <c r="A202" s="22" t="str">
        <f>IF(MOV_CC_INTL!A202="","",MOV_CC_INTL!A202)</f>
        <v/>
      </c>
      <c r="B202" s="22" t="str">
        <f>IF(MOV_CC_INTL!B202="","",MOV_CC_INTL!B202)</f>
        <v/>
      </c>
      <c r="C202" s="22" t="str">
        <f>IF(MOV_CC_INTL!C202="","",MOV_CC_INTL!C202)</f>
        <v/>
      </c>
      <c r="D202" s="22" t="str">
        <f t="shared" si="1"/>
        <v>Other</v>
      </c>
      <c r="E202" s="21" t="str">
        <f>IF(C202="","",C202*CONFIG!B5)</f>
        <v/>
      </c>
    </row>
    <row r="203" ht="15.75" customHeight="1">
      <c r="A203" s="22" t="str">
        <f>IF(MOV_CC_INTL!A203="","",MOV_CC_INTL!A203)</f>
        <v/>
      </c>
      <c r="B203" s="22" t="str">
        <f>IF(MOV_CC_INTL!B203="","",MOV_CC_INTL!B203)</f>
        <v/>
      </c>
      <c r="C203" s="22" t="str">
        <f>IF(MOV_CC_INTL!C203="","",MOV_CC_INTL!C203)</f>
        <v/>
      </c>
      <c r="D203" s="22" t="str">
        <f t="shared" si="1"/>
        <v>Other</v>
      </c>
      <c r="E203" s="21" t="str">
        <f>IF(C203="","",C203*CONFIG!B5)</f>
        <v/>
      </c>
    </row>
    <row r="204" ht="15.75" customHeight="1">
      <c r="A204" s="22" t="str">
        <f>IF(MOV_CC_INTL!A204="","",MOV_CC_INTL!A204)</f>
        <v/>
      </c>
      <c r="B204" s="22" t="str">
        <f>IF(MOV_CC_INTL!B204="","",MOV_CC_INTL!B204)</f>
        <v/>
      </c>
      <c r="C204" s="22" t="str">
        <f>IF(MOV_CC_INTL!C204="","",MOV_CC_INTL!C204)</f>
        <v/>
      </c>
      <c r="D204" s="22" t="str">
        <f t="shared" si="1"/>
        <v>Other</v>
      </c>
      <c r="E204" s="21" t="str">
        <f>IF(C204="","",C204*CONFIG!B5)</f>
        <v/>
      </c>
    </row>
    <row r="205" ht="15.75" customHeight="1">
      <c r="A205" s="22" t="str">
        <f>IF(MOV_CC_INTL!A205="","",MOV_CC_INTL!A205)</f>
        <v/>
      </c>
      <c r="B205" s="22" t="str">
        <f>IF(MOV_CC_INTL!B205="","",MOV_CC_INTL!B205)</f>
        <v/>
      </c>
      <c r="C205" s="22" t="str">
        <f>IF(MOV_CC_INTL!C205="","",MOV_CC_INTL!C205)</f>
        <v/>
      </c>
      <c r="D205" s="22" t="str">
        <f t="shared" si="1"/>
        <v>Other</v>
      </c>
      <c r="E205" s="21" t="str">
        <f>IF(C205="","",C205*CONFIG!B5)</f>
        <v/>
      </c>
    </row>
    <row r="206" ht="15.75" customHeight="1">
      <c r="A206" s="22" t="str">
        <f>IF(MOV_CC_INTL!A206="","",MOV_CC_INTL!A206)</f>
        <v/>
      </c>
      <c r="B206" s="22" t="str">
        <f>IF(MOV_CC_INTL!B206="","",MOV_CC_INTL!B206)</f>
        <v/>
      </c>
      <c r="C206" s="22" t="str">
        <f>IF(MOV_CC_INTL!C206="","",MOV_CC_INTL!C206)</f>
        <v/>
      </c>
      <c r="D206" s="22" t="str">
        <f t="shared" si="1"/>
        <v>Other</v>
      </c>
      <c r="E206" s="21" t="str">
        <f>IF(C206="","",C206*CONFIG!B5)</f>
        <v/>
      </c>
    </row>
    <row r="207" ht="15.75" customHeight="1">
      <c r="A207" s="22" t="str">
        <f>IF(MOV_CC_INTL!A207="","",MOV_CC_INTL!A207)</f>
        <v/>
      </c>
      <c r="B207" s="22" t="str">
        <f>IF(MOV_CC_INTL!B207="","",MOV_CC_INTL!B207)</f>
        <v/>
      </c>
      <c r="C207" s="22" t="str">
        <f>IF(MOV_CC_INTL!C207="","",MOV_CC_INTL!C207)</f>
        <v/>
      </c>
      <c r="D207" s="22" t="str">
        <f t="shared" si="1"/>
        <v>Other</v>
      </c>
      <c r="E207" s="21" t="str">
        <f>IF(C207="","",C207*CONFIG!B5)</f>
        <v/>
      </c>
    </row>
    <row r="208" ht="15.75" customHeight="1">
      <c r="A208" s="22" t="str">
        <f>IF(MOV_CC_INTL!A208="","",MOV_CC_INTL!A208)</f>
        <v/>
      </c>
      <c r="B208" s="22" t="str">
        <f>IF(MOV_CC_INTL!B208="","",MOV_CC_INTL!B208)</f>
        <v/>
      </c>
      <c r="C208" s="22" t="str">
        <f>IF(MOV_CC_INTL!C208="","",MOV_CC_INTL!C208)</f>
        <v/>
      </c>
      <c r="D208" s="22" t="str">
        <f t="shared" si="1"/>
        <v>Other</v>
      </c>
      <c r="E208" s="21" t="str">
        <f>IF(C208="","",C208*CONFIG!B5)</f>
        <v/>
      </c>
    </row>
    <row r="209" ht="15.75" customHeight="1">
      <c r="A209" s="22" t="str">
        <f>IF(MOV_CC_INTL!A209="","",MOV_CC_INTL!A209)</f>
        <v/>
      </c>
      <c r="B209" s="22" t="str">
        <f>IF(MOV_CC_INTL!B209="","",MOV_CC_INTL!B209)</f>
        <v/>
      </c>
      <c r="C209" s="22" t="str">
        <f>IF(MOV_CC_INTL!C209="","",MOV_CC_INTL!C209)</f>
        <v/>
      </c>
      <c r="D209" s="22" t="str">
        <f t="shared" si="1"/>
        <v>Other</v>
      </c>
      <c r="E209" s="21" t="str">
        <f>IF(C209="","",C209*CONFIG!B5)</f>
        <v/>
      </c>
    </row>
    <row r="210" ht="15.75" customHeight="1">
      <c r="A210" s="22" t="str">
        <f>IF(MOV_CC_INTL!A210="","",MOV_CC_INTL!A210)</f>
        <v/>
      </c>
      <c r="B210" s="22" t="str">
        <f>IF(MOV_CC_INTL!B210="","",MOV_CC_INTL!B210)</f>
        <v/>
      </c>
      <c r="C210" s="22" t="str">
        <f>IF(MOV_CC_INTL!C210="","",MOV_CC_INTL!C210)</f>
        <v/>
      </c>
      <c r="D210" s="22" t="str">
        <f t="shared" si="1"/>
        <v>Other</v>
      </c>
      <c r="E210" s="21" t="str">
        <f>IF(C210="","",C210*CONFIG!B5)</f>
        <v/>
      </c>
    </row>
    <row r="211" ht="15.75" customHeight="1">
      <c r="A211" s="22" t="str">
        <f>IF(MOV_CC_INTL!A211="","",MOV_CC_INTL!A211)</f>
        <v/>
      </c>
      <c r="B211" s="22" t="str">
        <f>IF(MOV_CC_INTL!B211="","",MOV_CC_INTL!B211)</f>
        <v/>
      </c>
      <c r="C211" s="22" t="str">
        <f>IF(MOV_CC_INTL!C211="","",MOV_CC_INTL!C211)</f>
        <v/>
      </c>
      <c r="D211" s="22" t="str">
        <f t="shared" si="1"/>
        <v>Other</v>
      </c>
      <c r="E211" s="21" t="str">
        <f>IF(C211="","",C211*CONFIG!B5)</f>
        <v/>
      </c>
    </row>
    <row r="212" ht="15.75" customHeight="1">
      <c r="A212" s="22" t="str">
        <f>IF(MOV_CC_INTL!A212="","",MOV_CC_INTL!A212)</f>
        <v/>
      </c>
      <c r="B212" s="22" t="str">
        <f>IF(MOV_CC_INTL!B212="","",MOV_CC_INTL!B212)</f>
        <v/>
      </c>
      <c r="C212" s="22" t="str">
        <f>IF(MOV_CC_INTL!C212="","",MOV_CC_INTL!C212)</f>
        <v/>
      </c>
      <c r="D212" s="22" t="str">
        <f t="shared" si="1"/>
        <v>Other</v>
      </c>
      <c r="E212" s="21" t="str">
        <f>IF(C212="","",C212*CONFIG!B5)</f>
        <v/>
      </c>
    </row>
    <row r="213" ht="15.75" customHeight="1">
      <c r="A213" s="22" t="str">
        <f>IF(MOV_CC_INTL!A213="","",MOV_CC_INTL!A213)</f>
        <v/>
      </c>
      <c r="B213" s="22" t="str">
        <f>IF(MOV_CC_INTL!B213="","",MOV_CC_INTL!B213)</f>
        <v/>
      </c>
      <c r="C213" s="22" t="str">
        <f>IF(MOV_CC_INTL!C213="","",MOV_CC_INTL!C213)</f>
        <v/>
      </c>
      <c r="D213" s="22" t="str">
        <f t="shared" si="1"/>
        <v>Other</v>
      </c>
      <c r="E213" s="21" t="str">
        <f>IF(C213="","",C213*CONFIG!B5)</f>
        <v/>
      </c>
    </row>
    <row r="214" ht="15.75" customHeight="1">
      <c r="A214" s="22" t="str">
        <f>IF(MOV_CC_INTL!A214="","",MOV_CC_INTL!A214)</f>
        <v/>
      </c>
      <c r="B214" s="22" t="str">
        <f>IF(MOV_CC_INTL!B214="","",MOV_CC_INTL!B214)</f>
        <v/>
      </c>
      <c r="C214" s="22" t="str">
        <f>IF(MOV_CC_INTL!C214="","",MOV_CC_INTL!C214)</f>
        <v/>
      </c>
      <c r="D214" s="22" t="str">
        <f t="shared" si="1"/>
        <v>Other</v>
      </c>
      <c r="E214" s="21" t="str">
        <f>IF(C214="","",C214*CONFIG!B5)</f>
        <v/>
      </c>
    </row>
    <row r="215" ht="15.75" customHeight="1">
      <c r="A215" s="22" t="str">
        <f>IF(MOV_CC_INTL!A215="","",MOV_CC_INTL!A215)</f>
        <v/>
      </c>
      <c r="B215" s="22" t="str">
        <f>IF(MOV_CC_INTL!B215="","",MOV_CC_INTL!B215)</f>
        <v/>
      </c>
      <c r="C215" s="22" t="str">
        <f>IF(MOV_CC_INTL!C215="","",MOV_CC_INTL!C215)</f>
        <v/>
      </c>
      <c r="D215" s="22" t="str">
        <f t="shared" si="1"/>
        <v>Other</v>
      </c>
      <c r="E215" s="21" t="str">
        <f>IF(C215="","",C215*CONFIG!B5)</f>
        <v/>
      </c>
    </row>
    <row r="216" ht="15.75" customHeight="1">
      <c r="A216" s="22" t="str">
        <f>IF(MOV_CC_INTL!A216="","",MOV_CC_INTL!A216)</f>
        <v/>
      </c>
      <c r="B216" s="22" t="str">
        <f>IF(MOV_CC_INTL!B216="","",MOV_CC_INTL!B216)</f>
        <v/>
      </c>
      <c r="C216" s="22" t="str">
        <f>IF(MOV_CC_INTL!C216="","",MOV_CC_INTL!C216)</f>
        <v/>
      </c>
      <c r="D216" s="22" t="str">
        <f t="shared" si="1"/>
        <v>Other</v>
      </c>
      <c r="E216" s="21" t="str">
        <f>IF(C216="","",C216*CONFIG!B5)</f>
        <v/>
      </c>
    </row>
    <row r="217" ht="15.75" customHeight="1">
      <c r="A217" s="22" t="str">
        <f>IF(MOV_CC_INTL!A217="","",MOV_CC_INTL!A217)</f>
        <v/>
      </c>
      <c r="B217" s="22" t="str">
        <f>IF(MOV_CC_INTL!B217="","",MOV_CC_INTL!B217)</f>
        <v/>
      </c>
      <c r="C217" s="22" t="str">
        <f>IF(MOV_CC_INTL!C217="","",MOV_CC_INTL!C217)</f>
        <v/>
      </c>
      <c r="D217" s="22" t="str">
        <f t="shared" si="1"/>
        <v>Other</v>
      </c>
      <c r="E217" s="21" t="str">
        <f>IF(C217="","",C217*CONFIG!B5)</f>
        <v/>
      </c>
    </row>
    <row r="218" ht="15.75" customHeight="1">
      <c r="A218" s="22" t="str">
        <f>IF(MOV_CC_INTL!A218="","",MOV_CC_INTL!A218)</f>
        <v/>
      </c>
      <c r="B218" s="22" t="str">
        <f>IF(MOV_CC_INTL!B218="","",MOV_CC_INTL!B218)</f>
        <v/>
      </c>
      <c r="C218" s="22" t="str">
        <f>IF(MOV_CC_INTL!C218="","",MOV_CC_INTL!C218)</f>
        <v/>
      </c>
      <c r="D218" s="22" t="str">
        <f t="shared" si="1"/>
        <v>Other</v>
      </c>
      <c r="E218" s="21" t="str">
        <f>IF(C218="","",C218*CONFIG!B5)</f>
        <v/>
      </c>
    </row>
    <row r="219" ht="15.75" customHeight="1">
      <c r="A219" s="22" t="str">
        <f>IF(MOV_CC_INTL!A219="","",MOV_CC_INTL!A219)</f>
        <v/>
      </c>
      <c r="B219" s="22" t="str">
        <f>IF(MOV_CC_INTL!B219="","",MOV_CC_INTL!B219)</f>
        <v/>
      </c>
      <c r="C219" s="22" t="str">
        <f>IF(MOV_CC_INTL!C219="","",MOV_CC_INTL!C219)</f>
        <v/>
      </c>
      <c r="D219" s="22" t="str">
        <f t="shared" si="1"/>
        <v>Other</v>
      </c>
      <c r="E219" s="21" t="str">
        <f>IF(C219="","",C219*CONFIG!B5)</f>
        <v/>
      </c>
    </row>
    <row r="220" ht="15.75" customHeight="1">
      <c r="A220" s="22" t="str">
        <f>IF(MOV_CC_INTL!A220="","",MOV_CC_INTL!A220)</f>
        <v/>
      </c>
      <c r="B220" s="22" t="str">
        <f>IF(MOV_CC_INTL!B220="","",MOV_CC_INTL!B220)</f>
        <v/>
      </c>
      <c r="C220" s="22" t="str">
        <f>IF(MOV_CC_INTL!C220="","",MOV_CC_INTL!C220)</f>
        <v/>
      </c>
      <c r="D220" s="22" t="str">
        <f t="shared" si="1"/>
        <v>Other</v>
      </c>
      <c r="E220" s="21" t="str">
        <f>IF(C220="","",C220*CONFIG!B5)</f>
        <v/>
      </c>
    </row>
    <row r="221" ht="15.75" customHeight="1">
      <c r="A221" s="22" t="str">
        <f>IF(MOV_CC_INTL!A221="","",MOV_CC_INTL!A221)</f>
        <v/>
      </c>
      <c r="B221" s="22" t="str">
        <f>IF(MOV_CC_INTL!B221="","",MOV_CC_INTL!B221)</f>
        <v/>
      </c>
      <c r="C221" s="22" t="str">
        <f>IF(MOV_CC_INTL!C221="","",MOV_CC_INTL!C221)</f>
        <v/>
      </c>
      <c r="D221" s="22" t="str">
        <f t="shared" si="1"/>
        <v>Other</v>
      </c>
      <c r="E221" s="21" t="str">
        <f>IF(C221="","",C221*CONFIG!B5)</f>
        <v/>
      </c>
    </row>
    <row r="222" ht="15.75" customHeight="1">
      <c r="A222" s="22" t="str">
        <f>IF(MOV_CC_INTL!A222="","",MOV_CC_INTL!A222)</f>
        <v/>
      </c>
      <c r="B222" s="22" t="str">
        <f>IF(MOV_CC_INTL!B222="","",MOV_CC_INTL!B222)</f>
        <v/>
      </c>
      <c r="C222" s="22" t="str">
        <f>IF(MOV_CC_INTL!C222="","",MOV_CC_INTL!C222)</f>
        <v/>
      </c>
      <c r="D222" s="22" t="str">
        <f t="shared" si="1"/>
        <v>Other</v>
      </c>
      <c r="E222" s="21" t="str">
        <f>IF(C222="","",C222*CONFIG!B5)</f>
        <v/>
      </c>
    </row>
    <row r="223" ht="15.75" customHeight="1">
      <c r="A223" s="22" t="str">
        <f>IF(MOV_CC_INTL!A223="","",MOV_CC_INTL!A223)</f>
        <v/>
      </c>
      <c r="B223" s="22" t="str">
        <f>IF(MOV_CC_INTL!B223="","",MOV_CC_INTL!B223)</f>
        <v/>
      </c>
      <c r="C223" s="22" t="str">
        <f>IF(MOV_CC_INTL!C223="","",MOV_CC_INTL!C223)</f>
        <v/>
      </c>
      <c r="D223" s="22" t="str">
        <f t="shared" si="1"/>
        <v>Other</v>
      </c>
      <c r="E223" s="21" t="str">
        <f>IF(C223="","",C223*CONFIG!B5)</f>
        <v/>
      </c>
    </row>
    <row r="224" ht="15.75" customHeight="1">
      <c r="A224" s="22" t="str">
        <f>IF(MOV_CC_INTL!A224="","",MOV_CC_INTL!A224)</f>
        <v/>
      </c>
      <c r="B224" s="22" t="str">
        <f>IF(MOV_CC_INTL!B224="","",MOV_CC_INTL!B224)</f>
        <v/>
      </c>
      <c r="C224" s="22" t="str">
        <f>IF(MOV_CC_INTL!C224="","",MOV_CC_INTL!C224)</f>
        <v/>
      </c>
      <c r="D224" s="22" t="str">
        <f t="shared" si="1"/>
        <v>Other</v>
      </c>
      <c r="E224" s="21" t="str">
        <f>IF(C224="","",C224*CONFIG!B5)</f>
        <v/>
      </c>
    </row>
    <row r="225" ht="15.75" customHeight="1">
      <c r="A225" s="22" t="str">
        <f>IF(MOV_CC_INTL!A225="","",MOV_CC_INTL!A225)</f>
        <v/>
      </c>
      <c r="B225" s="22" t="str">
        <f>IF(MOV_CC_INTL!B225="","",MOV_CC_INTL!B225)</f>
        <v/>
      </c>
      <c r="C225" s="22" t="str">
        <f>IF(MOV_CC_INTL!C225="","",MOV_CC_INTL!C225)</f>
        <v/>
      </c>
      <c r="D225" s="22" t="str">
        <f t="shared" si="1"/>
        <v>Other</v>
      </c>
      <c r="E225" s="21" t="str">
        <f>IF(C225="","",C225*CONFIG!B5)</f>
        <v/>
      </c>
    </row>
    <row r="226" ht="15.75" customHeight="1">
      <c r="A226" s="22" t="str">
        <f>IF(MOV_CC_INTL!A226="","",MOV_CC_INTL!A226)</f>
        <v/>
      </c>
      <c r="B226" s="22" t="str">
        <f>IF(MOV_CC_INTL!B226="","",MOV_CC_INTL!B226)</f>
        <v/>
      </c>
      <c r="C226" s="22" t="str">
        <f>IF(MOV_CC_INTL!C226="","",MOV_CC_INTL!C226)</f>
        <v/>
      </c>
      <c r="D226" s="22" t="str">
        <f t="shared" si="1"/>
        <v>Other</v>
      </c>
      <c r="E226" s="21" t="str">
        <f>IF(C226="","",C226*CONFIG!B5)</f>
        <v/>
      </c>
    </row>
    <row r="227" ht="15.75" customHeight="1">
      <c r="A227" s="22" t="str">
        <f>IF(MOV_CC_INTL!A227="","",MOV_CC_INTL!A227)</f>
        <v/>
      </c>
      <c r="B227" s="22" t="str">
        <f>IF(MOV_CC_INTL!B227="","",MOV_CC_INTL!B227)</f>
        <v/>
      </c>
      <c r="C227" s="22" t="str">
        <f>IF(MOV_CC_INTL!C227="","",MOV_CC_INTL!C227)</f>
        <v/>
      </c>
      <c r="D227" s="22" t="str">
        <f t="shared" si="1"/>
        <v>Other</v>
      </c>
      <c r="E227" s="21" t="str">
        <f>IF(C227="","",C227*CONFIG!B5)</f>
        <v/>
      </c>
    </row>
    <row r="228" ht="15.75" customHeight="1">
      <c r="A228" s="22" t="str">
        <f>IF(MOV_CC_INTL!A228="","",MOV_CC_INTL!A228)</f>
        <v/>
      </c>
      <c r="B228" s="22" t="str">
        <f>IF(MOV_CC_INTL!B228="","",MOV_CC_INTL!B228)</f>
        <v/>
      </c>
      <c r="C228" s="22" t="str">
        <f>IF(MOV_CC_INTL!C228="","",MOV_CC_INTL!C228)</f>
        <v/>
      </c>
      <c r="D228" s="22" t="str">
        <f t="shared" si="1"/>
        <v>Other</v>
      </c>
      <c r="E228" s="21" t="str">
        <f>IF(C228="","",C228*CONFIG!B5)</f>
        <v/>
      </c>
    </row>
    <row r="229" ht="15.75" customHeight="1">
      <c r="A229" s="22" t="str">
        <f>IF(MOV_CC_INTL!A229="","",MOV_CC_INTL!A229)</f>
        <v/>
      </c>
      <c r="B229" s="22" t="str">
        <f>IF(MOV_CC_INTL!B229="","",MOV_CC_INTL!B229)</f>
        <v/>
      </c>
      <c r="C229" s="22" t="str">
        <f>IF(MOV_CC_INTL!C229="","",MOV_CC_INTL!C229)</f>
        <v/>
      </c>
      <c r="D229" s="22" t="str">
        <f t="shared" si="1"/>
        <v>Other</v>
      </c>
      <c r="E229" s="21" t="str">
        <f>IF(C229="","",C229*CONFIG!B5)</f>
        <v/>
      </c>
    </row>
    <row r="230" ht="15.75" customHeight="1">
      <c r="A230" s="22" t="str">
        <f>IF(MOV_CC_INTL!A230="","",MOV_CC_INTL!A230)</f>
        <v/>
      </c>
      <c r="B230" s="22" t="str">
        <f>IF(MOV_CC_INTL!B230="","",MOV_CC_INTL!B230)</f>
        <v/>
      </c>
      <c r="C230" s="22" t="str">
        <f>IF(MOV_CC_INTL!C230="","",MOV_CC_INTL!C230)</f>
        <v/>
      </c>
      <c r="D230" s="22" t="str">
        <f t="shared" si="1"/>
        <v>Other</v>
      </c>
      <c r="E230" s="21" t="str">
        <f>IF(C230="","",C230*CONFIG!B5)</f>
        <v/>
      </c>
    </row>
    <row r="231" ht="15.75" customHeight="1">
      <c r="A231" s="22" t="str">
        <f>IF(MOV_CC_INTL!A231="","",MOV_CC_INTL!A231)</f>
        <v/>
      </c>
      <c r="B231" s="22" t="str">
        <f>IF(MOV_CC_INTL!B231="","",MOV_CC_INTL!B231)</f>
        <v/>
      </c>
      <c r="C231" s="22" t="str">
        <f>IF(MOV_CC_INTL!C231="","",MOV_CC_INTL!C231)</f>
        <v/>
      </c>
      <c r="D231" s="22" t="str">
        <f t="shared" si="1"/>
        <v>Other</v>
      </c>
      <c r="E231" s="21" t="str">
        <f>IF(C231="","",C231*CONFIG!B5)</f>
        <v/>
      </c>
    </row>
    <row r="232" ht="15.75" customHeight="1">
      <c r="A232" s="22" t="str">
        <f>IF(MOV_CC_INTL!A232="","",MOV_CC_INTL!A232)</f>
        <v/>
      </c>
      <c r="B232" s="22" t="str">
        <f>IF(MOV_CC_INTL!B232="","",MOV_CC_INTL!B232)</f>
        <v/>
      </c>
      <c r="C232" s="22" t="str">
        <f>IF(MOV_CC_INTL!C232="","",MOV_CC_INTL!C232)</f>
        <v/>
      </c>
      <c r="D232" s="22" t="str">
        <f t="shared" si="1"/>
        <v>Other</v>
      </c>
      <c r="E232" s="21" t="str">
        <f>IF(C232="","",C232*CONFIG!B5)</f>
        <v/>
      </c>
    </row>
    <row r="233" ht="15.75" customHeight="1">
      <c r="A233" s="22" t="str">
        <f>IF(MOV_CC_INTL!A233="","",MOV_CC_INTL!A233)</f>
        <v/>
      </c>
      <c r="B233" s="22" t="str">
        <f>IF(MOV_CC_INTL!B233="","",MOV_CC_INTL!B233)</f>
        <v/>
      </c>
      <c r="C233" s="22" t="str">
        <f>IF(MOV_CC_INTL!C233="","",MOV_CC_INTL!C233)</f>
        <v/>
      </c>
      <c r="D233" s="22" t="str">
        <f t="shared" si="1"/>
        <v>Other</v>
      </c>
      <c r="E233" s="21" t="str">
        <f>IF(C233="","",C233*CONFIG!B5)</f>
        <v/>
      </c>
    </row>
    <row r="234" ht="15.75" customHeight="1">
      <c r="A234" s="22" t="str">
        <f>IF(MOV_CC_INTL!A234="","",MOV_CC_INTL!A234)</f>
        <v/>
      </c>
      <c r="B234" s="22" t="str">
        <f>IF(MOV_CC_INTL!B234="","",MOV_CC_INTL!B234)</f>
        <v/>
      </c>
      <c r="C234" s="22" t="str">
        <f>IF(MOV_CC_INTL!C234="","",MOV_CC_INTL!C234)</f>
        <v/>
      </c>
      <c r="D234" s="22" t="str">
        <f t="shared" si="1"/>
        <v>Other</v>
      </c>
      <c r="E234" s="21" t="str">
        <f>IF(C234="","",C234*CONFIG!B5)</f>
        <v/>
      </c>
    </row>
    <row r="235" ht="15.75" customHeight="1">
      <c r="A235" s="22" t="str">
        <f>IF(MOV_CC_INTL!A235="","",MOV_CC_INTL!A235)</f>
        <v/>
      </c>
      <c r="B235" s="22" t="str">
        <f>IF(MOV_CC_INTL!B235="","",MOV_CC_INTL!B235)</f>
        <v/>
      </c>
      <c r="C235" s="22" t="str">
        <f>IF(MOV_CC_INTL!C235="","",MOV_CC_INTL!C235)</f>
        <v/>
      </c>
      <c r="D235" s="22" t="str">
        <f t="shared" si="1"/>
        <v>Other</v>
      </c>
      <c r="E235" s="21" t="str">
        <f>IF(C235="","",C235*CONFIG!B5)</f>
        <v/>
      </c>
    </row>
    <row r="236" ht="15.75" customHeight="1">
      <c r="A236" s="22" t="str">
        <f>IF(MOV_CC_INTL!A236="","",MOV_CC_INTL!A236)</f>
        <v/>
      </c>
      <c r="B236" s="22" t="str">
        <f>IF(MOV_CC_INTL!B236="","",MOV_CC_INTL!B236)</f>
        <v/>
      </c>
      <c r="C236" s="22" t="str">
        <f>IF(MOV_CC_INTL!C236="","",MOV_CC_INTL!C236)</f>
        <v/>
      </c>
      <c r="D236" s="22" t="str">
        <f t="shared" si="1"/>
        <v>Other</v>
      </c>
      <c r="E236" s="21" t="str">
        <f>IF(C236="","",C236*CONFIG!B5)</f>
        <v/>
      </c>
    </row>
    <row r="237" ht="15.75" customHeight="1">
      <c r="A237" s="22" t="str">
        <f>IF(MOV_CC_INTL!A237="","",MOV_CC_INTL!A237)</f>
        <v/>
      </c>
      <c r="B237" s="22" t="str">
        <f>IF(MOV_CC_INTL!B237="","",MOV_CC_INTL!B237)</f>
        <v/>
      </c>
      <c r="C237" s="22" t="str">
        <f>IF(MOV_CC_INTL!C237="","",MOV_CC_INTL!C237)</f>
        <v/>
      </c>
      <c r="D237" s="22" t="str">
        <f t="shared" si="1"/>
        <v>Other</v>
      </c>
      <c r="E237" s="21" t="str">
        <f>IF(C237="","",C237*CONFIG!B5)</f>
        <v/>
      </c>
    </row>
    <row r="238" ht="15.75" customHeight="1">
      <c r="A238" s="22" t="str">
        <f>IF(MOV_CC_INTL!A238="","",MOV_CC_INTL!A238)</f>
        <v/>
      </c>
      <c r="B238" s="22" t="str">
        <f>IF(MOV_CC_INTL!B238="","",MOV_CC_INTL!B238)</f>
        <v/>
      </c>
      <c r="C238" s="22" t="str">
        <f>IF(MOV_CC_INTL!C238="","",MOV_CC_INTL!C238)</f>
        <v/>
      </c>
      <c r="D238" s="22" t="str">
        <f t="shared" si="1"/>
        <v>Other</v>
      </c>
      <c r="E238" s="21" t="str">
        <f>IF(C238="","",C238*CONFIG!B5)</f>
        <v/>
      </c>
    </row>
    <row r="239" ht="15.75" customHeight="1">
      <c r="A239" s="22" t="str">
        <f>IF(MOV_CC_INTL!A239="","",MOV_CC_INTL!A239)</f>
        <v/>
      </c>
      <c r="B239" s="22" t="str">
        <f>IF(MOV_CC_INTL!B239="","",MOV_CC_INTL!B239)</f>
        <v/>
      </c>
      <c r="C239" s="22" t="str">
        <f>IF(MOV_CC_INTL!C239="","",MOV_CC_INTL!C239)</f>
        <v/>
      </c>
      <c r="D239" s="22" t="str">
        <f t="shared" si="1"/>
        <v>Other</v>
      </c>
      <c r="E239" s="21" t="str">
        <f>IF(C239="","",C239*CONFIG!B5)</f>
        <v/>
      </c>
    </row>
    <row r="240" ht="15.75" customHeight="1">
      <c r="A240" s="22" t="str">
        <f>IF(MOV_CC_INTL!A240="","",MOV_CC_INTL!A240)</f>
        <v/>
      </c>
      <c r="B240" s="22" t="str">
        <f>IF(MOV_CC_INTL!B240="","",MOV_CC_INTL!B240)</f>
        <v/>
      </c>
      <c r="C240" s="22" t="str">
        <f>IF(MOV_CC_INTL!C240="","",MOV_CC_INTL!C240)</f>
        <v/>
      </c>
      <c r="D240" s="22" t="str">
        <f t="shared" si="1"/>
        <v>Other</v>
      </c>
      <c r="E240" s="21" t="str">
        <f>IF(C240="","",C240*CONFIG!B5)</f>
        <v/>
      </c>
    </row>
    <row r="241" ht="15.75" customHeight="1">
      <c r="A241" s="22" t="str">
        <f>IF(MOV_CC_INTL!A241="","",MOV_CC_INTL!A241)</f>
        <v/>
      </c>
      <c r="B241" s="22" t="str">
        <f>IF(MOV_CC_INTL!B241="","",MOV_CC_INTL!B241)</f>
        <v/>
      </c>
      <c r="C241" s="22" t="str">
        <f>IF(MOV_CC_INTL!C241="","",MOV_CC_INTL!C241)</f>
        <v/>
      </c>
      <c r="D241" s="22" t="str">
        <f t="shared" si="1"/>
        <v>Other</v>
      </c>
      <c r="E241" s="21" t="str">
        <f>IF(C241="","",C241*CONFIG!B5)</f>
        <v/>
      </c>
    </row>
    <row r="242" ht="15.75" customHeight="1">
      <c r="A242" s="22" t="str">
        <f>IF(MOV_CC_INTL!A242="","",MOV_CC_INTL!A242)</f>
        <v/>
      </c>
      <c r="B242" s="22" t="str">
        <f>IF(MOV_CC_INTL!B242="","",MOV_CC_INTL!B242)</f>
        <v/>
      </c>
      <c r="C242" s="22" t="str">
        <f>IF(MOV_CC_INTL!C242="","",MOV_CC_INTL!C242)</f>
        <v/>
      </c>
      <c r="D242" s="22" t="str">
        <f t="shared" si="1"/>
        <v>Other</v>
      </c>
      <c r="E242" s="21" t="str">
        <f>IF(C242="","",C242*CONFIG!B5)</f>
        <v/>
      </c>
    </row>
    <row r="243" ht="15.75" customHeight="1">
      <c r="A243" s="22" t="str">
        <f>IF(MOV_CC_INTL!A243="","",MOV_CC_INTL!A243)</f>
        <v/>
      </c>
      <c r="B243" s="22" t="str">
        <f>IF(MOV_CC_INTL!B243="","",MOV_CC_INTL!B243)</f>
        <v/>
      </c>
      <c r="C243" s="22" t="str">
        <f>IF(MOV_CC_INTL!C243="","",MOV_CC_INTL!C243)</f>
        <v/>
      </c>
      <c r="D243" s="22" t="str">
        <f t="shared" si="1"/>
        <v>Other</v>
      </c>
      <c r="E243" s="21" t="str">
        <f>IF(C243="","",C243*CONFIG!B5)</f>
        <v/>
      </c>
    </row>
    <row r="244" ht="15.75" customHeight="1">
      <c r="A244" s="22" t="str">
        <f>IF(MOV_CC_INTL!A244="","",MOV_CC_INTL!A244)</f>
        <v/>
      </c>
      <c r="B244" s="22" t="str">
        <f>IF(MOV_CC_INTL!B244="","",MOV_CC_INTL!B244)</f>
        <v/>
      </c>
      <c r="C244" s="22" t="str">
        <f>IF(MOV_CC_INTL!C244="","",MOV_CC_INTL!C244)</f>
        <v/>
      </c>
      <c r="D244" s="22" t="str">
        <f t="shared" si="1"/>
        <v>Other</v>
      </c>
      <c r="E244" s="21" t="str">
        <f>IF(C244="","",C244*CONFIG!B5)</f>
        <v/>
      </c>
    </row>
    <row r="245" ht="15.75" customHeight="1">
      <c r="A245" s="22" t="str">
        <f>IF(MOV_CC_INTL!A245="","",MOV_CC_INTL!A245)</f>
        <v/>
      </c>
      <c r="B245" s="22" t="str">
        <f>IF(MOV_CC_INTL!B245="","",MOV_CC_INTL!B245)</f>
        <v/>
      </c>
      <c r="C245" s="22" t="str">
        <f>IF(MOV_CC_INTL!C245="","",MOV_CC_INTL!C245)</f>
        <v/>
      </c>
      <c r="D245" s="22" t="str">
        <f t="shared" si="1"/>
        <v>Other</v>
      </c>
      <c r="E245" s="21" t="str">
        <f>IF(C245="","",C245*CONFIG!B5)</f>
        <v/>
      </c>
    </row>
    <row r="246" ht="15.75" customHeight="1">
      <c r="A246" s="22" t="str">
        <f>IF(MOV_CC_INTL!A246="","",MOV_CC_INTL!A246)</f>
        <v/>
      </c>
      <c r="B246" s="22" t="str">
        <f>IF(MOV_CC_INTL!B246="","",MOV_CC_INTL!B246)</f>
        <v/>
      </c>
      <c r="C246" s="22" t="str">
        <f>IF(MOV_CC_INTL!C246="","",MOV_CC_INTL!C246)</f>
        <v/>
      </c>
      <c r="D246" s="22" t="str">
        <f t="shared" si="1"/>
        <v>Other</v>
      </c>
      <c r="E246" s="21" t="str">
        <f>IF(C246="","",C246*CONFIG!B5)</f>
        <v/>
      </c>
    </row>
    <row r="247" ht="15.75" customHeight="1">
      <c r="A247" s="22" t="str">
        <f>IF(MOV_CC_INTL!A247="","",MOV_CC_INTL!A247)</f>
        <v/>
      </c>
      <c r="B247" s="22" t="str">
        <f>IF(MOV_CC_INTL!B247="","",MOV_CC_INTL!B247)</f>
        <v/>
      </c>
      <c r="C247" s="22" t="str">
        <f>IF(MOV_CC_INTL!C247="","",MOV_CC_INTL!C247)</f>
        <v/>
      </c>
      <c r="D247" s="22" t="str">
        <f t="shared" si="1"/>
        <v>Other</v>
      </c>
      <c r="E247" s="21" t="str">
        <f>IF(C247="","",C247*CONFIG!B5)</f>
        <v/>
      </c>
    </row>
    <row r="248" ht="15.75" customHeight="1">
      <c r="A248" s="22" t="str">
        <f>IF(MOV_CC_INTL!A248="","",MOV_CC_INTL!A248)</f>
        <v/>
      </c>
      <c r="B248" s="22" t="str">
        <f>IF(MOV_CC_INTL!B248="","",MOV_CC_INTL!B248)</f>
        <v/>
      </c>
      <c r="C248" s="22" t="str">
        <f>IF(MOV_CC_INTL!C248="","",MOV_CC_INTL!C248)</f>
        <v/>
      </c>
      <c r="D248" s="22" t="str">
        <f t="shared" si="1"/>
        <v>Other</v>
      </c>
      <c r="E248" s="21" t="str">
        <f>IF(C248="","",C248*CONFIG!B5)</f>
        <v/>
      </c>
    </row>
    <row r="249" ht="15.75" customHeight="1">
      <c r="A249" s="22" t="str">
        <f>IF(MOV_CC_INTL!A249="","",MOV_CC_INTL!A249)</f>
        <v/>
      </c>
      <c r="B249" s="22" t="str">
        <f>IF(MOV_CC_INTL!B249="","",MOV_CC_INTL!B249)</f>
        <v/>
      </c>
      <c r="C249" s="22" t="str">
        <f>IF(MOV_CC_INTL!C249="","",MOV_CC_INTL!C249)</f>
        <v/>
      </c>
      <c r="D249" s="22" t="str">
        <f t="shared" si="1"/>
        <v>Other</v>
      </c>
      <c r="E249" s="21" t="str">
        <f>IF(C249="","",C249*CONFIG!B5)</f>
        <v/>
      </c>
    </row>
    <row r="250" ht="15.75" customHeight="1">
      <c r="A250" s="22" t="str">
        <f>IF(MOV_CC_INTL!A250="","",MOV_CC_INTL!A250)</f>
        <v/>
      </c>
      <c r="B250" s="22" t="str">
        <f>IF(MOV_CC_INTL!B250="","",MOV_CC_INTL!B250)</f>
        <v/>
      </c>
      <c r="C250" s="22" t="str">
        <f>IF(MOV_CC_INTL!C250="","",MOV_CC_INTL!C250)</f>
        <v/>
      </c>
      <c r="D250" s="22" t="str">
        <f t="shared" si="1"/>
        <v>Other</v>
      </c>
      <c r="E250" s="21" t="str">
        <f>IF(C250="","",C250*CONFIG!B5)</f>
        <v/>
      </c>
    </row>
    <row r="251" ht="15.75" customHeight="1">
      <c r="A251" s="22" t="str">
        <f>IF(MOV_CC_INTL!A251="","",MOV_CC_INTL!A251)</f>
        <v/>
      </c>
      <c r="B251" s="22" t="str">
        <f>IF(MOV_CC_INTL!B251="","",MOV_CC_INTL!B251)</f>
        <v/>
      </c>
      <c r="C251" s="22" t="str">
        <f>IF(MOV_CC_INTL!C251="","",MOV_CC_INTL!C251)</f>
        <v/>
      </c>
      <c r="D251" s="22" t="str">
        <f t="shared" si="1"/>
        <v>Other</v>
      </c>
      <c r="E251" s="21" t="str">
        <f>IF(C251="","",C251*CONFIG!B5)</f>
        <v/>
      </c>
    </row>
    <row r="252" ht="15.75" customHeight="1">
      <c r="A252" s="22" t="str">
        <f>IF(MOV_CC_INTL!A252="","",MOV_CC_INTL!A252)</f>
        <v/>
      </c>
      <c r="B252" s="22" t="str">
        <f>IF(MOV_CC_INTL!B252="","",MOV_CC_INTL!B252)</f>
        <v/>
      </c>
      <c r="C252" s="22" t="str">
        <f>IF(MOV_CC_INTL!C252="","",MOV_CC_INTL!C252)</f>
        <v/>
      </c>
      <c r="D252" s="22" t="str">
        <f t="shared" si="1"/>
        <v>Other</v>
      </c>
      <c r="E252" s="21" t="str">
        <f>IF(C252="","",C252*CONFIG!B5)</f>
        <v/>
      </c>
    </row>
    <row r="253" ht="15.75" customHeight="1">
      <c r="A253" s="22" t="str">
        <f>IF(MOV_CC_INTL!A253="","",MOV_CC_INTL!A253)</f>
        <v/>
      </c>
      <c r="B253" s="22" t="str">
        <f>IF(MOV_CC_INTL!B253="","",MOV_CC_INTL!B253)</f>
        <v/>
      </c>
      <c r="C253" s="22" t="str">
        <f>IF(MOV_CC_INTL!C253="","",MOV_CC_INTL!C253)</f>
        <v/>
      </c>
      <c r="D253" s="22" t="str">
        <f t="shared" si="1"/>
        <v>Other</v>
      </c>
      <c r="E253" s="21" t="str">
        <f>IF(C253="","",C253*CONFIG!B5)</f>
        <v/>
      </c>
    </row>
    <row r="254" ht="15.75" customHeight="1">
      <c r="A254" s="22" t="str">
        <f>IF(MOV_CC_INTL!A254="","",MOV_CC_INTL!A254)</f>
        <v/>
      </c>
      <c r="B254" s="22" t="str">
        <f>IF(MOV_CC_INTL!B254="","",MOV_CC_INTL!B254)</f>
        <v/>
      </c>
      <c r="C254" s="22" t="str">
        <f>IF(MOV_CC_INTL!C254="","",MOV_CC_INTL!C254)</f>
        <v/>
      </c>
      <c r="D254" s="22" t="str">
        <f t="shared" si="1"/>
        <v>Other</v>
      </c>
      <c r="E254" s="21" t="str">
        <f>IF(C254="","",C254*CONFIG!B5)</f>
        <v/>
      </c>
    </row>
    <row r="255" ht="15.75" customHeight="1">
      <c r="A255" s="22" t="str">
        <f>IF(MOV_CC_INTL!A255="","",MOV_CC_INTL!A255)</f>
        <v/>
      </c>
      <c r="B255" s="22" t="str">
        <f>IF(MOV_CC_INTL!B255="","",MOV_CC_INTL!B255)</f>
        <v/>
      </c>
      <c r="C255" s="22" t="str">
        <f>IF(MOV_CC_INTL!C255="","",MOV_CC_INTL!C255)</f>
        <v/>
      </c>
      <c r="D255" s="22" t="str">
        <f t="shared" si="1"/>
        <v>Other</v>
      </c>
      <c r="E255" s="21" t="str">
        <f>IF(C255="","",C255*CONFIG!B5)</f>
        <v/>
      </c>
    </row>
    <row r="256" ht="15.75" customHeight="1">
      <c r="A256" s="22" t="str">
        <f>IF(MOV_CC_INTL!A256="","",MOV_CC_INTL!A256)</f>
        <v/>
      </c>
      <c r="B256" s="22" t="str">
        <f>IF(MOV_CC_INTL!B256="","",MOV_CC_INTL!B256)</f>
        <v/>
      </c>
      <c r="C256" s="22" t="str">
        <f>IF(MOV_CC_INTL!C256="","",MOV_CC_INTL!C256)</f>
        <v/>
      </c>
      <c r="D256" s="22" t="str">
        <f t="shared" si="1"/>
        <v>Other</v>
      </c>
      <c r="E256" s="21" t="str">
        <f>IF(C256="","",C256*CONFIG!B5)</f>
        <v/>
      </c>
    </row>
    <row r="257" ht="15.75" customHeight="1">
      <c r="A257" s="22" t="str">
        <f>IF(MOV_CC_INTL!A257="","",MOV_CC_INTL!A257)</f>
        <v/>
      </c>
      <c r="B257" s="22" t="str">
        <f>IF(MOV_CC_INTL!B257="","",MOV_CC_INTL!B257)</f>
        <v/>
      </c>
      <c r="C257" s="22" t="str">
        <f>IF(MOV_CC_INTL!C257="","",MOV_CC_INTL!C257)</f>
        <v/>
      </c>
      <c r="D257" s="22" t="str">
        <f t="shared" si="1"/>
        <v>Other</v>
      </c>
      <c r="E257" s="21" t="str">
        <f>IF(C257="","",C257*CONFIG!B5)</f>
        <v/>
      </c>
    </row>
    <row r="258" ht="15.75" customHeight="1">
      <c r="A258" s="22" t="str">
        <f>IF(MOV_CC_INTL!A258="","",MOV_CC_INTL!A258)</f>
        <v/>
      </c>
      <c r="B258" s="22" t="str">
        <f>IF(MOV_CC_INTL!B258="","",MOV_CC_INTL!B258)</f>
        <v/>
      </c>
      <c r="C258" s="22" t="str">
        <f>IF(MOV_CC_INTL!C258="","",MOV_CC_INTL!C258)</f>
        <v/>
      </c>
      <c r="D258" s="22" t="str">
        <f t="shared" si="1"/>
        <v>Other</v>
      </c>
      <c r="E258" s="21" t="str">
        <f>IF(C258="","",C258*CONFIG!B5)</f>
        <v/>
      </c>
    </row>
    <row r="259" ht="15.75" customHeight="1">
      <c r="A259" s="22" t="str">
        <f>IF(MOV_CC_INTL!A259="","",MOV_CC_INTL!A259)</f>
        <v/>
      </c>
      <c r="B259" s="22" t="str">
        <f>IF(MOV_CC_INTL!B259="","",MOV_CC_INTL!B259)</f>
        <v/>
      </c>
      <c r="C259" s="22" t="str">
        <f>IF(MOV_CC_INTL!C259="","",MOV_CC_INTL!C259)</f>
        <v/>
      </c>
      <c r="D259" s="22" t="str">
        <f t="shared" si="1"/>
        <v>Other</v>
      </c>
      <c r="E259" s="21" t="str">
        <f>IF(C259="","",C259*CONFIG!B5)</f>
        <v/>
      </c>
    </row>
    <row r="260" ht="15.75" customHeight="1">
      <c r="A260" s="22" t="str">
        <f>IF(MOV_CC_INTL!A260="","",MOV_CC_INTL!A260)</f>
        <v/>
      </c>
      <c r="B260" s="22" t="str">
        <f>IF(MOV_CC_INTL!B260="","",MOV_CC_INTL!B260)</f>
        <v/>
      </c>
      <c r="C260" s="22" t="str">
        <f>IF(MOV_CC_INTL!C260="","",MOV_CC_INTL!C260)</f>
        <v/>
      </c>
      <c r="D260" s="22" t="str">
        <f t="shared" si="1"/>
        <v>Other</v>
      </c>
      <c r="E260" s="21" t="str">
        <f>IF(C260="","",C260*CONFIG!B5)</f>
        <v/>
      </c>
    </row>
    <row r="261" ht="15.75" customHeight="1">
      <c r="A261" s="22" t="str">
        <f>IF(MOV_CC_INTL!A261="","",MOV_CC_INTL!A261)</f>
        <v/>
      </c>
      <c r="B261" s="22" t="str">
        <f>IF(MOV_CC_INTL!B261="","",MOV_CC_INTL!B261)</f>
        <v/>
      </c>
      <c r="C261" s="22" t="str">
        <f>IF(MOV_CC_INTL!C261="","",MOV_CC_INTL!C261)</f>
        <v/>
      </c>
      <c r="D261" s="22" t="str">
        <f t="shared" si="1"/>
        <v>Other</v>
      </c>
      <c r="E261" s="21" t="str">
        <f>IF(C261="","",C261*CONFIG!B5)</f>
        <v/>
      </c>
    </row>
    <row r="262" ht="15.75" customHeight="1">
      <c r="A262" s="22" t="str">
        <f>IF(MOV_CC_INTL!A262="","",MOV_CC_INTL!A262)</f>
        <v/>
      </c>
      <c r="B262" s="22" t="str">
        <f>IF(MOV_CC_INTL!B262="","",MOV_CC_INTL!B262)</f>
        <v/>
      </c>
      <c r="C262" s="22" t="str">
        <f>IF(MOV_CC_INTL!C262="","",MOV_CC_INTL!C262)</f>
        <v/>
      </c>
      <c r="D262" s="22" t="str">
        <f t="shared" si="1"/>
        <v>Other</v>
      </c>
      <c r="E262" s="21" t="str">
        <f>IF(C262="","",C262*CONFIG!B5)</f>
        <v/>
      </c>
    </row>
    <row r="263" ht="15.75" customHeight="1">
      <c r="A263" s="22" t="str">
        <f>IF(MOV_CC_INTL!A263="","",MOV_CC_INTL!A263)</f>
        <v/>
      </c>
      <c r="B263" s="22" t="str">
        <f>IF(MOV_CC_INTL!B263="","",MOV_CC_INTL!B263)</f>
        <v/>
      </c>
      <c r="C263" s="22" t="str">
        <f>IF(MOV_CC_INTL!C263="","",MOV_CC_INTL!C263)</f>
        <v/>
      </c>
      <c r="D263" s="22" t="str">
        <f t="shared" si="1"/>
        <v>Other</v>
      </c>
      <c r="E263" s="21" t="str">
        <f>IF(C263="","",C263*CONFIG!B5)</f>
        <v/>
      </c>
    </row>
    <row r="264" ht="15.75" customHeight="1">
      <c r="A264" s="22" t="str">
        <f>IF(MOV_CC_INTL!A264="","",MOV_CC_INTL!A264)</f>
        <v/>
      </c>
      <c r="B264" s="22" t="str">
        <f>IF(MOV_CC_INTL!B264="","",MOV_CC_INTL!B264)</f>
        <v/>
      </c>
      <c r="C264" s="22" t="str">
        <f>IF(MOV_CC_INTL!C264="","",MOV_CC_INTL!C264)</f>
        <v/>
      </c>
      <c r="D264" s="22" t="str">
        <f t="shared" si="1"/>
        <v>Other</v>
      </c>
      <c r="E264" s="21" t="str">
        <f>IF(C264="","",C264*CONFIG!B5)</f>
        <v/>
      </c>
    </row>
    <row r="265" ht="15.75" customHeight="1">
      <c r="A265" s="22" t="str">
        <f>IF(MOV_CC_INTL!A265="","",MOV_CC_INTL!A265)</f>
        <v/>
      </c>
      <c r="B265" s="22" t="str">
        <f>IF(MOV_CC_INTL!B265="","",MOV_CC_INTL!B265)</f>
        <v/>
      </c>
      <c r="C265" s="22" t="str">
        <f>IF(MOV_CC_INTL!C265="","",MOV_CC_INTL!C265)</f>
        <v/>
      </c>
      <c r="D265" s="22" t="str">
        <f t="shared" si="1"/>
        <v>Other</v>
      </c>
      <c r="E265" s="21" t="str">
        <f>IF(C265="","",C265*CONFIG!B5)</f>
        <v/>
      </c>
    </row>
    <row r="266" ht="15.75" customHeight="1">
      <c r="A266" s="22" t="str">
        <f>IF(MOV_CC_INTL!A266="","",MOV_CC_INTL!A266)</f>
        <v/>
      </c>
      <c r="B266" s="22" t="str">
        <f>IF(MOV_CC_INTL!B266="","",MOV_CC_INTL!B266)</f>
        <v/>
      </c>
      <c r="C266" s="22" t="str">
        <f>IF(MOV_CC_INTL!C266="","",MOV_CC_INTL!C266)</f>
        <v/>
      </c>
      <c r="D266" s="22" t="str">
        <f t="shared" si="1"/>
        <v>Other</v>
      </c>
      <c r="E266" s="21" t="str">
        <f>IF(C266="","",C266*CONFIG!B5)</f>
        <v/>
      </c>
    </row>
    <row r="267" ht="15.75" customHeight="1">
      <c r="A267" s="22" t="str">
        <f>IF(MOV_CC_INTL!A267="","",MOV_CC_INTL!A267)</f>
        <v/>
      </c>
      <c r="B267" s="22" t="str">
        <f>IF(MOV_CC_INTL!B267="","",MOV_CC_INTL!B267)</f>
        <v/>
      </c>
      <c r="C267" s="22" t="str">
        <f>IF(MOV_CC_INTL!C267="","",MOV_CC_INTL!C267)</f>
        <v/>
      </c>
      <c r="D267" s="22" t="str">
        <f t="shared" si="1"/>
        <v>Other</v>
      </c>
      <c r="E267" s="21" t="str">
        <f>IF(C267="","",C267*CONFIG!B5)</f>
        <v/>
      </c>
    </row>
    <row r="268" ht="15.75" customHeight="1">
      <c r="A268" s="22" t="str">
        <f>IF(MOV_CC_INTL!A268="","",MOV_CC_INTL!A268)</f>
        <v/>
      </c>
      <c r="B268" s="22" t="str">
        <f>IF(MOV_CC_INTL!B268="","",MOV_CC_INTL!B268)</f>
        <v/>
      </c>
      <c r="C268" s="22" t="str">
        <f>IF(MOV_CC_INTL!C268="","",MOV_CC_INTL!C268)</f>
        <v/>
      </c>
      <c r="D268" s="22" t="str">
        <f t="shared" si="1"/>
        <v>Other</v>
      </c>
      <c r="E268" s="21" t="str">
        <f>IF(C268="","",C268*CONFIG!B5)</f>
        <v/>
      </c>
    </row>
    <row r="269" ht="15.75" customHeight="1">
      <c r="A269" s="22" t="str">
        <f>IF(MOV_CC_INTL!A269="","",MOV_CC_INTL!A269)</f>
        <v/>
      </c>
      <c r="B269" s="22" t="str">
        <f>IF(MOV_CC_INTL!B269="","",MOV_CC_INTL!B269)</f>
        <v/>
      </c>
      <c r="C269" s="22" t="str">
        <f>IF(MOV_CC_INTL!C269="","",MOV_CC_INTL!C269)</f>
        <v/>
      </c>
      <c r="D269" s="22" t="str">
        <f t="shared" si="1"/>
        <v>Other</v>
      </c>
      <c r="E269" s="21" t="str">
        <f>IF(C269="","",C269*CONFIG!B5)</f>
        <v/>
      </c>
    </row>
    <row r="270" ht="15.75" customHeight="1">
      <c r="A270" s="22" t="str">
        <f>IF(MOV_CC_INTL!A270="","",MOV_CC_INTL!A270)</f>
        <v/>
      </c>
      <c r="B270" s="22" t="str">
        <f>IF(MOV_CC_INTL!B270="","",MOV_CC_INTL!B270)</f>
        <v/>
      </c>
      <c r="C270" s="22" t="str">
        <f>IF(MOV_CC_INTL!C270="","",MOV_CC_INTL!C270)</f>
        <v/>
      </c>
      <c r="D270" s="22" t="str">
        <f t="shared" si="1"/>
        <v>Other</v>
      </c>
      <c r="E270" s="21" t="str">
        <f>IF(C270="","",C270*CONFIG!B5)</f>
        <v/>
      </c>
    </row>
    <row r="271" ht="15.75" customHeight="1">
      <c r="A271" s="22" t="str">
        <f>IF(MOV_CC_INTL!A271="","",MOV_CC_INTL!A271)</f>
        <v/>
      </c>
      <c r="B271" s="22" t="str">
        <f>IF(MOV_CC_INTL!B271="","",MOV_CC_INTL!B271)</f>
        <v/>
      </c>
      <c r="C271" s="22" t="str">
        <f>IF(MOV_CC_INTL!C271="","",MOV_CC_INTL!C271)</f>
        <v/>
      </c>
      <c r="D271" s="22" t="str">
        <f t="shared" si="1"/>
        <v>Other</v>
      </c>
      <c r="E271" s="21" t="str">
        <f>IF(C271="","",C271*CONFIG!B5)</f>
        <v/>
      </c>
    </row>
    <row r="272" ht="15.75" customHeight="1">
      <c r="A272" s="22" t="str">
        <f>IF(MOV_CC_INTL!A272="","",MOV_CC_INTL!A272)</f>
        <v/>
      </c>
      <c r="B272" s="22" t="str">
        <f>IF(MOV_CC_INTL!B272="","",MOV_CC_INTL!B272)</f>
        <v/>
      </c>
      <c r="C272" s="22" t="str">
        <f>IF(MOV_CC_INTL!C272="","",MOV_CC_INTL!C272)</f>
        <v/>
      </c>
      <c r="D272" s="22" t="str">
        <f t="shared" si="1"/>
        <v>Other</v>
      </c>
      <c r="E272" s="21" t="str">
        <f>IF(C272="","",C272*CONFIG!B5)</f>
        <v/>
      </c>
    </row>
    <row r="273" ht="15.75" customHeight="1">
      <c r="A273" s="22" t="str">
        <f>IF(MOV_CC_INTL!A273="","",MOV_CC_INTL!A273)</f>
        <v/>
      </c>
      <c r="B273" s="22" t="str">
        <f>IF(MOV_CC_INTL!B273="","",MOV_CC_INTL!B273)</f>
        <v/>
      </c>
      <c r="C273" s="22" t="str">
        <f>IF(MOV_CC_INTL!C273="","",MOV_CC_INTL!C273)</f>
        <v/>
      </c>
      <c r="D273" s="22" t="str">
        <f t="shared" si="1"/>
        <v>Other</v>
      </c>
      <c r="E273" s="21" t="str">
        <f>IF(C273="","",C273*CONFIG!B5)</f>
        <v/>
      </c>
    </row>
    <row r="274" ht="15.75" customHeight="1">
      <c r="A274" s="22" t="str">
        <f>IF(MOV_CC_INTL!A274="","",MOV_CC_INTL!A274)</f>
        <v/>
      </c>
      <c r="B274" s="22" t="str">
        <f>IF(MOV_CC_INTL!B274="","",MOV_CC_INTL!B274)</f>
        <v/>
      </c>
      <c r="C274" s="22" t="str">
        <f>IF(MOV_CC_INTL!C274="","",MOV_CC_INTL!C274)</f>
        <v/>
      </c>
      <c r="D274" s="22" t="str">
        <f t="shared" si="1"/>
        <v>Other</v>
      </c>
      <c r="E274" s="21" t="str">
        <f>IF(C274="","",C274*CONFIG!B5)</f>
        <v/>
      </c>
    </row>
    <row r="275" ht="15.75" customHeight="1">
      <c r="A275" s="22" t="str">
        <f>IF(MOV_CC_INTL!A275="","",MOV_CC_INTL!A275)</f>
        <v/>
      </c>
      <c r="B275" s="22" t="str">
        <f>IF(MOV_CC_INTL!B275="","",MOV_CC_INTL!B275)</f>
        <v/>
      </c>
      <c r="C275" s="22" t="str">
        <f>IF(MOV_CC_INTL!C275="","",MOV_CC_INTL!C275)</f>
        <v/>
      </c>
      <c r="D275" s="22" t="str">
        <f t="shared" si="1"/>
        <v>Other</v>
      </c>
      <c r="E275" s="21" t="str">
        <f>IF(C275="","",C275*CONFIG!B5)</f>
        <v/>
      </c>
    </row>
    <row r="276" ht="15.75" customHeight="1">
      <c r="A276" s="22" t="str">
        <f>IF(MOV_CC_INTL!A276="","",MOV_CC_INTL!A276)</f>
        <v/>
      </c>
      <c r="B276" s="22" t="str">
        <f>IF(MOV_CC_INTL!B276="","",MOV_CC_INTL!B276)</f>
        <v/>
      </c>
      <c r="C276" s="22" t="str">
        <f>IF(MOV_CC_INTL!C276="","",MOV_CC_INTL!C276)</f>
        <v/>
      </c>
      <c r="D276" s="22" t="str">
        <f t="shared" si="1"/>
        <v>Other</v>
      </c>
      <c r="E276" s="21" t="str">
        <f>IF(C276="","",C276*CONFIG!B5)</f>
        <v/>
      </c>
    </row>
    <row r="277" ht="15.75" customHeight="1">
      <c r="A277" s="22" t="str">
        <f>IF(MOV_CC_INTL!A277="","",MOV_CC_INTL!A277)</f>
        <v/>
      </c>
      <c r="B277" s="22" t="str">
        <f>IF(MOV_CC_INTL!B277="","",MOV_CC_INTL!B277)</f>
        <v/>
      </c>
      <c r="C277" s="22" t="str">
        <f>IF(MOV_CC_INTL!C277="","",MOV_CC_INTL!C277)</f>
        <v/>
      </c>
      <c r="D277" s="22" t="str">
        <f t="shared" si="1"/>
        <v>Other</v>
      </c>
      <c r="E277" s="21" t="str">
        <f>IF(C277="","",C277*CONFIG!B5)</f>
        <v/>
      </c>
    </row>
    <row r="278" ht="15.75" customHeight="1">
      <c r="A278" s="22" t="str">
        <f>IF(MOV_CC_INTL!A278="","",MOV_CC_INTL!A278)</f>
        <v/>
      </c>
      <c r="B278" s="22" t="str">
        <f>IF(MOV_CC_INTL!B278="","",MOV_CC_INTL!B278)</f>
        <v/>
      </c>
      <c r="C278" s="22" t="str">
        <f>IF(MOV_CC_INTL!C278="","",MOV_CC_INTL!C278)</f>
        <v/>
      </c>
      <c r="D278" s="22" t="str">
        <f t="shared" si="1"/>
        <v>Other</v>
      </c>
      <c r="E278" s="21" t="str">
        <f>IF(C278="","",C278*CONFIG!B5)</f>
        <v/>
      </c>
    </row>
    <row r="279" ht="15.75" customHeight="1">
      <c r="A279" s="22" t="str">
        <f>IF(MOV_CC_INTL!A279="","",MOV_CC_INTL!A279)</f>
        <v/>
      </c>
      <c r="B279" s="22" t="str">
        <f>IF(MOV_CC_INTL!B279="","",MOV_CC_INTL!B279)</f>
        <v/>
      </c>
      <c r="C279" s="22" t="str">
        <f>IF(MOV_CC_INTL!C279="","",MOV_CC_INTL!C279)</f>
        <v/>
      </c>
      <c r="D279" s="22" t="str">
        <f t="shared" si="1"/>
        <v>Other</v>
      </c>
      <c r="E279" s="21" t="str">
        <f>IF(C279="","",C279*CONFIG!B5)</f>
        <v/>
      </c>
    </row>
    <row r="280" ht="15.75" customHeight="1">
      <c r="A280" s="22" t="str">
        <f>IF(MOV_CC_INTL!A280="","",MOV_CC_INTL!A280)</f>
        <v/>
      </c>
      <c r="B280" s="22" t="str">
        <f>IF(MOV_CC_INTL!B280="","",MOV_CC_INTL!B280)</f>
        <v/>
      </c>
      <c r="C280" s="22" t="str">
        <f>IF(MOV_CC_INTL!C280="","",MOV_CC_INTL!C280)</f>
        <v/>
      </c>
      <c r="D280" s="22" t="str">
        <f t="shared" si="1"/>
        <v>Other</v>
      </c>
      <c r="E280" s="21" t="str">
        <f>IF(C280="","",C280*CONFIG!B5)</f>
        <v/>
      </c>
    </row>
    <row r="281" ht="15.75" customHeight="1">
      <c r="A281" s="22" t="str">
        <f>IF(MOV_CC_INTL!A281="","",MOV_CC_INTL!A281)</f>
        <v/>
      </c>
      <c r="B281" s="22" t="str">
        <f>IF(MOV_CC_INTL!B281="","",MOV_CC_INTL!B281)</f>
        <v/>
      </c>
      <c r="C281" s="22" t="str">
        <f>IF(MOV_CC_INTL!C281="","",MOV_CC_INTL!C281)</f>
        <v/>
      </c>
      <c r="D281" s="22" t="str">
        <f t="shared" si="1"/>
        <v>Other</v>
      </c>
      <c r="E281" s="21" t="str">
        <f>IF(C281="","",C281*CONFIG!B5)</f>
        <v/>
      </c>
    </row>
    <row r="282" ht="15.75" customHeight="1">
      <c r="A282" s="22" t="str">
        <f>IF(MOV_CC_INTL!A282="","",MOV_CC_INTL!A282)</f>
        <v/>
      </c>
      <c r="B282" s="22" t="str">
        <f>IF(MOV_CC_INTL!B282="","",MOV_CC_INTL!B282)</f>
        <v/>
      </c>
      <c r="C282" s="22" t="str">
        <f>IF(MOV_CC_INTL!C282="","",MOV_CC_INTL!C282)</f>
        <v/>
      </c>
      <c r="D282" s="22" t="str">
        <f t="shared" si="1"/>
        <v>Other</v>
      </c>
      <c r="E282" s="21" t="str">
        <f>IF(C282="","",C282*CONFIG!B5)</f>
        <v/>
      </c>
    </row>
    <row r="283" ht="15.75" customHeight="1">
      <c r="A283" s="22" t="str">
        <f>IF(MOV_CC_INTL!A283="","",MOV_CC_INTL!A283)</f>
        <v/>
      </c>
      <c r="B283" s="22" t="str">
        <f>IF(MOV_CC_INTL!B283="","",MOV_CC_INTL!B283)</f>
        <v/>
      </c>
      <c r="C283" s="22" t="str">
        <f>IF(MOV_CC_INTL!C283="","",MOV_CC_INTL!C283)</f>
        <v/>
      </c>
      <c r="D283" s="22" t="str">
        <f t="shared" si="1"/>
        <v>Other</v>
      </c>
      <c r="E283" s="21" t="str">
        <f>IF(C283="","",C283*CONFIG!B5)</f>
        <v/>
      </c>
    </row>
    <row r="284" ht="15.75" customHeight="1">
      <c r="A284" s="22" t="str">
        <f>IF(MOV_CC_INTL!A284="","",MOV_CC_INTL!A284)</f>
        <v/>
      </c>
      <c r="B284" s="22" t="str">
        <f>IF(MOV_CC_INTL!B284="","",MOV_CC_INTL!B284)</f>
        <v/>
      </c>
      <c r="C284" s="22" t="str">
        <f>IF(MOV_CC_INTL!C284="","",MOV_CC_INTL!C284)</f>
        <v/>
      </c>
      <c r="D284" s="22" t="str">
        <f t="shared" si="1"/>
        <v>Other</v>
      </c>
      <c r="E284" s="21" t="str">
        <f>IF(C284="","",C284*CONFIG!B5)</f>
        <v/>
      </c>
    </row>
    <row r="285" ht="15.75" customHeight="1">
      <c r="A285" s="22" t="str">
        <f>IF(MOV_CC_INTL!A285="","",MOV_CC_INTL!A285)</f>
        <v/>
      </c>
      <c r="B285" s="22" t="str">
        <f>IF(MOV_CC_INTL!B285="","",MOV_CC_INTL!B285)</f>
        <v/>
      </c>
      <c r="C285" s="22" t="str">
        <f>IF(MOV_CC_INTL!C285="","",MOV_CC_INTL!C285)</f>
        <v/>
      </c>
      <c r="D285" s="22" t="str">
        <f t="shared" si="1"/>
        <v>Other</v>
      </c>
      <c r="E285" s="21" t="str">
        <f>IF(C285="","",C285*CONFIG!B5)</f>
        <v/>
      </c>
    </row>
    <row r="286" ht="15.75" customHeight="1">
      <c r="A286" s="22" t="str">
        <f>IF(MOV_CC_INTL!A286="","",MOV_CC_INTL!A286)</f>
        <v/>
      </c>
      <c r="B286" s="22" t="str">
        <f>IF(MOV_CC_INTL!B286="","",MOV_CC_INTL!B286)</f>
        <v/>
      </c>
      <c r="C286" s="22" t="str">
        <f>IF(MOV_CC_INTL!C286="","",MOV_CC_INTL!C286)</f>
        <v/>
      </c>
      <c r="D286" s="22" t="str">
        <f t="shared" si="1"/>
        <v>Other</v>
      </c>
      <c r="E286" s="21" t="str">
        <f>IF(C286="","",C286*CONFIG!B5)</f>
        <v/>
      </c>
    </row>
    <row r="287" ht="15.75" customHeight="1">
      <c r="A287" s="22" t="str">
        <f>IF(MOV_CC_INTL!A287="","",MOV_CC_INTL!A287)</f>
        <v/>
      </c>
      <c r="B287" s="22" t="str">
        <f>IF(MOV_CC_INTL!B287="","",MOV_CC_INTL!B287)</f>
        <v/>
      </c>
      <c r="C287" s="22" t="str">
        <f>IF(MOV_CC_INTL!C287="","",MOV_CC_INTL!C287)</f>
        <v/>
      </c>
      <c r="D287" s="22" t="str">
        <f t="shared" si="1"/>
        <v>Other</v>
      </c>
      <c r="E287" s="21" t="str">
        <f>IF(C287="","",C287*CONFIG!B5)</f>
        <v/>
      </c>
    </row>
    <row r="288" ht="15.75" customHeight="1">
      <c r="A288" s="22" t="str">
        <f>IF(MOV_CC_INTL!A288="","",MOV_CC_INTL!A288)</f>
        <v/>
      </c>
      <c r="B288" s="22" t="str">
        <f>IF(MOV_CC_INTL!B288="","",MOV_CC_INTL!B288)</f>
        <v/>
      </c>
      <c r="C288" s="22" t="str">
        <f>IF(MOV_CC_INTL!C288="","",MOV_CC_INTL!C288)</f>
        <v/>
      </c>
      <c r="D288" s="22" t="str">
        <f t="shared" si="1"/>
        <v>Other</v>
      </c>
      <c r="E288" s="21" t="str">
        <f>IF(C288="","",C288*CONFIG!B5)</f>
        <v/>
      </c>
    </row>
    <row r="289" ht="15.75" customHeight="1">
      <c r="A289" s="22" t="str">
        <f>IF(MOV_CC_INTL!A289="","",MOV_CC_INTL!A289)</f>
        <v/>
      </c>
      <c r="B289" s="22" t="str">
        <f>IF(MOV_CC_INTL!B289="","",MOV_CC_INTL!B289)</f>
        <v/>
      </c>
      <c r="C289" s="22" t="str">
        <f>IF(MOV_CC_INTL!C289="","",MOV_CC_INTL!C289)</f>
        <v/>
      </c>
      <c r="D289" s="22" t="str">
        <f t="shared" si="1"/>
        <v>Other</v>
      </c>
      <c r="E289" s="21" t="str">
        <f>IF(C289="","",C289*CONFIG!B5)</f>
        <v/>
      </c>
    </row>
    <row r="290" ht="15.75" customHeight="1">
      <c r="A290" s="22" t="str">
        <f>IF(MOV_CC_INTL!A290="","",MOV_CC_INTL!A290)</f>
        <v/>
      </c>
      <c r="B290" s="22" t="str">
        <f>IF(MOV_CC_INTL!B290="","",MOV_CC_INTL!B290)</f>
        <v/>
      </c>
      <c r="C290" s="22" t="str">
        <f>IF(MOV_CC_INTL!C290="","",MOV_CC_INTL!C290)</f>
        <v/>
      </c>
      <c r="D290" s="22" t="str">
        <f t="shared" si="1"/>
        <v>Other</v>
      </c>
      <c r="E290" s="21" t="str">
        <f>IF(C290="","",C290*CONFIG!B5)</f>
        <v/>
      </c>
    </row>
    <row r="291" ht="15.75" customHeight="1">
      <c r="A291" s="22" t="str">
        <f>IF(MOV_CC_INTL!A291="","",MOV_CC_INTL!A291)</f>
        <v/>
      </c>
      <c r="B291" s="22" t="str">
        <f>IF(MOV_CC_INTL!B291="","",MOV_CC_INTL!B291)</f>
        <v/>
      </c>
      <c r="C291" s="22" t="str">
        <f>IF(MOV_CC_INTL!C291="","",MOV_CC_INTL!C291)</f>
        <v/>
      </c>
      <c r="D291" s="22" t="str">
        <f t="shared" si="1"/>
        <v>Other</v>
      </c>
      <c r="E291" s="21" t="str">
        <f>IF(C291="","",C291*CONFIG!B5)</f>
        <v/>
      </c>
    </row>
    <row r="292" ht="15.75" customHeight="1">
      <c r="A292" s="22" t="str">
        <f>IF(MOV_CC_INTL!A292="","",MOV_CC_INTL!A292)</f>
        <v/>
      </c>
      <c r="B292" s="22" t="str">
        <f>IF(MOV_CC_INTL!B292="","",MOV_CC_INTL!B292)</f>
        <v/>
      </c>
      <c r="C292" s="22" t="str">
        <f>IF(MOV_CC_INTL!C292="","",MOV_CC_INTL!C292)</f>
        <v/>
      </c>
      <c r="D292" s="22" t="str">
        <f t="shared" si="1"/>
        <v>Other</v>
      </c>
      <c r="E292" s="21" t="str">
        <f>IF(C292="","",C292*CONFIG!B5)</f>
        <v/>
      </c>
    </row>
    <row r="293" ht="15.75" customHeight="1">
      <c r="A293" s="22" t="str">
        <f>IF(MOV_CC_INTL!A293="","",MOV_CC_INTL!A293)</f>
        <v/>
      </c>
      <c r="B293" s="22" t="str">
        <f>IF(MOV_CC_INTL!B293="","",MOV_CC_INTL!B293)</f>
        <v/>
      </c>
      <c r="C293" s="22" t="str">
        <f>IF(MOV_CC_INTL!C293="","",MOV_CC_INTL!C293)</f>
        <v/>
      </c>
      <c r="D293" s="22" t="str">
        <f t="shared" si="1"/>
        <v>Other</v>
      </c>
      <c r="E293" s="21" t="str">
        <f>IF(C293="","",C293*CONFIG!B5)</f>
        <v/>
      </c>
    </row>
    <row r="294" ht="15.75" customHeight="1">
      <c r="A294" s="22" t="str">
        <f>IF(MOV_CC_INTL!A294="","",MOV_CC_INTL!A294)</f>
        <v/>
      </c>
      <c r="B294" s="22" t="str">
        <f>IF(MOV_CC_INTL!B294="","",MOV_CC_INTL!B294)</f>
        <v/>
      </c>
      <c r="C294" s="22" t="str">
        <f>IF(MOV_CC_INTL!C294="","",MOV_CC_INTL!C294)</f>
        <v/>
      </c>
      <c r="D294" s="22" t="str">
        <f t="shared" si="1"/>
        <v>Other</v>
      </c>
      <c r="E294" s="21" t="str">
        <f>IF(C294="","",C294*CONFIG!B5)</f>
        <v/>
      </c>
    </row>
    <row r="295" ht="15.75" customHeight="1">
      <c r="A295" s="22" t="str">
        <f>IF(MOV_CC_INTL!A295="","",MOV_CC_INTL!A295)</f>
        <v/>
      </c>
      <c r="B295" s="22" t="str">
        <f>IF(MOV_CC_INTL!B295="","",MOV_CC_INTL!B295)</f>
        <v/>
      </c>
      <c r="C295" s="22" t="str">
        <f>IF(MOV_CC_INTL!C295="","",MOV_CC_INTL!C295)</f>
        <v/>
      </c>
      <c r="D295" s="22" t="str">
        <f t="shared" si="1"/>
        <v>Other</v>
      </c>
      <c r="E295" s="21" t="str">
        <f>IF(C295="","",C295*CONFIG!B5)</f>
        <v/>
      </c>
    </row>
    <row r="296" ht="15.75" customHeight="1">
      <c r="A296" s="22" t="str">
        <f>IF(MOV_CC_INTL!A296="","",MOV_CC_INTL!A296)</f>
        <v/>
      </c>
      <c r="B296" s="22" t="str">
        <f>IF(MOV_CC_INTL!B296="","",MOV_CC_INTL!B296)</f>
        <v/>
      </c>
      <c r="C296" s="22" t="str">
        <f>IF(MOV_CC_INTL!C296="","",MOV_CC_INTL!C296)</f>
        <v/>
      </c>
      <c r="D296" s="22" t="str">
        <f t="shared" si="1"/>
        <v>Other</v>
      </c>
      <c r="E296" s="21" t="str">
        <f>IF(C296="","",C296*CONFIG!B5)</f>
        <v/>
      </c>
    </row>
    <row r="297" ht="15.75" customHeight="1">
      <c r="A297" s="22" t="str">
        <f>IF(MOV_CC_INTL!A297="","",MOV_CC_INTL!A297)</f>
        <v/>
      </c>
      <c r="B297" s="22" t="str">
        <f>IF(MOV_CC_INTL!B297="","",MOV_CC_INTL!B297)</f>
        <v/>
      </c>
      <c r="C297" s="22" t="str">
        <f>IF(MOV_CC_INTL!C297="","",MOV_CC_INTL!C297)</f>
        <v/>
      </c>
      <c r="D297" s="22" t="str">
        <f t="shared" si="1"/>
        <v>Other</v>
      </c>
      <c r="E297" s="21" t="str">
        <f>IF(C297="","",C297*CONFIG!B5)</f>
        <v/>
      </c>
    </row>
    <row r="298" ht="15.75" customHeight="1">
      <c r="A298" s="22" t="str">
        <f>IF(MOV_CC_INTL!A298="","",MOV_CC_INTL!A298)</f>
        <v/>
      </c>
      <c r="B298" s="22" t="str">
        <f>IF(MOV_CC_INTL!B298="","",MOV_CC_INTL!B298)</f>
        <v/>
      </c>
      <c r="C298" s="22" t="str">
        <f>IF(MOV_CC_INTL!C298="","",MOV_CC_INTL!C298)</f>
        <v/>
      </c>
      <c r="D298" s="22" t="str">
        <f t="shared" si="1"/>
        <v>Other</v>
      </c>
      <c r="E298" s="21" t="str">
        <f>IF(C298="","",C298*CONFIG!B5)</f>
        <v/>
      </c>
    </row>
    <row r="299" ht="15.75" customHeight="1">
      <c r="A299" s="22" t="str">
        <f>IF(MOV_CC_INTL!A299="","",MOV_CC_INTL!A299)</f>
        <v/>
      </c>
      <c r="B299" s="22" t="str">
        <f>IF(MOV_CC_INTL!B299="","",MOV_CC_INTL!B299)</f>
        <v/>
      </c>
      <c r="C299" s="22" t="str">
        <f>IF(MOV_CC_INTL!C299="","",MOV_CC_INTL!C299)</f>
        <v/>
      </c>
      <c r="D299" s="22" t="str">
        <f t="shared" si="1"/>
        <v>Other</v>
      </c>
      <c r="E299" s="21" t="str">
        <f>IF(C299="","",C299*CONFIG!B5)</f>
        <v/>
      </c>
    </row>
    <row r="300" ht="15.75" customHeight="1">
      <c r="A300" s="22" t="str">
        <f>IF(MOV_CC_INTL!A300="","",MOV_CC_INTL!A300)</f>
        <v/>
      </c>
      <c r="B300" s="22" t="str">
        <f>IF(MOV_CC_INTL!B300="","",MOV_CC_INTL!B300)</f>
        <v/>
      </c>
      <c r="C300" s="22" t="str">
        <f>IF(MOV_CC_INTL!C300="","",MOV_CC_INTL!C300)</f>
        <v/>
      </c>
      <c r="D300" s="22" t="str">
        <f t="shared" si="1"/>
        <v>Other</v>
      </c>
      <c r="E300" s="21" t="str">
        <f>IF(C300="","",C300*CONFIG!B5)</f>
        <v/>
      </c>
    </row>
    <row r="301" ht="15.75" customHeight="1">
      <c r="A301" s="22" t="str">
        <f>IF(MOV_CC_INTL!A301="","",MOV_CC_INTL!A301)</f>
        <v/>
      </c>
      <c r="B301" s="22" t="str">
        <f>IF(MOV_CC_INTL!B301="","",MOV_CC_INTL!B301)</f>
        <v/>
      </c>
      <c r="C301" s="22" t="str">
        <f>IF(MOV_CC_INTL!C301="","",MOV_CC_INTL!C301)</f>
        <v/>
      </c>
      <c r="D301" s="22" t="str">
        <f t="shared" si="1"/>
        <v>Other</v>
      </c>
      <c r="E301" s="21" t="str">
        <f>IF(C301="","",C301*CONFIG!B5)</f>
        <v/>
      </c>
    </row>
    <row r="302" ht="15.75" customHeight="1">
      <c r="A302" s="22" t="str">
        <f>IF(MOV_CC_INTL!A302="","",MOV_CC_INTL!A302)</f>
        <v/>
      </c>
      <c r="B302" s="22" t="str">
        <f>IF(MOV_CC_INTL!B302="","",MOV_CC_INTL!B302)</f>
        <v/>
      </c>
      <c r="C302" s="22" t="str">
        <f>IF(MOV_CC_INTL!C302="","",MOV_CC_INTL!C302)</f>
        <v/>
      </c>
      <c r="D302" s="22" t="str">
        <f t="shared" si="1"/>
        <v>Other</v>
      </c>
      <c r="E302" s="21" t="str">
        <f>IF(C302="","",C302*CONFIG!B5)</f>
        <v/>
      </c>
    </row>
    <row r="303" ht="15.75" customHeight="1">
      <c r="A303" s="22" t="str">
        <f>IF(MOV_CC_INTL!A303="","",MOV_CC_INTL!A303)</f>
        <v/>
      </c>
      <c r="B303" s="22" t="str">
        <f>IF(MOV_CC_INTL!B303="","",MOV_CC_INTL!B303)</f>
        <v/>
      </c>
      <c r="C303" s="22" t="str">
        <f>IF(MOV_CC_INTL!C303="","",MOV_CC_INTL!C303)</f>
        <v/>
      </c>
      <c r="D303" s="22" t="str">
        <f t="shared" si="1"/>
        <v>Other</v>
      </c>
      <c r="E303" s="21" t="str">
        <f>IF(C303="","",C303*CONFIG!B5)</f>
        <v/>
      </c>
    </row>
    <row r="304" ht="15.75" customHeight="1">
      <c r="A304" s="22" t="str">
        <f>IF(MOV_CC_INTL!A304="","",MOV_CC_INTL!A304)</f>
        <v/>
      </c>
      <c r="B304" s="22" t="str">
        <f>IF(MOV_CC_INTL!B304="","",MOV_CC_INTL!B304)</f>
        <v/>
      </c>
      <c r="C304" s="22" t="str">
        <f>IF(MOV_CC_INTL!C304="","",MOV_CC_INTL!C304)</f>
        <v/>
      </c>
      <c r="D304" s="22" t="str">
        <f t="shared" si="1"/>
        <v>Other</v>
      </c>
      <c r="E304" s="21" t="str">
        <f>IF(C304="","",C304*CONFIG!B5)</f>
        <v/>
      </c>
    </row>
    <row r="305" ht="15.75" customHeight="1">
      <c r="A305" s="22" t="str">
        <f>IF(MOV_CC_INTL!A305="","",MOV_CC_INTL!A305)</f>
        <v/>
      </c>
      <c r="B305" s="22" t="str">
        <f>IF(MOV_CC_INTL!B305="","",MOV_CC_INTL!B305)</f>
        <v/>
      </c>
      <c r="C305" s="22" t="str">
        <f>IF(MOV_CC_INTL!C305="","",MOV_CC_INTL!C305)</f>
        <v/>
      </c>
      <c r="D305" s="22" t="str">
        <f t="shared" si="1"/>
        <v>Other</v>
      </c>
      <c r="E305" s="21" t="str">
        <f>IF(C305="","",C305*CONFIG!B5)</f>
        <v/>
      </c>
    </row>
    <row r="306" ht="15.75" customHeight="1">
      <c r="A306" s="22" t="str">
        <f>IF(MOV_CC_INTL!A306="","",MOV_CC_INTL!A306)</f>
        <v/>
      </c>
      <c r="B306" s="22" t="str">
        <f>IF(MOV_CC_INTL!B306="","",MOV_CC_INTL!B306)</f>
        <v/>
      </c>
      <c r="C306" s="22" t="str">
        <f>IF(MOV_CC_INTL!C306="","",MOV_CC_INTL!C306)</f>
        <v/>
      </c>
      <c r="D306" s="22" t="str">
        <f t="shared" si="1"/>
        <v>Other</v>
      </c>
      <c r="E306" s="21" t="str">
        <f>IF(C306="","",C306*CONFIG!B5)</f>
        <v/>
      </c>
    </row>
    <row r="307" ht="15.75" customHeight="1">
      <c r="A307" s="22" t="str">
        <f>IF(MOV_CC_INTL!A307="","",MOV_CC_INTL!A307)</f>
        <v/>
      </c>
      <c r="B307" s="22" t="str">
        <f>IF(MOV_CC_INTL!B307="","",MOV_CC_INTL!B307)</f>
        <v/>
      </c>
      <c r="C307" s="22" t="str">
        <f>IF(MOV_CC_INTL!C307="","",MOV_CC_INTL!C307)</f>
        <v/>
      </c>
      <c r="D307" s="22" t="str">
        <f t="shared" si="1"/>
        <v>Other</v>
      </c>
      <c r="E307" s="21" t="str">
        <f>IF(C307="","",C307*CONFIG!B5)</f>
        <v/>
      </c>
    </row>
    <row r="308" ht="15.75" customHeight="1">
      <c r="A308" s="22" t="str">
        <f>IF(MOV_CC_INTL!A308="","",MOV_CC_INTL!A308)</f>
        <v/>
      </c>
      <c r="B308" s="22" t="str">
        <f>IF(MOV_CC_INTL!B308="","",MOV_CC_INTL!B308)</f>
        <v/>
      </c>
      <c r="C308" s="22" t="str">
        <f>IF(MOV_CC_INTL!C308="","",MOV_CC_INTL!C308)</f>
        <v/>
      </c>
      <c r="D308" s="22" t="str">
        <f t="shared" si="1"/>
        <v>Other</v>
      </c>
      <c r="E308" s="21" t="str">
        <f>IF(C308="","",C308*CONFIG!B5)</f>
        <v/>
      </c>
    </row>
    <row r="309" ht="15.75" customHeight="1">
      <c r="A309" s="22" t="str">
        <f>IF(MOV_CC_INTL!A309="","",MOV_CC_INTL!A309)</f>
        <v/>
      </c>
      <c r="B309" s="22" t="str">
        <f>IF(MOV_CC_INTL!B309="","",MOV_CC_INTL!B309)</f>
        <v/>
      </c>
      <c r="C309" s="22" t="str">
        <f>IF(MOV_CC_INTL!C309="","",MOV_CC_INTL!C309)</f>
        <v/>
      </c>
      <c r="D309" s="22" t="str">
        <f t="shared" si="1"/>
        <v>Other</v>
      </c>
      <c r="E309" s="21" t="str">
        <f>IF(C309="","",C309*CONFIG!B5)</f>
        <v/>
      </c>
    </row>
    <row r="310" ht="15.75" customHeight="1">
      <c r="A310" s="22" t="str">
        <f>IF(MOV_CC_INTL!A310="","",MOV_CC_INTL!A310)</f>
        <v/>
      </c>
      <c r="B310" s="22" t="str">
        <f>IF(MOV_CC_INTL!B310="","",MOV_CC_INTL!B310)</f>
        <v/>
      </c>
      <c r="C310" s="22" t="str">
        <f>IF(MOV_CC_INTL!C310="","",MOV_CC_INTL!C310)</f>
        <v/>
      </c>
      <c r="D310" s="22" t="str">
        <f t="shared" si="1"/>
        <v>Other</v>
      </c>
      <c r="E310" s="21" t="str">
        <f>IF(C310="","",C310*CONFIG!B5)</f>
        <v/>
      </c>
    </row>
    <row r="311" ht="15.75" customHeight="1">
      <c r="A311" s="22" t="str">
        <f>IF(MOV_CC_INTL!A311="","",MOV_CC_INTL!A311)</f>
        <v/>
      </c>
      <c r="B311" s="22" t="str">
        <f>IF(MOV_CC_INTL!B311="","",MOV_CC_INTL!B311)</f>
        <v/>
      </c>
      <c r="C311" s="22" t="str">
        <f>IF(MOV_CC_INTL!C311="","",MOV_CC_INTL!C311)</f>
        <v/>
      </c>
      <c r="D311" s="22" t="str">
        <f t="shared" si="1"/>
        <v>Other</v>
      </c>
      <c r="E311" s="21" t="str">
        <f>IF(C311="","",C311*CONFIG!B5)</f>
        <v/>
      </c>
    </row>
    <row r="312" ht="15.75" customHeight="1">
      <c r="A312" s="22" t="str">
        <f>IF(MOV_CC_INTL!A312="","",MOV_CC_INTL!A312)</f>
        <v/>
      </c>
      <c r="B312" s="22" t="str">
        <f>IF(MOV_CC_INTL!B312="","",MOV_CC_INTL!B312)</f>
        <v/>
      </c>
      <c r="C312" s="22" t="str">
        <f>IF(MOV_CC_INTL!C312="","",MOV_CC_INTL!C312)</f>
        <v/>
      </c>
      <c r="D312" s="22" t="str">
        <f t="shared" si="1"/>
        <v>Other</v>
      </c>
      <c r="E312" s="21" t="str">
        <f>IF(C312="","",C312*CONFIG!B5)</f>
        <v/>
      </c>
    </row>
    <row r="313" ht="15.75" customHeight="1">
      <c r="A313" s="22" t="str">
        <f>IF(MOV_CC_INTL!A313="","",MOV_CC_INTL!A313)</f>
        <v/>
      </c>
      <c r="B313" s="22" t="str">
        <f>IF(MOV_CC_INTL!B313="","",MOV_CC_INTL!B313)</f>
        <v/>
      </c>
      <c r="C313" s="22" t="str">
        <f>IF(MOV_CC_INTL!C313="","",MOV_CC_INTL!C313)</f>
        <v/>
      </c>
      <c r="D313" s="22" t="str">
        <f t="shared" si="1"/>
        <v>Other</v>
      </c>
      <c r="E313" s="21" t="str">
        <f>IF(C313="","",C313*CONFIG!B5)</f>
        <v/>
      </c>
    </row>
    <row r="314" ht="15.75" customHeight="1">
      <c r="A314" s="22" t="str">
        <f>IF(MOV_CC_INTL!A314="","",MOV_CC_INTL!A314)</f>
        <v/>
      </c>
      <c r="B314" s="22" t="str">
        <f>IF(MOV_CC_INTL!B314="","",MOV_CC_INTL!B314)</f>
        <v/>
      </c>
      <c r="C314" s="22" t="str">
        <f>IF(MOV_CC_INTL!C314="","",MOV_CC_INTL!C314)</f>
        <v/>
      </c>
      <c r="D314" s="22" t="str">
        <f t="shared" si="1"/>
        <v>Other</v>
      </c>
      <c r="E314" s="21" t="str">
        <f>IF(C314="","",C314*CONFIG!B5)</f>
        <v/>
      </c>
    </row>
    <row r="315" ht="15.75" customHeight="1">
      <c r="A315" s="22" t="str">
        <f>IF(MOV_CC_INTL!A315="","",MOV_CC_INTL!A315)</f>
        <v/>
      </c>
      <c r="B315" s="22" t="str">
        <f>IF(MOV_CC_INTL!B315="","",MOV_CC_INTL!B315)</f>
        <v/>
      </c>
      <c r="C315" s="22" t="str">
        <f>IF(MOV_CC_INTL!C315="","",MOV_CC_INTL!C315)</f>
        <v/>
      </c>
      <c r="D315" s="22" t="str">
        <f t="shared" si="1"/>
        <v>Other</v>
      </c>
      <c r="E315" s="21" t="str">
        <f>IF(C315="","",C315*CONFIG!B5)</f>
        <v/>
      </c>
    </row>
    <row r="316" ht="15.75" customHeight="1">
      <c r="A316" s="22" t="str">
        <f>IF(MOV_CC_INTL!A316="","",MOV_CC_INTL!A316)</f>
        <v/>
      </c>
      <c r="B316" s="22" t="str">
        <f>IF(MOV_CC_INTL!B316="","",MOV_CC_INTL!B316)</f>
        <v/>
      </c>
      <c r="C316" s="22" t="str">
        <f>IF(MOV_CC_INTL!C316="","",MOV_CC_INTL!C316)</f>
        <v/>
      </c>
      <c r="D316" s="22" t="str">
        <f t="shared" si="1"/>
        <v>Other</v>
      </c>
      <c r="E316" s="21" t="str">
        <f>IF(C316="","",C316*CONFIG!B5)</f>
        <v/>
      </c>
    </row>
    <row r="317" ht="15.75" customHeight="1">
      <c r="A317" s="22" t="str">
        <f>IF(MOV_CC_INTL!A317="","",MOV_CC_INTL!A317)</f>
        <v/>
      </c>
      <c r="B317" s="22" t="str">
        <f>IF(MOV_CC_INTL!B317="","",MOV_CC_INTL!B317)</f>
        <v/>
      </c>
      <c r="C317" s="22" t="str">
        <f>IF(MOV_CC_INTL!C317="","",MOV_CC_INTL!C317)</f>
        <v/>
      </c>
      <c r="D317" s="22" t="str">
        <f t="shared" si="1"/>
        <v>Other</v>
      </c>
      <c r="E317" s="21" t="str">
        <f>IF(C317="","",C317*CONFIG!B5)</f>
        <v/>
      </c>
    </row>
    <row r="318" ht="15.75" customHeight="1">
      <c r="A318" s="22" t="str">
        <f>IF(MOV_CC_INTL!A318="","",MOV_CC_INTL!A318)</f>
        <v/>
      </c>
      <c r="B318" s="22" t="str">
        <f>IF(MOV_CC_INTL!B318="","",MOV_CC_INTL!B318)</f>
        <v/>
      </c>
      <c r="C318" s="22" t="str">
        <f>IF(MOV_CC_INTL!C318="","",MOV_CC_INTL!C318)</f>
        <v/>
      </c>
      <c r="D318" s="22" t="str">
        <f t="shared" si="1"/>
        <v>Other</v>
      </c>
      <c r="E318" s="21" t="str">
        <f>IF(C318="","",C318*CONFIG!B5)</f>
        <v/>
      </c>
    </row>
    <row r="319" ht="15.75" customHeight="1">
      <c r="A319" s="22" t="str">
        <f>IF(MOV_CC_INTL!A319="","",MOV_CC_INTL!A319)</f>
        <v/>
      </c>
      <c r="B319" s="22" t="str">
        <f>IF(MOV_CC_INTL!B319="","",MOV_CC_INTL!B319)</f>
        <v/>
      </c>
      <c r="C319" s="22" t="str">
        <f>IF(MOV_CC_INTL!C319="","",MOV_CC_INTL!C319)</f>
        <v/>
      </c>
      <c r="D319" s="22" t="str">
        <f t="shared" si="1"/>
        <v>Other</v>
      </c>
      <c r="E319" s="21" t="str">
        <f>IF(C319="","",C319*CONFIG!B5)</f>
        <v/>
      </c>
    </row>
    <row r="320" ht="15.75" customHeight="1">
      <c r="A320" s="22" t="str">
        <f>IF(MOV_CC_INTL!A320="","",MOV_CC_INTL!A320)</f>
        <v/>
      </c>
      <c r="B320" s="22" t="str">
        <f>IF(MOV_CC_INTL!B320="","",MOV_CC_INTL!B320)</f>
        <v/>
      </c>
      <c r="C320" s="22" t="str">
        <f>IF(MOV_CC_INTL!C320="","",MOV_CC_INTL!C320)</f>
        <v/>
      </c>
      <c r="D320" s="22" t="str">
        <f t="shared" si="1"/>
        <v>Other</v>
      </c>
      <c r="E320" s="21" t="str">
        <f>IF(C320="","",C320*CONFIG!B5)</f>
        <v/>
      </c>
    </row>
    <row r="321" ht="15.75" customHeight="1">
      <c r="A321" s="22" t="str">
        <f>IF(MOV_CC_INTL!A321="","",MOV_CC_INTL!A321)</f>
        <v/>
      </c>
      <c r="B321" s="22" t="str">
        <f>IF(MOV_CC_INTL!B321="","",MOV_CC_INTL!B321)</f>
        <v/>
      </c>
      <c r="C321" s="22" t="str">
        <f>IF(MOV_CC_INTL!C321="","",MOV_CC_INTL!C321)</f>
        <v/>
      </c>
      <c r="D321" s="22" t="str">
        <f t="shared" si="1"/>
        <v>Other</v>
      </c>
      <c r="E321" s="21" t="str">
        <f>IF(C321="","",C321*CONFIG!B5)</f>
        <v/>
      </c>
    </row>
    <row r="322" ht="15.75" customHeight="1">
      <c r="A322" s="22" t="str">
        <f>IF(MOV_CC_INTL!A322="","",MOV_CC_INTL!A322)</f>
        <v/>
      </c>
      <c r="B322" s="22" t="str">
        <f>IF(MOV_CC_INTL!B322="","",MOV_CC_INTL!B322)</f>
        <v/>
      </c>
      <c r="C322" s="22" t="str">
        <f>IF(MOV_CC_INTL!C322="","",MOV_CC_INTL!C322)</f>
        <v/>
      </c>
      <c r="D322" s="22" t="str">
        <f t="shared" si="1"/>
        <v>Other</v>
      </c>
      <c r="E322" s="21" t="str">
        <f>IF(C322="","",C322*CONFIG!B5)</f>
        <v/>
      </c>
    </row>
    <row r="323" ht="15.75" customHeight="1">
      <c r="A323" s="22" t="str">
        <f>IF(MOV_CC_INTL!A323="","",MOV_CC_INTL!A323)</f>
        <v/>
      </c>
      <c r="B323" s="22" t="str">
        <f>IF(MOV_CC_INTL!B323="","",MOV_CC_INTL!B323)</f>
        <v/>
      </c>
      <c r="C323" s="22" t="str">
        <f>IF(MOV_CC_INTL!C323="","",MOV_CC_INTL!C323)</f>
        <v/>
      </c>
      <c r="D323" s="22" t="str">
        <f t="shared" si="1"/>
        <v>Other</v>
      </c>
      <c r="E323" s="21" t="str">
        <f>IF(C323="","",C323*CONFIG!B5)</f>
        <v/>
      </c>
    </row>
    <row r="324" ht="15.75" customHeight="1">
      <c r="A324" s="22" t="str">
        <f>IF(MOV_CC_INTL!A324="","",MOV_CC_INTL!A324)</f>
        <v/>
      </c>
      <c r="B324" s="22" t="str">
        <f>IF(MOV_CC_INTL!B324="","",MOV_CC_INTL!B324)</f>
        <v/>
      </c>
      <c r="C324" s="22" t="str">
        <f>IF(MOV_CC_INTL!C324="","",MOV_CC_INTL!C324)</f>
        <v/>
      </c>
      <c r="D324" s="22" t="str">
        <f t="shared" si="1"/>
        <v>Other</v>
      </c>
      <c r="E324" s="21" t="str">
        <f>IF(C324="","",C324*CONFIG!B5)</f>
        <v/>
      </c>
    </row>
    <row r="325" ht="15.75" customHeight="1">
      <c r="A325" s="22" t="str">
        <f>IF(MOV_CC_INTL!A325="","",MOV_CC_INTL!A325)</f>
        <v/>
      </c>
      <c r="B325" s="22" t="str">
        <f>IF(MOV_CC_INTL!B325="","",MOV_CC_INTL!B325)</f>
        <v/>
      </c>
      <c r="C325" s="22" t="str">
        <f>IF(MOV_CC_INTL!C325="","",MOV_CC_INTL!C325)</f>
        <v/>
      </c>
      <c r="D325" s="22" t="str">
        <f t="shared" si="1"/>
        <v>Other</v>
      </c>
      <c r="E325" s="21" t="str">
        <f>IF(C325="","",C325*CONFIG!B5)</f>
        <v/>
      </c>
    </row>
    <row r="326" ht="15.75" customHeight="1">
      <c r="A326" s="22" t="str">
        <f>IF(MOV_CC_INTL!A326="","",MOV_CC_INTL!A326)</f>
        <v/>
      </c>
      <c r="B326" s="22" t="str">
        <f>IF(MOV_CC_INTL!B326="","",MOV_CC_INTL!B326)</f>
        <v/>
      </c>
      <c r="C326" s="22" t="str">
        <f>IF(MOV_CC_INTL!C326="","",MOV_CC_INTL!C326)</f>
        <v/>
      </c>
      <c r="D326" s="22" t="str">
        <f t="shared" si="1"/>
        <v>Other</v>
      </c>
      <c r="E326" s="21" t="str">
        <f>IF(C326="","",C326*CONFIG!B5)</f>
        <v/>
      </c>
    </row>
    <row r="327" ht="15.75" customHeight="1">
      <c r="A327" s="22" t="str">
        <f>IF(MOV_CC_INTL!A327="","",MOV_CC_INTL!A327)</f>
        <v/>
      </c>
      <c r="B327" s="22" t="str">
        <f>IF(MOV_CC_INTL!B327="","",MOV_CC_INTL!B327)</f>
        <v/>
      </c>
      <c r="C327" s="22" t="str">
        <f>IF(MOV_CC_INTL!C327="","",MOV_CC_INTL!C327)</f>
        <v/>
      </c>
      <c r="D327" s="22" t="str">
        <f t="shared" si="1"/>
        <v>Other</v>
      </c>
      <c r="E327" s="21" t="str">
        <f>IF(C327="","",C327*CONFIG!B5)</f>
        <v/>
      </c>
    </row>
    <row r="328" ht="15.75" customHeight="1">
      <c r="A328" s="22" t="str">
        <f>IF(MOV_CC_INTL!A328="","",MOV_CC_INTL!A328)</f>
        <v/>
      </c>
      <c r="B328" s="22" t="str">
        <f>IF(MOV_CC_INTL!B328="","",MOV_CC_INTL!B328)</f>
        <v/>
      </c>
      <c r="C328" s="22" t="str">
        <f>IF(MOV_CC_INTL!C328="","",MOV_CC_INTL!C328)</f>
        <v/>
      </c>
      <c r="D328" s="22" t="str">
        <f t="shared" si="1"/>
        <v>Other</v>
      </c>
      <c r="E328" s="21" t="str">
        <f>IF(C328="","",C328*CONFIG!B5)</f>
        <v/>
      </c>
    </row>
    <row r="329" ht="15.75" customHeight="1">
      <c r="A329" s="22" t="str">
        <f>IF(MOV_CC_INTL!A329="","",MOV_CC_INTL!A329)</f>
        <v/>
      </c>
      <c r="B329" s="22" t="str">
        <f>IF(MOV_CC_INTL!B329="","",MOV_CC_INTL!B329)</f>
        <v/>
      </c>
      <c r="C329" s="22" t="str">
        <f>IF(MOV_CC_INTL!C329="","",MOV_CC_INTL!C329)</f>
        <v/>
      </c>
      <c r="D329" s="22" t="str">
        <f t="shared" si="1"/>
        <v>Other</v>
      </c>
      <c r="E329" s="21" t="str">
        <f>IF(C329="","",C329*CONFIG!B5)</f>
        <v/>
      </c>
    </row>
    <row r="330" ht="15.75" customHeight="1">
      <c r="A330" s="22" t="str">
        <f>IF(MOV_CC_INTL!A330="","",MOV_CC_INTL!A330)</f>
        <v/>
      </c>
      <c r="B330" s="22" t="str">
        <f>IF(MOV_CC_INTL!B330="","",MOV_CC_INTL!B330)</f>
        <v/>
      </c>
      <c r="C330" s="22" t="str">
        <f>IF(MOV_CC_INTL!C330="","",MOV_CC_INTL!C330)</f>
        <v/>
      </c>
      <c r="D330" s="22" t="str">
        <f t="shared" si="1"/>
        <v>Other</v>
      </c>
      <c r="E330" s="21" t="str">
        <f>IF(C330="","",C330*CONFIG!B5)</f>
        <v/>
      </c>
    </row>
    <row r="331" ht="15.75" customHeight="1">
      <c r="A331" s="22" t="str">
        <f>IF(MOV_CC_INTL!A331="","",MOV_CC_INTL!A331)</f>
        <v/>
      </c>
      <c r="B331" s="22" t="str">
        <f>IF(MOV_CC_INTL!B331="","",MOV_CC_INTL!B331)</f>
        <v/>
      </c>
      <c r="C331" s="22" t="str">
        <f>IF(MOV_CC_INTL!C331="","",MOV_CC_INTL!C331)</f>
        <v/>
      </c>
      <c r="D331" s="22" t="str">
        <f t="shared" si="1"/>
        <v>Other</v>
      </c>
      <c r="E331" s="21" t="str">
        <f>IF(C331="","",C331*CONFIG!B5)</f>
        <v/>
      </c>
    </row>
    <row r="332" ht="15.75" customHeight="1">
      <c r="A332" s="22" t="str">
        <f>IF(MOV_CC_INTL!A332="","",MOV_CC_INTL!A332)</f>
        <v/>
      </c>
      <c r="B332" s="22" t="str">
        <f>IF(MOV_CC_INTL!B332="","",MOV_CC_INTL!B332)</f>
        <v/>
      </c>
      <c r="C332" s="22" t="str">
        <f>IF(MOV_CC_INTL!C332="","",MOV_CC_INTL!C332)</f>
        <v/>
      </c>
      <c r="D332" s="22" t="str">
        <f t="shared" si="1"/>
        <v>Other</v>
      </c>
      <c r="E332" s="21" t="str">
        <f>IF(C332="","",C332*CONFIG!B5)</f>
        <v/>
      </c>
    </row>
    <row r="333" ht="15.75" customHeight="1">
      <c r="A333" s="22" t="str">
        <f>IF(MOV_CC_INTL!A333="","",MOV_CC_INTL!A333)</f>
        <v/>
      </c>
      <c r="B333" s="22" t="str">
        <f>IF(MOV_CC_INTL!B333="","",MOV_CC_INTL!B333)</f>
        <v/>
      </c>
      <c r="C333" s="22" t="str">
        <f>IF(MOV_CC_INTL!C333="","",MOV_CC_INTL!C333)</f>
        <v/>
      </c>
      <c r="D333" s="22" t="str">
        <f t="shared" si="1"/>
        <v>Other</v>
      </c>
      <c r="E333" s="21" t="str">
        <f>IF(C333="","",C333*CONFIG!B5)</f>
        <v/>
      </c>
    </row>
    <row r="334" ht="15.75" customHeight="1">
      <c r="A334" s="22" t="str">
        <f>IF(MOV_CC_INTL!A334="","",MOV_CC_INTL!A334)</f>
        <v/>
      </c>
      <c r="B334" s="22" t="str">
        <f>IF(MOV_CC_INTL!B334="","",MOV_CC_INTL!B334)</f>
        <v/>
      </c>
      <c r="C334" s="22" t="str">
        <f>IF(MOV_CC_INTL!C334="","",MOV_CC_INTL!C334)</f>
        <v/>
      </c>
      <c r="D334" s="22" t="str">
        <f t="shared" si="1"/>
        <v>Other</v>
      </c>
      <c r="E334" s="21" t="str">
        <f>IF(C334="","",C334*CONFIG!B5)</f>
        <v/>
      </c>
    </row>
    <row r="335" ht="15.75" customHeight="1">
      <c r="A335" s="22" t="str">
        <f>IF(MOV_CC_INTL!A335="","",MOV_CC_INTL!A335)</f>
        <v/>
      </c>
      <c r="B335" s="22" t="str">
        <f>IF(MOV_CC_INTL!B335="","",MOV_CC_INTL!B335)</f>
        <v/>
      </c>
      <c r="C335" s="22" t="str">
        <f>IF(MOV_CC_INTL!C335="","",MOV_CC_INTL!C335)</f>
        <v/>
      </c>
      <c r="D335" s="22" t="str">
        <f t="shared" si="1"/>
        <v>Other</v>
      </c>
      <c r="E335" s="21" t="str">
        <f>IF(C335="","",C335*CONFIG!B5)</f>
        <v/>
      </c>
    </row>
    <row r="336" ht="15.75" customHeight="1">
      <c r="A336" s="22" t="str">
        <f>IF(MOV_CC_INTL!A336="","",MOV_CC_INTL!A336)</f>
        <v/>
      </c>
      <c r="B336" s="22" t="str">
        <f>IF(MOV_CC_INTL!B336="","",MOV_CC_INTL!B336)</f>
        <v/>
      </c>
      <c r="C336" s="22" t="str">
        <f>IF(MOV_CC_INTL!C336="","",MOV_CC_INTL!C336)</f>
        <v/>
      </c>
      <c r="D336" s="22" t="str">
        <f t="shared" si="1"/>
        <v>Other</v>
      </c>
      <c r="E336" s="21" t="str">
        <f>IF(C336="","",C336*CONFIG!B5)</f>
        <v/>
      </c>
    </row>
    <row r="337" ht="15.75" customHeight="1">
      <c r="A337" s="22" t="str">
        <f>IF(MOV_CC_INTL!A337="","",MOV_CC_INTL!A337)</f>
        <v/>
      </c>
      <c r="B337" s="22" t="str">
        <f>IF(MOV_CC_INTL!B337="","",MOV_CC_INTL!B337)</f>
        <v/>
      </c>
      <c r="C337" s="22" t="str">
        <f>IF(MOV_CC_INTL!C337="","",MOV_CC_INTL!C337)</f>
        <v/>
      </c>
      <c r="D337" s="22" t="str">
        <f t="shared" si="1"/>
        <v>Other</v>
      </c>
      <c r="E337" s="21" t="str">
        <f>IF(C337="","",C337*CONFIG!B5)</f>
        <v/>
      </c>
    </row>
    <row r="338" ht="15.75" customHeight="1">
      <c r="A338" s="22" t="str">
        <f>IF(MOV_CC_INTL!A338="","",MOV_CC_INTL!A338)</f>
        <v/>
      </c>
      <c r="B338" s="22" t="str">
        <f>IF(MOV_CC_INTL!B338="","",MOV_CC_INTL!B338)</f>
        <v/>
      </c>
      <c r="C338" s="22" t="str">
        <f>IF(MOV_CC_INTL!C338="","",MOV_CC_INTL!C338)</f>
        <v/>
      </c>
      <c r="D338" s="22" t="str">
        <f t="shared" si="1"/>
        <v>Other</v>
      </c>
      <c r="E338" s="21" t="str">
        <f>IF(C338="","",C338*CONFIG!B5)</f>
        <v/>
      </c>
    </row>
    <row r="339" ht="15.75" customHeight="1">
      <c r="A339" s="22" t="str">
        <f>IF(MOV_CC_INTL!A339="","",MOV_CC_INTL!A339)</f>
        <v/>
      </c>
      <c r="B339" s="22" t="str">
        <f>IF(MOV_CC_INTL!B339="","",MOV_CC_INTL!B339)</f>
        <v/>
      </c>
      <c r="C339" s="22" t="str">
        <f>IF(MOV_CC_INTL!C339="","",MOV_CC_INTL!C339)</f>
        <v/>
      </c>
      <c r="D339" s="22" t="str">
        <f t="shared" si="1"/>
        <v>Other</v>
      </c>
      <c r="E339" s="21" t="str">
        <f>IF(C339="","",C339*CONFIG!B5)</f>
        <v/>
      </c>
    </row>
    <row r="340" ht="15.75" customHeight="1">
      <c r="A340" s="22" t="str">
        <f>IF(MOV_CC_INTL!A340="","",MOV_CC_INTL!A340)</f>
        <v/>
      </c>
      <c r="B340" s="22" t="str">
        <f>IF(MOV_CC_INTL!B340="","",MOV_CC_INTL!B340)</f>
        <v/>
      </c>
      <c r="C340" s="22" t="str">
        <f>IF(MOV_CC_INTL!C340="","",MOV_CC_INTL!C340)</f>
        <v/>
      </c>
      <c r="D340" s="22" t="str">
        <f t="shared" si="1"/>
        <v>Other</v>
      </c>
      <c r="E340" s="21" t="str">
        <f>IF(C340="","",C340*CONFIG!B5)</f>
        <v/>
      </c>
    </row>
    <row r="341" ht="15.75" customHeight="1">
      <c r="A341" s="22" t="str">
        <f>IF(MOV_CC_INTL!A341="","",MOV_CC_INTL!A341)</f>
        <v/>
      </c>
      <c r="B341" s="22" t="str">
        <f>IF(MOV_CC_INTL!B341="","",MOV_CC_INTL!B341)</f>
        <v/>
      </c>
      <c r="C341" s="22" t="str">
        <f>IF(MOV_CC_INTL!C341="","",MOV_CC_INTL!C341)</f>
        <v/>
      </c>
      <c r="D341" s="22" t="str">
        <f t="shared" si="1"/>
        <v>Other</v>
      </c>
      <c r="E341" s="21" t="str">
        <f>IF(C341="","",C341*CONFIG!B5)</f>
        <v/>
      </c>
    </row>
    <row r="342" ht="15.75" customHeight="1">
      <c r="A342" s="22" t="str">
        <f>IF(MOV_CC_INTL!A342="","",MOV_CC_INTL!A342)</f>
        <v/>
      </c>
      <c r="B342" s="22" t="str">
        <f>IF(MOV_CC_INTL!B342="","",MOV_CC_INTL!B342)</f>
        <v/>
      </c>
      <c r="C342" s="22" t="str">
        <f>IF(MOV_CC_INTL!C342="","",MOV_CC_INTL!C342)</f>
        <v/>
      </c>
      <c r="D342" s="22" t="str">
        <f t="shared" si="1"/>
        <v>Other</v>
      </c>
      <c r="E342" s="21" t="str">
        <f>IF(C342="","",C342*CONFIG!B5)</f>
        <v/>
      </c>
    </row>
    <row r="343" ht="15.75" customHeight="1">
      <c r="A343" s="22" t="str">
        <f>IF(MOV_CC_INTL!A343="","",MOV_CC_INTL!A343)</f>
        <v/>
      </c>
      <c r="B343" s="22" t="str">
        <f>IF(MOV_CC_INTL!B343="","",MOV_CC_INTL!B343)</f>
        <v/>
      </c>
      <c r="C343" s="22" t="str">
        <f>IF(MOV_CC_INTL!C343="","",MOV_CC_INTL!C343)</f>
        <v/>
      </c>
      <c r="D343" s="22" t="str">
        <f t="shared" si="1"/>
        <v>Other</v>
      </c>
      <c r="E343" s="21" t="str">
        <f>IF(C343="","",C343*CONFIG!B5)</f>
        <v/>
      </c>
    </row>
    <row r="344" ht="15.75" customHeight="1">
      <c r="A344" s="22" t="str">
        <f>IF(MOV_CC_INTL!A344="","",MOV_CC_INTL!A344)</f>
        <v/>
      </c>
      <c r="B344" s="22" t="str">
        <f>IF(MOV_CC_INTL!B344="","",MOV_CC_INTL!B344)</f>
        <v/>
      </c>
      <c r="C344" s="22" t="str">
        <f>IF(MOV_CC_INTL!C344="","",MOV_CC_INTL!C344)</f>
        <v/>
      </c>
      <c r="D344" s="22" t="str">
        <f t="shared" si="1"/>
        <v>Other</v>
      </c>
      <c r="E344" s="21" t="str">
        <f>IF(C344="","",C344*CONFIG!B5)</f>
        <v/>
      </c>
    </row>
    <row r="345" ht="15.75" customHeight="1">
      <c r="A345" s="22" t="str">
        <f>IF(MOV_CC_INTL!A345="","",MOV_CC_INTL!A345)</f>
        <v/>
      </c>
      <c r="B345" s="22" t="str">
        <f>IF(MOV_CC_INTL!B345="","",MOV_CC_INTL!B345)</f>
        <v/>
      </c>
      <c r="C345" s="22" t="str">
        <f>IF(MOV_CC_INTL!C345="","",MOV_CC_INTL!C345)</f>
        <v/>
      </c>
      <c r="D345" s="22" t="str">
        <f t="shared" si="1"/>
        <v>Other</v>
      </c>
      <c r="E345" s="21" t="str">
        <f>IF(C345="","",C345*CONFIG!B5)</f>
        <v/>
      </c>
    </row>
    <row r="346" ht="15.75" customHeight="1">
      <c r="A346" s="22" t="str">
        <f>IF(MOV_CC_INTL!A346="","",MOV_CC_INTL!A346)</f>
        <v/>
      </c>
      <c r="B346" s="22" t="str">
        <f>IF(MOV_CC_INTL!B346="","",MOV_CC_INTL!B346)</f>
        <v/>
      </c>
      <c r="C346" s="22" t="str">
        <f>IF(MOV_CC_INTL!C346="","",MOV_CC_INTL!C346)</f>
        <v/>
      </c>
      <c r="D346" s="22" t="str">
        <f t="shared" si="1"/>
        <v>Other</v>
      </c>
      <c r="E346" s="21" t="str">
        <f>IF(C346="","",C346*CONFIG!B5)</f>
        <v/>
      </c>
    </row>
    <row r="347" ht="15.75" customHeight="1">
      <c r="A347" s="22" t="str">
        <f>IF(MOV_CC_INTL!A347="","",MOV_CC_INTL!A347)</f>
        <v/>
      </c>
      <c r="B347" s="22" t="str">
        <f>IF(MOV_CC_INTL!B347="","",MOV_CC_INTL!B347)</f>
        <v/>
      </c>
      <c r="C347" s="22" t="str">
        <f>IF(MOV_CC_INTL!C347="","",MOV_CC_INTL!C347)</f>
        <v/>
      </c>
      <c r="D347" s="22" t="str">
        <f t="shared" si="1"/>
        <v>Other</v>
      </c>
      <c r="E347" s="21" t="str">
        <f>IF(C347="","",C347*CONFIG!B5)</f>
        <v/>
      </c>
    </row>
    <row r="348" ht="15.75" customHeight="1">
      <c r="A348" s="22" t="str">
        <f>IF(MOV_CC_INTL!A348="","",MOV_CC_INTL!A348)</f>
        <v/>
      </c>
      <c r="B348" s="22" t="str">
        <f>IF(MOV_CC_INTL!B348="","",MOV_CC_INTL!B348)</f>
        <v/>
      </c>
      <c r="C348" s="22" t="str">
        <f>IF(MOV_CC_INTL!C348="","",MOV_CC_INTL!C348)</f>
        <v/>
      </c>
      <c r="D348" s="22" t="str">
        <f t="shared" si="1"/>
        <v>Other</v>
      </c>
      <c r="E348" s="21" t="str">
        <f>IF(C348="","",C348*CONFIG!B5)</f>
        <v/>
      </c>
    </row>
    <row r="349" ht="15.75" customHeight="1">
      <c r="A349" s="22" t="str">
        <f>IF(MOV_CC_INTL!A349="","",MOV_CC_INTL!A349)</f>
        <v/>
      </c>
      <c r="B349" s="22" t="str">
        <f>IF(MOV_CC_INTL!B349="","",MOV_CC_INTL!B349)</f>
        <v/>
      </c>
      <c r="C349" s="22" t="str">
        <f>IF(MOV_CC_INTL!C349="","",MOV_CC_INTL!C349)</f>
        <v/>
      </c>
      <c r="D349" s="22" t="str">
        <f t="shared" si="1"/>
        <v>Other</v>
      </c>
      <c r="E349" s="21" t="str">
        <f>IF(C349="","",C349*CONFIG!B5)</f>
        <v/>
      </c>
    </row>
    <row r="350" ht="15.75" customHeight="1">
      <c r="A350" s="22" t="str">
        <f>IF(MOV_CC_INTL!A350="","",MOV_CC_INTL!A350)</f>
        <v/>
      </c>
      <c r="B350" s="22" t="str">
        <f>IF(MOV_CC_INTL!B350="","",MOV_CC_INTL!B350)</f>
        <v/>
      </c>
      <c r="C350" s="22" t="str">
        <f>IF(MOV_CC_INTL!C350="","",MOV_CC_INTL!C350)</f>
        <v/>
      </c>
      <c r="D350" s="22" t="str">
        <f t="shared" si="1"/>
        <v>Other</v>
      </c>
      <c r="E350" s="21" t="str">
        <f>IF(C350="","",C350*CONFIG!B5)</f>
        <v/>
      </c>
    </row>
    <row r="351" ht="15.75" customHeight="1">
      <c r="A351" s="22" t="str">
        <f>IF(MOV_CC_INTL!A351="","",MOV_CC_INTL!A351)</f>
        <v/>
      </c>
      <c r="B351" s="22" t="str">
        <f>IF(MOV_CC_INTL!B351="","",MOV_CC_INTL!B351)</f>
        <v/>
      </c>
      <c r="C351" s="22" t="str">
        <f>IF(MOV_CC_INTL!C351="","",MOV_CC_INTL!C351)</f>
        <v/>
      </c>
      <c r="D351" s="22" t="str">
        <f t="shared" si="1"/>
        <v>Other</v>
      </c>
      <c r="E351" s="21" t="str">
        <f>IF(C351="","",C351*CONFIG!B5)</f>
        <v/>
      </c>
    </row>
    <row r="352" ht="15.75" customHeight="1">
      <c r="A352" s="22" t="str">
        <f>IF(MOV_CC_INTL!A352="","",MOV_CC_INTL!A352)</f>
        <v/>
      </c>
      <c r="B352" s="22" t="str">
        <f>IF(MOV_CC_INTL!B352="","",MOV_CC_INTL!B352)</f>
        <v/>
      </c>
      <c r="C352" s="22" t="str">
        <f>IF(MOV_CC_INTL!C352="","",MOV_CC_INTL!C352)</f>
        <v/>
      </c>
      <c r="D352" s="22" t="str">
        <f t="shared" si="1"/>
        <v>Other</v>
      </c>
      <c r="E352" s="21" t="str">
        <f>IF(C352="","",C352*CONFIG!B5)</f>
        <v/>
      </c>
    </row>
    <row r="353" ht="15.75" customHeight="1">
      <c r="A353" s="22" t="str">
        <f>IF(MOV_CC_INTL!A353="","",MOV_CC_INTL!A353)</f>
        <v/>
      </c>
      <c r="B353" s="22" t="str">
        <f>IF(MOV_CC_INTL!B353="","",MOV_CC_INTL!B353)</f>
        <v/>
      </c>
      <c r="C353" s="22" t="str">
        <f>IF(MOV_CC_INTL!C353="","",MOV_CC_INTL!C353)</f>
        <v/>
      </c>
      <c r="D353" s="22" t="str">
        <f t="shared" si="1"/>
        <v>Other</v>
      </c>
      <c r="E353" s="21" t="str">
        <f>IF(C353="","",C353*CONFIG!B5)</f>
        <v/>
      </c>
    </row>
    <row r="354" ht="15.75" customHeight="1">
      <c r="A354" s="22" t="str">
        <f>IF(MOV_CC_INTL!A354="","",MOV_CC_INTL!A354)</f>
        <v/>
      </c>
      <c r="B354" s="22" t="str">
        <f>IF(MOV_CC_INTL!B354="","",MOV_CC_INTL!B354)</f>
        <v/>
      </c>
      <c r="C354" s="22" t="str">
        <f>IF(MOV_CC_INTL!C354="","",MOV_CC_INTL!C354)</f>
        <v/>
      </c>
      <c r="D354" s="22" t="str">
        <f t="shared" si="1"/>
        <v>Other</v>
      </c>
      <c r="E354" s="21" t="str">
        <f>IF(C354="","",C354*CONFIG!B5)</f>
        <v/>
      </c>
    </row>
    <row r="355" ht="15.75" customHeight="1">
      <c r="A355" s="22" t="str">
        <f>IF(MOV_CC_INTL!A355="","",MOV_CC_INTL!A355)</f>
        <v/>
      </c>
      <c r="B355" s="22" t="str">
        <f>IF(MOV_CC_INTL!B355="","",MOV_CC_INTL!B355)</f>
        <v/>
      </c>
      <c r="C355" s="22" t="str">
        <f>IF(MOV_CC_INTL!C355="","",MOV_CC_INTL!C355)</f>
        <v/>
      </c>
      <c r="D355" s="22" t="str">
        <f t="shared" si="1"/>
        <v>Other</v>
      </c>
      <c r="E355" s="21" t="str">
        <f>IF(C355="","",C355*CONFIG!B5)</f>
        <v/>
      </c>
    </row>
    <row r="356" ht="15.75" customHeight="1">
      <c r="A356" s="22" t="str">
        <f>IF(MOV_CC_INTL!A356="","",MOV_CC_INTL!A356)</f>
        <v/>
      </c>
      <c r="B356" s="22" t="str">
        <f>IF(MOV_CC_INTL!B356="","",MOV_CC_INTL!B356)</f>
        <v/>
      </c>
      <c r="C356" s="22" t="str">
        <f>IF(MOV_CC_INTL!C356="","",MOV_CC_INTL!C356)</f>
        <v/>
      </c>
      <c r="D356" s="22" t="str">
        <f t="shared" si="1"/>
        <v>Other</v>
      </c>
      <c r="E356" s="21" t="str">
        <f>IF(C356="","",C356*CONFIG!B5)</f>
        <v/>
      </c>
    </row>
    <row r="357" ht="15.75" customHeight="1">
      <c r="A357" s="22" t="str">
        <f>IF(MOV_CC_INTL!A357="","",MOV_CC_INTL!A357)</f>
        <v/>
      </c>
      <c r="B357" s="22" t="str">
        <f>IF(MOV_CC_INTL!B357="","",MOV_CC_INTL!B357)</f>
        <v/>
      </c>
      <c r="C357" s="22" t="str">
        <f>IF(MOV_CC_INTL!C357="","",MOV_CC_INTL!C357)</f>
        <v/>
      </c>
      <c r="D357" s="22" t="str">
        <f t="shared" si="1"/>
        <v>Other</v>
      </c>
      <c r="E357" s="21" t="str">
        <f>IF(C357="","",C357*CONFIG!B5)</f>
        <v/>
      </c>
    </row>
    <row r="358" ht="15.75" customHeight="1">
      <c r="A358" s="22" t="str">
        <f>IF(MOV_CC_INTL!A358="","",MOV_CC_INTL!A358)</f>
        <v/>
      </c>
      <c r="B358" s="22" t="str">
        <f>IF(MOV_CC_INTL!B358="","",MOV_CC_INTL!B358)</f>
        <v/>
      </c>
      <c r="C358" s="22" t="str">
        <f>IF(MOV_CC_INTL!C358="","",MOV_CC_INTL!C358)</f>
        <v/>
      </c>
      <c r="D358" s="22" t="str">
        <f t="shared" si="1"/>
        <v>Other</v>
      </c>
      <c r="E358" s="21" t="str">
        <f>IF(C358="","",C358*CONFIG!B5)</f>
        <v/>
      </c>
    </row>
    <row r="359" ht="15.75" customHeight="1">
      <c r="A359" s="22" t="str">
        <f>IF(MOV_CC_INTL!A359="","",MOV_CC_INTL!A359)</f>
        <v/>
      </c>
      <c r="B359" s="22" t="str">
        <f>IF(MOV_CC_INTL!B359="","",MOV_CC_INTL!B359)</f>
        <v/>
      </c>
      <c r="C359" s="22" t="str">
        <f>IF(MOV_CC_INTL!C359="","",MOV_CC_INTL!C359)</f>
        <v/>
      </c>
      <c r="D359" s="22" t="str">
        <f t="shared" si="1"/>
        <v>Other</v>
      </c>
      <c r="E359" s="21" t="str">
        <f>IF(C359="","",C359*CONFIG!B5)</f>
        <v/>
      </c>
    </row>
    <row r="360" ht="15.75" customHeight="1">
      <c r="A360" s="22" t="str">
        <f>IF(MOV_CC_INTL!A360="","",MOV_CC_INTL!A360)</f>
        <v/>
      </c>
      <c r="B360" s="22" t="str">
        <f>IF(MOV_CC_INTL!B360="","",MOV_CC_INTL!B360)</f>
        <v/>
      </c>
      <c r="C360" s="22" t="str">
        <f>IF(MOV_CC_INTL!C360="","",MOV_CC_INTL!C360)</f>
        <v/>
      </c>
      <c r="D360" s="22" t="str">
        <f t="shared" si="1"/>
        <v>Other</v>
      </c>
      <c r="E360" s="21" t="str">
        <f>IF(C360="","",C360*CONFIG!B5)</f>
        <v/>
      </c>
    </row>
    <row r="361" ht="15.75" customHeight="1">
      <c r="A361" s="22" t="str">
        <f>IF(MOV_CC_INTL!A361="","",MOV_CC_INTL!A361)</f>
        <v/>
      </c>
      <c r="B361" s="22" t="str">
        <f>IF(MOV_CC_INTL!B361="","",MOV_CC_INTL!B361)</f>
        <v/>
      </c>
      <c r="C361" s="22" t="str">
        <f>IF(MOV_CC_INTL!C361="","",MOV_CC_INTL!C361)</f>
        <v/>
      </c>
      <c r="D361" s="22" t="str">
        <f t="shared" si="1"/>
        <v>Other</v>
      </c>
      <c r="E361" s="21" t="str">
        <f>IF(C361="","",C361*CONFIG!B5)</f>
        <v/>
      </c>
    </row>
    <row r="362" ht="15.75" customHeight="1">
      <c r="A362" s="22" t="str">
        <f>IF(MOV_CC_INTL!A362="","",MOV_CC_INTL!A362)</f>
        <v/>
      </c>
      <c r="B362" s="22" t="str">
        <f>IF(MOV_CC_INTL!B362="","",MOV_CC_INTL!B362)</f>
        <v/>
      </c>
      <c r="C362" s="22" t="str">
        <f>IF(MOV_CC_INTL!C362="","",MOV_CC_INTL!C362)</f>
        <v/>
      </c>
      <c r="D362" s="22" t="str">
        <f t="shared" si="1"/>
        <v>Other</v>
      </c>
      <c r="E362" s="21" t="str">
        <f>IF(C362="","",C362*CONFIG!B5)</f>
        <v/>
      </c>
    </row>
    <row r="363" ht="15.75" customHeight="1">
      <c r="A363" s="22" t="str">
        <f>IF(MOV_CC_INTL!A363="","",MOV_CC_INTL!A363)</f>
        <v/>
      </c>
      <c r="B363" s="22" t="str">
        <f>IF(MOV_CC_INTL!B363="","",MOV_CC_INTL!B363)</f>
        <v/>
      </c>
      <c r="C363" s="22" t="str">
        <f>IF(MOV_CC_INTL!C363="","",MOV_CC_INTL!C363)</f>
        <v/>
      </c>
      <c r="D363" s="22" t="str">
        <f t="shared" si="1"/>
        <v>Other</v>
      </c>
      <c r="E363" s="21" t="str">
        <f>IF(C363="","",C363*CONFIG!B5)</f>
        <v/>
      </c>
    </row>
    <row r="364" ht="15.75" customHeight="1">
      <c r="A364" s="22" t="str">
        <f>IF(MOV_CC_INTL!A364="","",MOV_CC_INTL!A364)</f>
        <v/>
      </c>
      <c r="B364" s="22" t="str">
        <f>IF(MOV_CC_INTL!B364="","",MOV_CC_INTL!B364)</f>
        <v/>
      </c>
      <c r="C364" s="22" t="str">
        <f>IF(MOV_CC_INTL!C364="","",MOV_CC_INTL!C364)</f>
        <v/>
      </c>
      <c r="D364" s="22" t="str">
        <f t="shared" si="1"/>
        <v>Other</v>
      </c>
      <c r="E364" s="21" t="str">
        <f>IF(C364="","",C364*CONFIG!B5)</f>
        <v/>
      </c>
    </row>
    <row r="365" ht="15.75" customHeight="1">
      <c r="A365" s="22" t="str">
        <f>IF(MOV_CC_INTL!A365="","",MOV_CC_INTL!A365)</f>
        <v/>
      </c>
      <c r="B365" s="22" t="str">
        <f>IF(MOV_CC_INTL!B365="","",MOV_CC_INTL!B365)</f>
        <v/>
      </c>
      <c r="C365" s="22" t="str">
        <f>IF(MOV_CC_INTL!C365="","",MOV_CC_INTL!C365)</f>
        <v/>
      </c>
      <c r="D365" s="22" t="str">
        <f t="shared" si="1"/>
        <v>Other</v>
      </c>
      <c r="E365" s="21" t="str">
        <f>IF(C365="","",C365*CONFIG!B5)</f>
        <v/>
      </c>
    </row>
    <row r="366" ht="15.75" customHeight="1">
      <c r="A366" s="22" t="str">
        <f>IF(MOV_CC_INTL!A366="","",MOV_CC_INTL!A366)</f>
        <v/>
      </c>
      <c r="B366" s="22" t="str">
        <f>IF(MOV_CC_INTL!B366="","",MOV_CC_INTL!B366)</f>
        <v/>
      </c>
      <c r="C366" s="22" t="str">
        <f>IF(MOV_CC_INTL!C366="","",MOV_CC_INTL!C366)</f>
        <v/>
      </c>
      <c r="D366" s="22" t="str">
        <f t="shared" si="1"/>
        <v>Other</v>
      </c>
      <c r="E366" s="21" t="str">
        <f>IF(C366="","",C366*CONFIG!B5)</f>
        <v/>
      </c>
    </row>
    <row r="367" ht="15.75" customHeight="1">
      <c r="A367" s="22" t="str">
        <f>IF(MOV_CC_INTL!A367="","",MOV_CC_INTL!A367)</f>
        <v/>
      </c>
      <c r="B367" s="22" t="str">
        <f>IF(MOV_CC_INTL!B367="","",MOV_CC_INTL!B367)</f>
        <v/>
      </c>
      <c r="C367" s="22" t="str">
        <f>IF(MOV_CC_INTL!C367="","",MOV_CC_INTL!C367)</f>
        <v/>
      </c>
      <c r="D367" s="22" t="str">
        <f t="shared" si="1"/>
        <v>Other</v>
      </c>
      <c r="E367" s="21" t="str">
        <f>IF(C367="","",C367*CONFIG!B5)</f>
        <v/>
      </c>
    </row>
    <row r="368" ht="15.75" customHeight="1">
      <c r="A368" s="22" t="str">
        <f>IF(MOV_CC_INTL!A368="","",MOV_CC_INTL!A368)</f>
        <v/>
      </c>
      <c r="B368" s="22" t="str">
        <f>IF(MOV_CC_INTL!B368="","",MOV_CC_INTL!B368)</f>
        <v/>
      </c>
      <c r="C368" s="22" t="str">
        <f>IF(MOV_CC_INTL!C368="","",MOV_CC_INTL!C368)</f>
        <v/>
      </c>
      <c r="D368" s="22" t="str">
        <f t="shared" si="1"/>
        <v>Other</v>
      </c>
      <c r="E368" s="21" t="str">
        <f>IF(C368="","",C368*CONFIG!B5)</f>
        <v/>
      </c>
    </row>
    <row r="369" ht="15.75" customHeight="1">
      <c r="A369" s="22" t="str">
        <f>IF(MOV_CC_INTL!A369="","",MOV_CC_INTL!A369)</f>
        <v/>
      </c>
      <c r="B369" s="22" t="str">
        <f>IF(MOV_CC_INTL!B369="","",MOV_CC_INTL!B369)</f>
        <v/>
      </c>
      <c r="C369" s="22" t="str">
        <f>IF(MOV_CC_INTL!C369="","",MOV_CC_INTL!C369)</f>
        <v/>
      </c>
      <c r="D369" s="22" t="str">
        <f t="shared" si="1"/>
        <v>Other</v>
      </c>
      <c r="E369" s="21" t="str">
        <f>IF(C369="","",C369*CONFIG!B5)</f>
        <v/>
      </c>
    </row>
    <row r="370" ht="15.75" customHeight="1">
      <c r="A370" s="22" t="str">
        <f>IF(MOV_CC_INTL!A370="","",MOV_CC_INTL!A370)</f>
        <v/>
      </c>
      <c r="B370" s="22" t="str">
        <f>IF(MOV_CC_INTL!B370="","",MOV_CC_INTL!B370)</f>
        <v/>
      </c>
      <c r="C370" s="22" t="str">
        <f>IF(MOV_CC_INTL!C370="","",MOV_CC_INTL!C370)</f>
        <v/>
      </c>
      <c r="D370" s="22" t="str">
        <f t="shared" si="1"/>
        <v>Other</v>
      </c>
      <c r="E370" s="21" t="str">
        <f>IF(C370="","",C370*CONFIG!B5)</f>
        <v/>
      </c>
    </row>
    <row r="371" ht="15.75" customHeight="1">
      <c r="A371" s="22" t="str">
        <f>IF(MOV_CC_INTL!A371="","",MOV_CC_INTL!A371)</f>
        <v/>
      </c>
      <c r="B371" s="22" t="str">
        <f>IF(MOV_CC_INTL!B371="","",MOV_CC_INTL!B371)</f>
        <v/>
      </c>
      <c r="C371" s="22" t="str">
        <f>IF(MOV_CC_INTL!C371="","",MOV_CC_INTL!C371)</f>
        <v/>
      </c>
      <c r="D371" s="22" t="str">
        <f t="shared" si="1"/>
        <v>Other</v>
      </c>
      <c r="E371" s="21" t="str">
        <f>IF(C371="","",C371*CONFIG!B5)</f>
        <v/>
      </c>
    </row>
    <row r="372" ht="15.75" customHeight="1">
      <c r="A372" s="22" t="str">
        <f>IF(MOV_CC_INTL!A372="","",MOV_CC_INTL!A372)</f>
        <v/>
      </c>
      <c r="B372" s="22" t="str">
        <f>IF(MOV_CC_INTL!B372="","",MOV_CC_INTL!B372)</f>
        <v/>
      </c>
      <c r="C372" s="22" t="str">
        <f>IF(MOV_CC_INTL!C372="","",MOV_CC_INTL!C372)</f>
        <v/>
      </c>
      <c r="D372" s="22" t="str">
        <f t="shared" si="1"/>
        <v>Other</v>
      </c>
      <c r="E372" s="21" t="str">
        <f>IF(C372="","",C372*CONFIG!B5)</f>
        <v/>
      </c>
    </row>
    <row r="373" ht="15.75" customHeight="1">
      <c r="A373" s="22" t="str">
        <f>IF(MOV_CC_INTL!A373="","",MOV_CC_INTL!A373)</f>
        <v/>
      </c>
      <c r="B373" s="22" t="str">
        <f>IF(MOV_CC_INTL!B373="","",MOV_CC_INTL!B373)</f>
        <v/>
      </c>
      <c r="C373" s="22" t="str">
        <f>IF(MOV_CC_INTL!C373="","",MOV_CC_INTL!C373)</f>
        <v/>
      </c>
      <c r="D373" s="22" t="str">
        <f t="shared" si="1"/>
        <v>Other</v>
      </c>
      <c r="E373" s="21" t="str">
        <f>IF(C373="","",C373*CONFIG!B5)</f>
        <v/>
      </c>
    </row>
    <row r="374" ht="15.75" customHeight="1">
      <c r="A374" s="22" t="str">
        <f>IF(MOV_CC_INTL!A374="","",MOV_CC_INTL!A374)</f>
        <v/>
      </c>
      <c r="B374" s="22" t="str">
        <f>IF(MOV_CC_INTL!B374="","",MOV_CC_INTL!B374)</f>
        <v/>
      </c>
      <c r="C374" s="22" t="str">
        <f>IF(MOV_CC_INTL!C374="","",MOV_CC_INTL!C374)</f>
        <v/>
      </c>
      <c r="D374" s="22" t="str">
        <f t="shared" si="1"/>
        <v>Other</v>
      </c>
      <c r="E374" s="21" t="str">
        <f>IF(C374="","",C374*CONFIG!B5)</f>
        <v/>
      </c>
    </row>
    <row r="375" ht="15.75" customHeight="1">
      <c r="A375" s="22" t="str">
        <f>IF(MOV_CC_INTL!A375="","",MOV_CC_INTL!A375)</f>
        <v/>
      </c>
      <c r="B375" s="22" t="str">
        <f>IF(MOV_CC_INTL!B375="","",MOV_CC_INTL!B375)</f>
        <v/>
      </c>
      <c r="C375" s="22" t="str">
        <f>IF(MOV_CC_INTL!C375="","",MOV_CC_INTL!C375)</f>
        <v/>
      </c>
      <c r="D375" s="22" t="str">
        <f t="shared" si="1"/>
        <v>Other</v>
      </c>
      <c r="E375" s="21" t="str">
        <f>IF(C375="","",C375*CONFIG!B5)</f>
        <v/>
      </c>
    </row>
    <row r="376" ht="15.75" customHeight="1">
      <c r="A376" s="22" t="str">
        <f>IF(MOV_CC_INTL!A376="","",MOV_CC_INTL!A376)</f>
        <v/>
      </c>
      <c r="B376" s="22" t="str">
        <f>IF(MOV_CC_INTL!B376="","",MOV_CC_INTL!B376)</f>
        <v/>
      </c>
      <c r="C376" s="22" t="str">
        <f>IF(MOV_CC_INTL!C376="","",MOV_CC_INTL!C376)</f>
        <v/>
      </c>
      <c r="D376" s="22" t="str">
        <f t="shared" si="1"/>
        <v>Other</v>
      </c>
      <c r="E376" s="21" t="str">
        <f>IF(C376="","",C376*CONFIG!B5)</f>
        <v/>
      </c>
    </row>
    <row r="377" ht="15.75" customHeight="1">
      <c r="A377" s="22" t="str">
        <f>IF(MOV_CC_INTL!A377="","",MOV_CC_INTL!A377)</f>
        <v/>
      </c>
      <c r="B377" s="22" t="str">
        <f>IF(MOV_CC_INTL!B377="","",MOV_CC_INTL!B377)</f>
        <v/>
      </c>
      <c r="C377" s="22" t="str">
        <f>IF(MOV_CC_INTL!C377="","",MOV_CC_INTL!C377)</f>
        <v/>
      </c>
      <c r="D377" s="22" t="str">
        <f t="shared" si="1"/>
        <v>Other</v>
      </c>
      <c r="E377" s="21" t="str">
        <f>IF(C377="","",C377*CONFIG!B5)</f>
        <v/>
      </c>
    </row>
    <row r="378" ht="15.75" customHeight="1">
      <c r="A378" s="22" t="str">
        <f>IF(MOV_CC_INTL!A378="","",MOV_CC_INTL!A378)</f>
        <v/>
      </c>
      <c r="B378" s="22" t="str">
        <f>IF(MOV_CC_INTL!B378="","",MOV_CC_INTL!B378)</f>
        <v/>
      </c>
      <c r="C378" s="22" t="str">
        <f>IF(MOV_CC_INTL!C378="","",MOV_CC_INTL!C378)</f>
        <v/>
      </c>
      <c r="D378" s="22" t="str">
        <f t="shared" si="1"/>
        <v>Other</v>
      </c>
      <c r="E378" s="21" t="str">
        <f>IF(C378="","",C378*CONFIG!B5)</f>
        <v/>
      </c>
    </row>
    <row r="379" ht="15.75" customHeight="1">
      <c r="A379" s="22" t="str">
        <f>IF(MOV_CC_INTL!A379="","",MOV_CC_INTL!A379)</f>
        <v/>
      </c>
      <c r="B379" s="22" t="str">
        <f>IF(MOV_CC_INTL!B379="","",MOV_CC_INTL!B379)</f>
        <v/>
      </c>
      <c r="C379" s="22" t="str">
        <f>IF(MOV_CC_INTL!C379="","",MOV_CC_INTL!C379)</f>
        <v/>
      </c>
      <c r="D379" s="22" t="str">
        <f t="shared" si="1"/>
        <v>Other</v>
      </c>
      <c r="E379" s="21" t="str">
        <f>IF(C379="","",C379*CONFIG!B5)</f>
        <v/>
      </c>
    </row>
    <row r="380" ht="15.75" customHeight="1">
      <c r="A380" s="22" t="str">
        <f>IF(MOV_CC_INTL!A380="","",MOV_CC_INTL!A380)</f>
        <v/>
      </c>
      <c r="B380" s="22" t="str">
        <f>IF(MOV_CC_INTL!B380="","",MOV_CC_INTL!B380)</f>
        <v/>
      </c>
      <c r="C380" s="22" t="str">
        <f>IF(MOV_CC_INTL!C380="","",MOV_CC_INTL!C380)</f>
        <v/>
      </c>
      <c r="D380" s="22" t="str">
        <f t="shared" si="1"/>
        <v>Other</v>
      </c>
      <c r="E380" s="21" t="str">
        <f>IF(C380="","",C380*CONFIG!B5)</f>
        <v/>
      </c>
    </row>
    <row r="381" ht="15.75" customHeight="1">
      <c r="A381" s="22" t="str">
        <f>IF(MOV_CC_INTL!A381="","",MOV_CC_INTL!A381)</f>
        <v/>
      </c>
      <c r="B381" s="22" t="str">
        <f>IF(MOV_CC_INTL!B381="","",MOV_CC_INTL!B381)</f>
        <v/>
      </c>
      <c r="C381" s="22" t="str">
        <f>IF(MOV_CC_INTL!C381="","",MOV_CC_INTL!C381)</f>
        <v/>
      </c>
      <c r="D381" s="22" t="str">
        <f t="shared" si="1"/>
        <v>Other</v>
      </c>
      <c r="E381" s="21" t="str">
        <f>IF(C381="","",C381*CONFIG!B5)</f>
        <v/>
      </c>
    </row>
    <row r="382" ht="15.75" customHeight="1">
      <c r="A382" s="22" t="str">
        <f>IF(MOV_CC_INTL!A382="","",MOV_CC_INTL!A382)</f>
        <v/>
      </c>
      <c r="B382" s="22" t="str">
        <f>IF(MOV_CC_INTL!B382="","",MOV_CC_INTL!B382)</f>
        <v/>
      </c>
      <c r="C382" s="22" t="str">
        <f>IF(MOV_CC_INTL!C382="","",MOV_CC_INTL!C382)</f>
        <v/>
      </c>
      <c r="D382" s="22" t="str">
        <f t="shared" si="1"/>
        <v>Other</v>
      </c>
      <c r="E382" s="21" t="str">
        <f>IF(C382="","",C382*CONFIG!B5)</f>
        <v/>
      </c>
    </row>
    <row r="383" ht="15.75" customHeight="1">
      <c r="A383" s="22" t="str">
        <f>IF(MOV_CC_INTL!A383="","",MOV_CC_INTL!A383)</f>
        <v/>
      </c>
      <c r="B383" s="22" t="str">
        <f>IF(MOV_CC_INTL!B383="","",MOV_CC_INTL!B383)</f>
        <v/>
      </c>
      <c r="C383" s="22" t="str">
        <f>IF(MOV_CC_INTL!C383="","",MOV_CC_INTL!C383)</f>
        <v/>
      </c>
      <c r="D383" s="22" t="str">
        <f t="shared" si="1"/>
        <v>Other</v>
      </c>
      <c r="E383" s="21" t="str">
        <f>IF(C383="","",C383*CONFIG!B5)</f>
        <v/>
      </c>
    </row>
    <row r="384" ht="15.75" customHeight="1">
      <c r="A384" s="22" t="str">
        <f>IF(MOV_CC_INTL!A384="","",MOV_CC_INTL!A384)</f>
        <v/>
      </c>
      <c r="B384" s="22" t="str">
        <f>IF(MOV_CC_INTL!B384="","",MOV_CC_INTL!B384)</f>
        <v/>
      </c>
      <c r="C384" s="22" t="str">
        <f>IF(MOV_CC_INTL!C384="","",MOV_CC_INTL!C384)</f>
        <v/>
      </c>
      <c r="D384" s="22" t="str">
        <f t="shared" si="1"/>
        <v>Other</v>
      </c>
      <c r="E384" s="21" t="str">
        <f>IF(C384="","",C384*CONFIG!B5)</f>
        <v/>
      </c>
    </row>
    <row r="385" ht="15.75" customHeight="1">
      <c r="A385" s="22" t="str">
        <f>IF(MOV_CC_INTL!A385="","",MOV_CC_INTL!A385)</f>
        <v/>
      </c>
      <c r="B385" s="22" t="str">
        <f>IF(MOV_CC_INTL!B385="","",MOV_CC_INTL!B385)</f>
        <v/>
      </c>
      <c r="C385" s="22" t="str">
        <f>IF(MOV_CC_INTL!C385="","",MOV_CC_INTL!C385)</f>
        <v/>
      </c>
      <c r="D385" s="22" t="str">
        <f t="shared" si="1"/>
        <v>Other</v>
      </c>
      <c r="E385" s="21" t="str">
        <f>IF(C385="","",C385*CONFIG!B5)</f>
        <v/>
      </c>
    </row>
    <row r="386" ht="15.75" customHeight="1">
      <c r="A386" s="22" t="str">
        <f>IF(MOV_CC_INTL!A386="","",MOV_CC_INTL!A386)</f>
        <v/>
      </c>
      <c r="B386" s="22" t="str">
        <f>IF(MOV_CC_INTL!B386="","",MOV_CC_INTL!B386)</f>
        <v/>
      </c>
      <c r="C386" s="22" t="str">
        <f>IF(MOV_CC_INTL!C386="","",MOV_CC_INTL!C386)</f>
        <v/>
      </c>
      <c r="D386" s="22" t="str">
        <f t="shared" si="1"/>
        <v>Other</v>
      </c>
      <c r="E386" s="21" t="str">
        <f>IF(C386="","",C386*CONFIG!B5)</f>
        <v/>
      </c>
    </row>
    <row r="387" ht="15.75" customHeight="1">
      <c r="A387" s="22" t="str">
        <f>IF(MOV_CC_INTL!A387="","",MOV_CC_INTL!A387)</f>
        <v/>
      </c>
      <c r="B387" s="22" t="str">
        <f>IF(MOV_CC_INTL!B387="","",MOV_CC_INTL!B387)</f>
        <v/>
      </c>
      <c r="C387" s="22" t="str">
        <f>IF(MOV_CC_INTL!C387="","",MOV_CC_INTL!C387)</f>
        <v/>
      </c>
      <c r="D387" s="22" t="str">
        <f t="shared" si="1"/>
        <v>Other</v>
      </c>
      <c r="E387" s="21" t="str">
        <f>IF(C387="","",C387*CONFIG!B5)</f>
        <v/>
      </c>
    </row>
    <row r="388" ht="15.75" customHeight="1">
      <c r="A388" s="22" t="str">
        <f>IF(MOV_CC_INTL!A388="","",MOV_CC_INTL!A388)</f>
        <v/>
      </c>
      <c r="B388" s="22" t="str">
        <f>IF(MOV_CC_INTL!B388="","",MOV_CC_INTL!B388)</f>
        <v/>
      </c>
      <c r="C388" s="22" t="str">
        <f>IF(MOV_CC_INTL!C388="","",MOV_CC_INTL!C388)</f>
        <v/>
      </c>
      <c r="D388" s="22" t="str">
        <f t="shared" si="1"/>
        <v>Other</v>
      </c>
      <c r="E388" s="21" t="str">
        <f>IF(C388="","",C388*CONFIG!B5)</f>
        <v/>
      </c>
    </row>
    <row r="389" ht="15.75" customHeight="1">
      <c r="A389" s="22" t="str">
        <f>IF(MOV_CC_INTL!A389="","",MOV_CC_INTL!A389)</f>
        <v/>
      </c>
      <c r="B389" s="22" t="str">
        <f>IF(MOV_CC_INTL!B389="","",MOV_CC_INTL!B389)</f>
        <v/>
      </c>
      <c r="C389" s="22" t="str">
        <f>IF(MOV_CC_INTL!C389="","",MOV_CC_INTL!C389)</f>
        <v/>
      </c>
      <c r="D389" s="22" t="str">
        <f t="shared" si="1"/>
        <v>Other</v>
      </c>
      <c r="E389" s="21" t="str">
        <f>IF(C389="","",C389*CONFIG!B5)</f>
        <v/>
      </c>
    </row>
    <row r="390" ht="15.75" customHeight="1">
      <c r="A390" s="22" t="str">
        <f>IF(MOV_CC_INTL!A390="","",MOV_CC_INTL!A390)</f>
        <v/>
      </c>
      <c r="B390" s="22" t="str">
        <f>IF(MOV_CC_INTL!B390="","",MOV_CC_INTL!B390)</f>
        <v/>
      </c>
      <c r="C390" s="22" t="str">
        <f>IF(MOV_CC_INTL!C390="","",MOV_CC_INTL!C390)</f>
        <v/>
      </c>
      <c r="D390" s="22" t="str">
        <f t="shared" si="1"/>
        <v>Other</v>
      </c>
      <c r="E390" s="21" t="str">
        <f>IF(C390="","",C390*CONFIG!B5)</f>
        <v/>
      </c>
    </row>
    <row r="391" ht="15.75" customHeight="1">
      <c r="A391" s="22" t="str">
        <f>IF(MOV_CC_INTL!A391="","",MOV_CC_INTL!A391)</f>
        <v/>
      </c>
      <c r="B391" s="22" t="str">
        <f>IF(MOV_CC_INTL!B391="","",MOV_CC_INTL!B391)</f>
        <v/>
      </c>
      <c r="C391" s="22" t="str">
        <f>IF(MOV_CC_INTL!C391="","",MOV_CC_INTL!C391)</f>
        <v/>
      </c>
      <c r="D391" s="22" t="str">
        <f t="shared" si="1"/>
        <v>Other</v>
      </c>
      <c r="E391" s="21" t="str">
        <f>IF(C391="","",C391*CONFIG!B5)</f>
        <v/>
      </c>
    </row>
    <row r="392" ht="15.75" customHeight="1">
      <c r="A392" s="22" t="str">
        <f>IF(MOV_CC_INTL!A392="","",MOV_CC_INTL!A392)</f>
        <v/>
      </c>
      <c r="B392" s="22" t="str">
        <f>IF(MOV_CC_INTL!B392="","",MOV_CC_INTL!B392)</f>
        <v/>
      </c>
      <c r="C392" s="22" t="str">
        <f>IF(MOV_CC_INTL!C392="","",MOV_CC_INTL!C392)</f>
        <v/>
      </c>
      <c r="D392" s="22" t="str">
        <f t="shared" si="1"/>
        <v>Other</v>
      </c>
      <c r="E392" s="21" t="str">
        <f>IF(C392="","",C392*CONFIG!B5)</f>
        <v/>
      </c>
    </row>
    <row r="393" ht="15.75" customHeight="1">
      <c r="A393" s="22" t="str">
        <f>IF(MOV_CC_INTL!A393="","",MOV_CC_INTL!A393)</f>
        <v/>
      </c>
      <c r="B393" s="22" t="str">
        <f>IF(MOV_CC_INTL!B393="","",MOV_CC_INTL!B393)</f>
        <v/>
      </c>
      <c r="C393" s="22" t="str">
        <f>IF(MOV_CC_INTL!C393="","",MOV_CC_INTL!C393)</f>
        <v/>
      </c>
      <c r="D393" s="22" t="str">
        <f t="shared" si="1"/>
        <v>Other</v>
      </c>
      <c r="E393" s="21" t="str">
        <f>IF(C393="","",C393*CONFIG!B5)</f>
        <v/>
      </c>
    </row>
    <row r="394" ht="15.75" customHeight="1">
      <c r="A394" s="22" t="str">
        <f>IF(MOV_CC_INTL!A394="","",MOV_CC_INTL!A394)</f>
        <v/>
      </c>
      <c r="B394" s="22" t="str">
        <f>IF(MOV_CC_INTL!B394="","",MOV_CC_INTL!B394)</f>
        <v/>
      </c>
      <c r="C394" s="22" t="str">
        <f>IF(MOV_CC_INTL!C394="","",MOV_CC_INTL!C394)</f>
        <v/>
      </c>
      <c r="D394" s="22" t="str">
        <f t="shared" si="1"/>
        <v>Other</v>
      </c>
      <c r="E394" s="21" t="str">
        <f>IF(C394="","",C394*CONFIG!B5)</f>
        <v/>
      </c>
    </row>
    <row r="395" ht="15.75" customHeight="1">
      <c r="A395" s="22" t="str">
        <f>IF(MOV_CC_INTL!A395="","",MOV_CC_INTL!A395)</f>
        <v/>
      </c>
      <c r="B395" s="22" t="str">
        <f>IF(MOV_CC_INTL!B395="","",MOV_CC_INTL!B395)</f>
        <v/>
      </c>
      <c r="C395" s="22" t="str">
        <f>IF(MOV_CC_INTL!C395="","",MOV_CC_INTL!C395)</f>
        <v/>
      </c>
      <c r="D395" s="22" t="str">
        <f t="shared" si="1"/>
        <v>Other</v>
      </c>
      <c r="E395" s="21" t="str">
        <f>IF(C395="","",C395*CONFIG!B5)</f>
        <v/>
      </c>
    </row>
    <row r="396" ht="15.75" customHeight="1">
      <c r="A396" s="22" t="str">
        <f>IF(MOV_CC_INTL!A396="","",MOV_CC_INTL!A396)</f>
        <v/>
      </c>
      <c r="B396" s="22" t="str">
        <f>IF(MOV_CC_INTL!B396="","",MOV_CC_INTL!B396)</f>
        <v/>
      </c>
      <c r="C396" s="22" t="str">
        <f>IF(MOV_CC_INTL!C396="","",MOV_CC_INTL!C396)</f>
        <v/>
      </c>
      <c r="D396" s="22" t="str">
        <f t="shared" si="1"/>
        <v>Other</v>
      </c>
      <c r="E396" s="21" t="str">
        <f>IF(C396="","",C396*CONFIG!B5)</f>
        <v/>
      </c>
    </row>
    <row r="397" ht="15.75" customHeight="1">
      <c r="A397" s="22" t="str">
        <f>IF(MOV_CC_INTL!A397="","",MOV_CC_INTL!A397)</f>
        <v/>
      </c>
      <c r="B397" s="22" t="str">
        <f>IF(MOV_CC_INTL!B397="","",MOV_CC_INTL!B397)</f>
        <v/>
      </c>
      <c r="C397" s="22" t="str">
        <f>IF(MOV_CC_INTL!C397="","",MOV_CC_INTL!C397)</f>
        <v/>
      </c>
      <c r="D397" s="22" t="str">
        <f t="shared" si="1"/>
        <v>Other</v>
      </c>
      <c r="E397" s="21" t="str">
        <f>IF(C397="","",C397*CONFIG!B5)</f>
        <v/>
      </c>
    </row>
    <row r="398" ht="15.75" customHeight="1">
      <c r="A398" s="22" t="str">
        <f>IF(MOV_CC_INTL!A398="","",MOV_CC_INTL!A398)</f>
        <v/>
      </c>
      <c r="B398" s="22" t="str">
        <f>IF(MOV_CC_INTL!B398="","",MOV_CC_INTL!B398)</f>
        <v/>
      </c>
      <c r="C398" s="22" t="str">
        <f>IF(MOV_CC_INTL!C398="","",MOV_CC_INTL!C398)</f>
        <v/>
      </c>
      <c r="D398" s="22" t="str">
        <f t="shared" si="1"/>
        <v>Other</v>
      </c>
      <c r="E398" s="21" t="str">
        <f>IF(C398="","",C398*CONFIG!B5)</f>
        <v/>
      </c>
    </row>
    <row r="399" ht="15.75" customHeight="1">
      <c r="A399" s="22" t="str">
        <f>IF(MOV_CC_INTL!A399="","",MOV_CC_INTL!A399)</f>
        <v/>
      </c>
      <c r="B399" s="22" t="str">
        <f>IF(MOV_CC_INTL!B399="","",MOV_CC_INTL!B399)</f>
        <v/>
      </c>
      <c r="C399" s="22" t="str">
        <f>IF(MOV_CC_INTL!C399="","",MOV_CC_INTL!C399)</f>
        <v/>
      </c>
      <c r="D399" s="22" t="str">
        <f t="shared" si="1"/>
        <v>Other</v>
      </c>
      <c r="E399" s="21" t="str">
        <f>IF(C399="","",C399*CONFIG!B5)</f>
        <v/>
      </c>
    </row>
    <row r="400" ht="15.75" customHeight="1">
      <c r="A400" s="22" t="str">
        <f>IF(MOV_CC_INTL!A400="","",MOV_CC_INTL!A400)</f>
        <v/>
      </c>
      <c r="B400" s="22" t="str">
        <f>IF(MOV_CC_INTL!B400="","",MOV_CC_INTL!B400)</f>
        <v/>
      </c>
      <c r="C400" s="22" t="str">
        <f>IF(MOV_CC_INTL!C400="","",MOV_CC_INTL!C400)</f>
        <v/>
      </c>
      <c r="D400" s="22" t="str">
        <f t="shared" si="1"/>
        <v>Other</v>
      </c>
      <c r="E400" s="21" t="str">
        <f>IF(C400="","",C400*CONFIG!B5)</f>
        <v/>
      </c>
    </row>
    <row r="401" ht="15.75" customHeight="1">
      <c r="A401" s="22" t="str">
        <f>IF(MOV_CC_INTL!A401="","",MOV_CC_INTL!A401)</f>
        <v/>
      </c>
      <c r="B401" s="22" t="str">
        <f>IF(MOV_CC_INTL!B401="","",MOV_CC_INTL!B401)</f>
        <v/>
      </c>
      <c r="C401" s="22" t="str">
        <f>IF(MOV_CC_INTL!C401="","",MOV_CC_INTL!C401)</f>
        <v/>
      </c>
      <c r="D401" s="22" t="str">
        <f t="shared" si="1"/>
        <v>Other</v>
      </c>
      <c r="E401" s="21" t="str">
        <f>IF(C401="","",C401*CONFIG!B5)</f>
        <v/>
      </c>
    </row>
    <row r="402" ht="15.75" customHeight="1">
      <c r="A402" s="22" t="str">
        <f>IF(MOV_CC_INTL!A402="","",MOV_CC_INTL!A402)</f>
        <v/>
      </c>
      <c r="B402" s="22" t="str">
        <f>IF(MOV_CC_INTL!B402="","",MOV_CC_INTL!B402)</f>
        <v/>
      </c>
      <c r="C402" s="22" t="str">
        <f>IF(MOV_CC_INTL!C402="","",MOV_CC_INTL!C402)</f>
        <v/>
      </c>
      <c r="D402" s="22" t="str">
        <f t="shared" si="1"/>
        <v>Other</v>
      </c>
      <c r="E402" s="21" t="str">
        <f>IF(C402="","",C402*CONFIG!B5)</f>
        <v/>
      </c>
    </row>
    <row r="403" ht="15.75" customHeight="1">
      <c r="A403" s="22" t="str">
        <f>IF(MOV_CC_INTL!A403="","",MOV_CC_INTL!A403)</f>
        <v/>
      </c>
      <c r="B403" s="22" t="str">
        <f>IF(MOV_CC_INTL!B403="","",MOV_CC_INTL!B403)</f>
        <v/>
      </c>
      <c r="C403" s="22" t="str">
        <f>IF(MOV_CC_INTL!C403="","",MOV_CC_INTL!C403)</f>
        <v/>
      </c>
      <c r="D403" s="22" t="str">
        <f t="shared" si="1"/>
        <v>Other</v>
      </c>
      <c r="E403" s="21" t="str">
        <f>IF(C403="","",C403*CONFIG!B5)</f>
        <v/>
      </c>
    </row>
    <row r="404" ht="15.75" customHeight="1">
      <c r="A404" s="22" t="str">
        <f>IF(MOV_CC_INTL!A404="","",MOV_CC_INTL!A404)</f>
        <v/>
      </c>
      <c r="B404" s="22" t="str">
        <f>IF(MOV_CC_INTL!B404="","",MOV_CC_INTL!B404)</f>
        <v/>
      </c>
      <c r="C404" s="22" t="str">
        <f>IF(MOV_CC_INTL!C404="","",MOV_CC_INTL!C404)</f>
        <v/>
      </c>
      <c r="D404" s="22" t="str">
        <f t="shared" si="1"/>
        <v>Other</v>
      </c>
      <c r="E404" s="21" t="str">
        <f>IF(C404="","",C404*CONFIG!B5)</f>
        <v/>
      </c>
    </row>
    <row r="405" ht="15.75" customHeight="1">
      <c r="A405" s="22" t="str">
        <f>IF(MOV_CC_INTL!A405="","",MOV_CC_INTL!A405)</f>
        <v/>
      </c>
      <c r="B405" s="22" t="str">
        <f>IF(MOV_CC_INTL!B405="","",MOV_CC_INTL!B405)</f>
        <v/>
      </c>
      <c r="C405" s="22" t="str">
        <f>IF(MOV_CC_INTL!C405="","",MOV_CC_INTL!C405)</f>
        <v/>
      </c>
      <c r="D405" s="22" t="str">
        <f t="shared" si="1"/>
        <v>Other</v>
      </c>
      <c r="E405" s="21" t="str">
        <f>IF(C405="","",C405*CONFIG!B5)</f>
        <v/>
      </c>
    </row>
    <row r="406" ht="15.75" customHeight="1">
      <c r="A406" s="22" t="str">
        <f>IF(MOV_CC_INTL!A406="","",MOV_CC_INTL!A406)</f>
        <v/>
      </c>
      <c r="B406" s="22" t="str">
        <f>IF(MOV_CC_INTL!B406="","",MOV_CC_INTL!B406)</f>
        <v/>
      </c>
      <c r="C406" s="22" t="str">
        <f>IF(MOV_CC_INTL!C406="","",MOV_CC_INTL!C406)</f>
        <v/>
      </c>
      <c r="D406" s="22" t="str">
        <f t="shared" si="1"/>
        <v>Other</v>
      </c>
      <c r="E406" s="21" t="str">
        <f>IF(C406="","",C406*CONFIG!B5)</f>
        <v/>
      </c>
    </row>
    <row r="407" ht="15.75" customHeight="1">
      <c r="A407" s="22" t="str">
        <f>IF(MOV_CC_INTL!A407="","",MOV_CC_INTL!A407)</f>
        <v/>
      </c>
      <c r="B407" s="22" t="str">
        <f>IF(MOV_CC_INTL!B407="","",MOV_CC_INTL!B407)</f>
        <v/>
      </c>
      <c r="C407" s="22" t="str">
        <f>IF(MOV_CC_INTL!C407="","",MOV_CC_INTL!C407)</f>
        <v/>
      </c>
      <c r="D407" s="22" t="str">
        <f t="shared" si="1"/>
        <v>Other</v>
      </c>
      <c r="E407" s="21" t="str">
        <f>IF(C407="","",C407*CONFIG!B5)</f>
        <v/>
      </c>
    </row>
    <row r="408" ht="15.75" customHeight="1">
      <c r="A408" s="22" t="str">
        <f>IF(MOV_CC_INTL!A408="","",MOV_CC_INTL!A408)</f>
        <v/>
      </c>
      <c r="B408" s="22" t="str">
        <f>IF(MOV_CC_INTL!B408="","",MOV_CC_INTL!B408)</f>
        <v/>
      </c>
      <c r="C408" s="22" t="str">
        <f>IF(MOV_CC_INTL!C408="","",MOV_CC_INTL!C408)</f>
        <v/>
      </c>
      <c r="D408" s="22" t="str">
        <f t="shared" si="1"/>
        <v>Other</v>
      </c>
      <c r="E408" s="21" t="str">
        <f>IF(C408="","",C408*CONFIG!B5)</f>
        <v/>
      </c>
    </row>
    <row r="409" ht="15.75" customHeight="1">
      <c r="A409" s="22" t="str">
        <f>IF(MOV_CC_INTL!A409="","",MOV_CC_INTL!A409)</f>
        <v/>
      </c>
      <c r="B409" s="22" t="str">
        <f>IF(MOV_CC_INTL!B409="","",MOV_CC_INTL!B409)</f>
        <v/>
      </c>
      <c r="C409" s="22" t="str">
        <f>IF(MOV_CC_INTL!C409="","",MOV_CC_INTL!C409)</f>
        <v/>
      </c>
      <c r="D409" s="22" t="str">
        <f t="shared" si="1"/>
        <v>Other</v>
      </c>
      <c r="E409" s="21" t="str">
        <f>IF(C409="","",C409*CONFIG!B5)</f>
        <v/>
      </c>
    </row>
    <row r="410" ht="15.75" customHeight="1">
      <c r="A410" s="22" t="str">
        <f>IF(MOV_CC_INTL!A410="","",MOV_CC_INTL!A410)</f>
        <v/>
      </c>
      <c r="B410" s="22" t="str">
        <f>IF(MOV_CC_INTL!B410="","",MOV_CC_INTL!B410)</f>
        <v/>
      </c>
      <c r="C410" s="22" t="str">
        <f>IF(MOV_CC_INTL!C410="","",MOV_CC_INTL!C410)</f>
        <v/>
      </c>
      <c r="D410" s="22" t="str">
        <f t="shared" si="1"/>
        <v>Other</v>
      </c>
      <c r="E410" s="21" t="str">
        <f>IF(C410="","",C410*CONFIG!B5)</f>
        <v/>
      </c>
    </row>
    <row r="411" ht="15.75" customHeight="1">
      <c r="A411" s="22" t="str">
        <f>IF(MOV_CC_INTL!A411="","",MOV_CC_INTL!A411)</f>
        <v/>
      </c>
      <c r="B411" s="22" t="str">
        <f>IF(MOV_CC_INTL!B411="","",MOV_CC_INTL!B411)</f>
        <v/>
      </c>
      <c r="C411" s="22" t="str">
        <f>IF(MOV_CC_INTL!C411="","",MOV_CC_INTL!C411)</f>
        <v/>
      </c>
      <c r="D411" s="22" t="str">
        <f t="shared" si="1"/>
        <v>Other</v>
      </c>
      <c r="E411" s="21" t="str">
        <f>IF(C411="","",C411*CONFIG!B5)</f>
        <v/>
      </c>
    </row>
    <row r="412" ht="15.75" customHeight="1">
      <c r="A412" s="22" t="str">
        <f>IF(MOV_CC_INTL!A412="","",MOV_CC_INTL!A412)</f>
        <v/>
      </c>
      <c r="B412" s="22" t="str">
        <f>IF(MOV_CC_INTL!B412="","",MOV_CC_INTL!B412)</f>
        <v/>
      </c>
      <c r="C412" s="22" t="str">
        <f>IF(MOV_CC_INTL!C412="","",MOV_CC_INTL!C412)</f>
        <v/>
      </c>
      <c r="D412" s="22" t="str">
        <f t="shared" si="1"/>
        <v>Other</v>
      </c>
      <c r="E412" s="21" t="str">
        <f>IF(C412="","",C412*CONFIG!B5)</f>
        <v/>
      </c>
    </row>
    <row r="413" ht="15.75" customHeight="1">
      <c r="A413" s="22" t="str">
        <f>IF(MOV_CC_INTL!A413="","",MOV_CC_INTL!A413)</f>
        <v/>
      </c>
      <c r="B413" s="22" t="str">
        <f>IF(MOV_CC_INTL!B413="","",MOV_CC_INTL!B413)</f>
        <v/>
      </c>
      <c r="C413" s="22" t="str">
        <f>IF(MOV_CC_INTL!C413="","",MOV_CC_INTL!C413)</f>
        <v/>
      </c>
      <c r="D413" s="22" t="str">
        <f t="shared" si="1"/>
        <v>Other</v>
      </c>
      <c r="E413" s="21" t="str">
        <f>IF(C413="","",C413*CONFIG!B5)</f>
        <v/>
      </c>
    </row>
    <row r="414" ht="15.75" customHeight="1">
      <c r="A414" s="22" t="str">
        <f>IF(MOV_CC_INTL!A414="","",MOV_CC_INTL!A414)</f>
        <v/>
      </c>
      <c r="B414" s="22" t="str">
        <f>IF(MOV_CC_INTL!B414="","",MOV_CC_INTL!B414)</f>
        <v/>
      </c>
      <c r="C414" s="22" t="str">
        <f>IF(MOV_CC_INTL!C414="","",MOV_CC_INTL!C414)</f>
        <v/>
      </c>
      <c r="D414" s="22" t="str">
        <f t="shared" si="1"/>
        <v>Other</v>
      </c>
      <c r="E414" s="21" t="str">
        <f>IF(C414="","",C414*CONFIG!B5)</f>
        <v/>
      </c>
    </row>
    <row r="415" ht="15.75" customHeight="1">
      <c r="A415" s="22" t="str">
        <f>IF(MOV_CC_INTL!A415="","",MOV_CC_INTL!A415)</f>
        <v/>
      </c>
      <c r="B415" s="22" t="str">
        <f>IF(MOV_CC_INTL!B415="","",MOV_CC_INTL!B415)</f>
        <v/>
      </c>
      <c r="C415" s="22" t="str">
        <f>IF(MOV_CC_INTL!C415="","",MOV_CC_INTL!C415)</f>
        <v/>
      </c>
      <c r="D415" s="22" t="str">
        <f t="shared" si="1"/>
        <v>Other</v>
      </c>
      <c r="E415" s="21" t="str">
        <f>IF(C415="","",C415*CONFIG!B5)</f>
        <v/>
      </c>
    </row>
    <row r="416" ht="15.75" customHeight="1">
      <c r="A416" s="22" t="str">
        <f>IF(MOV_CC_INTL!A416="","",MOV_CC_INTL!A416)</f>
        <v/>
      </c>
      <c r="B416" s="22" t="str">
        <f>IF(MOV_CC_INTL!B416="","",MOV_CC_INTL!B416)</f>
        <v/>
      </c>
      <c r="C416" s="22" t="str">
        <f>IF(MOV_CC_INTL!C416="","",MOV_CC_INTL!C416)</f>
        <v/>
      </c>
      <c r="D416" s="22" t="str">
        <f t="shared" si="1"/>
        <v>Other</v>
      </c>
      <c r="E416" s="21" t="str">
        <f>IF(C416="","",C416*CONFIG!B5)</f>
        <v/>
      </c>
    </row>
    <row r="417" ht="15.75" customHeight="1">
      <c r="A417" s="22" t="str">
        <f>IF(MOV_CC_INTL!A417="","",MOV_CC_INTL!A417)</f>
        <v/>
      </c>
      <c r="B417" s="22" t="str">
        <f>IF(MOV_CC_INTL!B417="","",MOV_CC_INTL!B417)</f>
        <v/>
      </c>
      <c r="C417" s="22" t="str">
        <f>IF(MOV_CC_INTL!C417="","",MOV_CC_INTL!C417)</f>
        <v/>
      </c>
      <c r="D417" s="22" t="str">
        <f t="shared" si="1"/>
        <v>Other</v>
      </c>
      <c r="E417" s="21" t="str">
        <f>IF(C417="","",C417*CONFIG!B5)</f>
        <v/>
      </c>
    </row>
    <row r="418" ht="15.75" customHeight="1">
      <c r="A418" s="22" t="str">
        <f>IF(MOV_CC_INTL!A418="","",MOV_CC_INTL!A418)</f>
        <v/>
      </c>
      <c r="B418" s="22" t="str">
        <f>IF(MOV_CC_INTL!B418="","",MOV_CC_INTL!B418)</f>
        <v/>
      </c>
      <c r="C418" s="22" t="str">
        <f>IF(MOV_CC_INTL!C418="","",MOV_CC_INTL!C418)</f>
        <v/>
      </c>
      <c r="D418" s="22" t="str">
        <f t="shared" si="1"/>
        <v>Other</v>
      </c>
      <c r="E418" s="21" t="str">
        <f>IF(C418="","",C418*CONFIG!B5)</f>
        <v/>
      </c>
    </row>
    <row r="419" ht="15.75" customHeight="1">
      <c r="A419" s="22" t="str">
        <f>IF(MOV_CC_INTL!A419="","",MOV_CC_INTL!A419)</f>
        <v/>
      </c>
      <c r="B419" s="22" t="str">
        <f>IF(MOV_CC_INTL!B419="","",MOV_CC_INTL!B419)</f>
        <v/>
      </c>
      <c r="C419" s="22" t="str">
        <f>IF(MOV_CC_INTL!C419="","",MOV_CC_INTL!C419)</f>
        <v/>
      </c>
      <c r="D419" s="22" t="str">
        <f t="shared" si="1"/>
        <v>Other</v>
      </c>
      <c r="E419" s="21" t="str">
        <f>IF(C419="","",C419*CONFIG!B5)</f>
        <v/>
      </c>
    </row>
    <row r="420" ht="15.75" customHeight="1">
      <c r="A420" s="22" t="str">
        <f>IF(MOV_CC_INTL!A420="","",MOV_CC_INTL!A420)</f>
        <v/>
      </c>
      <c r="B420" s="22" t="str">
        <f>IF(MOV_CC_INTL!B420="","",MOV_CC_INTL!B420)</f>
        <v/>
      </c>
      <c r="C420" s="22" t="str">
        <f>IF(MOV_CC_INTL!C420="","",MOV_CC_INTL!C420)</f>
        <v/>
      </c>
      <c r="D420" s="22" t="str">
        <f t="shared" si="1"/>
        <v>Other</v>
      </c>
      <c r="E420" s="21" t="str">
        <f>IF(C420="","",C420*CONFIG!B5)</f>
        <v/>
      </c>
    </row>
    <row r="421" ht="15.75" customHeight="1">
      <c r="A421" s="22" t="str">
        <f>IF(MOV_CC_INTL!A421="","",MOV_CC_INTL!A421)</f>
        <v/>
      </c>
      <c r="B421" s="22" t="str">
        <f>IF(MOV_CC_INTL!B421="","",MOV_CC_INTL!B421)</f>
        <v/>
      </c>
      <c r="C421" s="22" t="str">
        <f>IF(MOV_CC_INTL!C421="","",MOV_CC_INTL!C421)</f>
        <v/>
      </c>
      <c r="D421" s="22" t="str">
        <f t="shared" si="1"/>
        <v>Other</v>
      </c>
      <c r="E421" s="21" t="str">
        <f>IF(C421="","",C421*CONFIG!B5)</f>
        <v/>
      </c>
    </row>
    <row r="422" ht="15.75" customHeight="1">
      <c r="A422" s="22" t="str">
        <f>IF(MOV_CC_INTL!A422="","",MOV_CC_INTL!A422)</f>
        <v/>
      </c>
      <c r="B422" s="22" t="str">
        <f>IF(MOV_CC_INTL!B422="","",MOV_CC_INTL!B422)</f>
        <v/>
      </c>
      <c r="C422" s="22" t="str">
        <f>IF(MOV_CC_INTL!C422="","",MOV_CC_INTL!C422)</f>
        <v/>
      </c>
      <c r="D422" s="22" t="str">
        <f t="shared" si="1"/>
        <v>Other</v>
      </c>
      <c r="E422" s="21" t="str">
        <f>IF(C422="","",C422*CONFIG!B5)</f>
        <v/>
      </c>
    </row>
    <row r="423" ht="15.75" customHeight="1">
      <c r="A423" s="22" t="str">
        <f>IF(MOV_CC_INTL!A423="","",MOV_CC_INTL!A423)</f>
        <v/>
      </c>
      <c r="B423" s="22" t="str">
        <f>IF(MOV_CC_INTL!B423="","",MOV_CC_INTL!B423)</f>
        <v/>
      </c>
      <c r="C423" s="22" t="str">
        <f>IF(MOV_CC_INTL!C423="","",MOV_CC_INTL!C423)</f>
        <v/>
      </c>
      <c r="D423" s="22" t="str">
        <f t="shared" si="1"/>
        <v>Other</v>
      </c>
      <c r="E423" s="21" t="str">
        <f>IF(C423="","",C423*CONFIG!B5)</f>
        <v/>
      </c>
    </row>
    <row r="424" ht="15.75" customHeight="1">
      <c r="A424" s="22" t="str">
        <f>IF(MOV_CC_INTL!A424="","",MOV_CC_INTL!A424)</f>
        <v/>
      </c>
      <c r="B424" s="22" t="str">
        <f>IF(MOV_CC_INTL!B424="","",MOV_CC_INTL!B424)</f>
        <v/>
      </c>
      <c r="C424" s="22" t="str">
        <f>IF(MOV_CC_INTL!C424="","",MOV_CC_INTL!C424)</f>
        <v/>
      </c>
      <c r="D424" s="22" t="str">
        <f t="shared" si="1"/>
        <v>Other</v>
      </c>
      <c r="E424" s="21" t="str">
        <f>IF(C424="","",C424*CONFIG!B5)</f>
        <v/>
      </c>
    </row>
    <row r="425" ht="15.75" customHeight="1">
      <c r="A425" s="22" t="str">
        <f>IF(MOV_CC_INTL!A425="","",MOV_CC_INTL!A425)</f>
        <v/>
      </c>
      <c r="B425" s="22" t="str">
        <f>IF(MOV_CC_INTL!B425="","",MOV_CC_INTL!B425)</f>
        <v/>
      </c>
      <c r="C425" s="22" t="str">
        <f>IF(MOV_CC_INTL!C425="","",MOV_CC_INTL!C425)</f>
        <v/>
      </c>
      <c r="D425" s="22" t="str">
        <f t="shared" si="1"/>
        <v>Other</v>
      </c>
      <c r="E425" s="21" t="str">
        <f>IF(C425="","",C425*CONFIG!B5)</f>
        <v/>
      </c>
    </row>
    <row r="426" ht="15.75" customHeight="1">
      <c r="A426" s="22" t="str">
        <f>IF(MOV_CC_INTL!A426="","",MOV_CC_INTL!A426)</f>
        <v/>
      </c>
      <c r="B426" s="22" t="str">
        <f>IF(MOV_CC_INTL!B426="","",MOV_CC_INTL!B426)</f>
        <v/>
      </c>
      <c r="C426" s="22" t="str">
        <f>IF(MOV_CC_INTL!C426="","",MOV_CC_INTL!C426)</f>
        <v/>
      </c>
      <c r="D426" s="22" t="str">
        <f t="shared" si="1"/>
        <v>Other</v>
      </c>
      <c r="E426" s="21" t="str">
        <f>IF(C426="","",C426*CONFIG!B5)</f>
        <v/>
      </c>
    </row>
    <row r="427" ht="15.75" customHeight="1">
      <c r="A427" s="22" t="str">
        <f>IF(MOV_CC_INTL!A427="","",MOV_CC_INTL!A427)</f>
        <v/>
      </c>
      <c r="B427" s="22" t="str">
        <f>IF(MOV_CC_INTL!B427="","",MOV_CC_INTL!B427)</f>
        <v/>
      </c>
      <c r="C427" s="22" t="str">
        <f>IF(MOV_CC_INTL!C427="","",MOV_CC_INTL!C427)</f>
        <v/>
      </c>
      <c r="D427" s="22" t="str">
        <f t="shared" si="1"/>
        <v>Other</v>
      </c>
      <c r="E427" s="21" t="str">
        <f>IF(C427="","",C427*CONFIG!B5)</f>
        <v/>
      </c>
    </row>
    <row r="428" ht="15.75" customHeight="1">
      <c r="A428" s="22" t="str">
        <f>IF(MOV_CC_INTL!A428="","",MOV_CC_INTL!A428)</f>
        <v/>
      </c>
      <c r="B428" s="22" t="str">
        <f>IF(MOV_CC_INTL!B428="","",MOV_CC_INTL!B428)</f>
        <v/>
      </c>
      <c r="C428" s="22" t="str">
        <f>IF(MOV_CC_INTL!C428="","",MOV_CC_INTL!C428)</f>
        <v/>
      </c>
      <c r="D428" s="22" t="str">
        <f t="shared" si="1"/>
        <v>Other</v>
      </c>
      <c r="E428" s="21" t="str">
        <f>IF(C428="","",C428*CONFIG!B5)</f>
        <v/>
      </c>
    </row>
    <row r="429" ht="15.75" customHeight="1">
      <c r="A429" s="22" t="str">
        <f>IF(MOV_CC_INTL!A429="","",MOV_CC_INTL!A429)</f>
        <v/>
      </c>
      <c r="B429" s="22" t="str">
        <f>IF(MOV_CC_INTL!B429="","",MOV_CC_INTL!B429)</f>
        <v/>
      </c>
      <c r="C429" s="22" t="str">
        <f>IF(MOV_CC_INTL!C429="","",MOV_CC_INTL!C429)</f>
        <v/>
      </c>
      <c r="D429" s="22" t="str">
        <f t="shared" si="1"/>
        <v>Other</v>
      </c>
      <c r="E429" s="21" t="str">
        <f>IF(C429="","",C429*CONFIG!B5)</f>
        <v/>
      </c>
    </row>
    <row r="430" ht="15.75" customHeight="1">
      <c r="A430" s="22" t="str">
        <f>IF(MOV_CC_INTL!A430="","",MOV_CC_INTL!A430)</f>
        <v/>
      </c>
      <c r="B430" s="22" t="str">
        <f>IF(MOV_CC_INTL!B430="","",MOV_CC_INTL!B430)</f>
        <v/>
      </c>
      <c r="C430" s="22" t="str">
        <f>IF(MOV_CC_INTL!C430="","",MOV_CC_INTL!C430)</f>
        <v/>
      </c>
      <c r="D430" s="22" t="str">
        <f t="shared" si="1"/>
        <v>Other</v>
      </c>
      <c r="E430" s="21" t="str">
        <f>IF(C430="","",C430*CONFIG!B5)</f>
        <v/>
      </c>
    </row>
    <row r="431" ht="15.75" customHeight="1">
      <c r="A431" s="22" t="str">
        <f>IF(MOV_CC_INTL!A431="","",MOV_CC_INTL!A431)</f>
        <v/>
      </c>
      <c r="B431" s="22" t="str">
        <f>IF(MOV_CC_INTL!B431="","",MOV_CC_INTL!B431)</f>
        <v/>
      </c>
      <c r="C431" s="22" t="str">
        <f>IF(MOV_CC_INTL!C431="","",MOV_CC_INTL!C431)</f>
        <v/>
      </c>
      <c r="D431" s="22" t="str">
        <f t="shared" si="1"/>
        <v>Other</v>
      </c>
      <c r="E431" s="21" t="str">
        <f>IF(C431="","",C431*CONFIG!B5)</f>
        <v/>
      </c>
    </row>
    <row r="432" ht="15.75" customHeight="1">
      <c r="A432" s="22" t="str">
        <f>IF(MOV_CC_INTL!A432="","",MOV_CC_INTL!A432)</f>
        <v/>
      </c>
      <c r="B432" s="22" t="str">
        <f>IF(MOV_CC_INTL!B432="","",MOV_CC_INTL!B432)</f>
        <v/>
      </c>
      <c r="C432" s="22" t="str">
        <f>IF(MOV_CC_INTL!C432="","",MOV_CC_INTL!C432)</f>
        <v/>
      </c>
      <c r="D432" s="22" t="str">
        <f t="shared" si="1"/>
        <v>Other</v>
      </c>
      <c r="E432" s="21" t="str">
        <f>IF(C432="","",C432*CONFIG!B5)</f>
        <v/>
      </c>
    </row>
    <row r="433" ht="15.75" customHeight="1">
      <c r="A433" s="22" t="str">
        <f>IF(MOV_CC_INTL!A433="","",MOV_CC_INTL!A433)</f>
        <v/>
      </c>
      <c r="B433" s="22" t="str">
        <f>IF(MOV_CC_INTL!B433="","",MOV_CC_INTL!B433)</f>
        <v/>
      </c>
      <c r="C433" s="22" t="str">
        <f>IF(MOV_CC_INTL!C433="","",MOV_CC_INTL!C433)</f>
        <v/>
      </c>
      <c r="D433" s="22" t="str">
        <f t="shared" si="1"/>
        <v>Other</v>
      </c>
      <c r="E433" s="21" t="str">
        <f>IF(C433="","",C433*CONFIG!B5)</f>
        <v/>
      </c>
    </row>
    <row r="434" ht="15.75" customHeight="1">
      <c r="A434" s="22" t="str">
        <f>IF(MOV_CC_INTL!A434="","",MOV_CC_INTL!A434)</f>
        <v/>
      </c>
      <c r="B434" s="22" t="str">
        <f>IF(MOV_CC_INTL!B434="","",MOV_CC_INTL!B434)</f>
        <v/>
      </c>
      <c r="C434" s="22" t="str">
        <f>IF(MOV_CC_INTL!C434="","",MOV_CC_INTL!C434)</f>
        <v/>
      </c>
      <c r="D434" s="22" t="str">
        <f t="shared" si="1"/>
        <v>Other</v>
      </c>
      <c r="E434" s="21" t="str">
        <f>IF(C434="","",C434*CONFIG!B5)</f>
        <v/>
      </c>
    </row>
    <row r="435" ht="15.75" customHeight="1">
      <c r="A435" s="22" t="str">
        <f>IF(MOV_CC_INTL!A435="","",MOV_CC_INTL!A435)</f>
        <v/>
      </c>
      <c r="B435" s="22" t="str">
        <f>IF(MOV_CC_INTL!B435="","",MOV_CC_INTL!B435)</f>
        <v/>
      </c>
      <c r="C435" s="22" t="str">
        <f>IF(MOV_CC_INTL!C435="","",MOV_CC_INTL!C435)</f>
        <v/>
      </c>
      <c r="D435" s="22" t="str">
        <f t="shared" si="1"/>
        <v>Other</v>
      </c>
      <c r="E435" s="21" t="str">
        <f>IF(C435="","",C435*CONFIG!B5)</f>
        <v/>
      </c>
    </row>
    <row r="436" ht="15.75" customHeight="1">
      <c r="A436" s="22" t="str">
        <f>IF(MOV_CC_INTL!A436="","",MOV_CC_INTL!A436)</f>
        <v/>
      </c>
      <c r="B436" s="22" t="str">
        <f>IF(MOV_CC_INTL!B436="","",MOV_CC_INTL!B436)</f>
        <v/>
      </c>
      <c r="C436" s="22" t="str">
        <f>IF(MOV_CC_INTL!C436="","",MOV_CC_INTL!C436)</f>
        <v/>
      </c>
      <c r="D436" s="22" t="str">
        <f t="shared" si="1"/>
        <v>Other</v>
      </c>
      <c r="E436" s="21" t="str">
        <f>IF(C436="","",C436*CONFIG!B5)</f>
        <v/>
      </c>
    </row>
    <row r="437" ht="15.75" customHeight="1">
      <c r="A437" s="22" t="str">
        <f>IF(MOV_CC_INTL!A437="","",MOV_CC_INTL!A437)</f>
        <v/>
      </c>
      <c r="B437" s="22" t="str">
        <f>IF(MOV_CC_INTL!B437="","",MOV_CC_INTL!B437)</f>
        <v/>
      </c>
      <c r="C437" s="22" t="str">
        <f>IF(MOV_CC_INTL!C437="","",MOV_CC_INTL!C437)</f>
        <v/>
      </c>
      <c r="D437" s="22" t="str">
        <f t="shared" si="1"/>
        <v>Other</v>
      </c>
      <c r="E437" s="21" t="str">
        <f>IF(C437="","",C437*CONFIG!B5)</f>
        <v/>
      </c>
    </row>
    <row r="438" ht="15.75" customHeight="1">
      <c r="A438" s="22" t="str">
        <f>IF(MOV_CC_INTL!A438="","",MOV_CC_INTL!A438)</f>
        <v/>
      </c>
      <c r="B438" s="22" t="str">
        <f>IF(MOV_CC_INTL!B438="","",MOV_CC_INTL!B438)</f>
        <v/>
      </c>
      <c r="C438" s="22" t="str">
        <f>IF(MOV_CC_INTL!C438="","",MOV_CC_INTL!C438)</f>
        <v/>
      </c>
      <c r="D438" s="22" t="str">
        <f t="shared" si="1"/>
        <v>Other</v>
      </c>
      <c r="E438" s="21" t="str">
        <f>IF(C438="","",C438*CONFIG!B5)</f>
        <v/>
      </c>
    </row>
    <row r="439" ht="15.75" customHeight="1">
      <c r="A439" s="22" t="str">
        <f>IF(MOV_CC_INTL!A439="","",MOV_CC_INTL!A439)</f>
        <v/>
      </c>
      <c r="B439" s="22" t="str">
        <f>IF(MOV_CC_INTL!B439="","",MOV_CC_INTL!B439)</f>
        <v/>
      </c>
      <c r="C439" s="22" t="str">
        <f>IF(MOV_CC_INTL!C439="","",MOV_CC_INTL!C439)</f>
        <v/>
      </c>
      <c r="D439" s="22" t="str">
        <f t="shared" si="1"/>
        <v>Other</v>
      </c>
      <c r="E439" s="21" t="str">
        <f>IF(C439="","",C439*CONFIG!B5)</f>
        <v/>
      </c>
    </row>
    <row r="440" ht="15.75" customHeight="1">
      <c r="A440" s="22" t="str">
        <f>IF(MOV_CC_INTL!A440="","",MOV_CC_INTL!A440)</f>
        <v/>
      </c>
      <c r="B440" s="22" t="str">
        <f>IF(MOV_CC_INTL!B440="","",MOV_CC_INTL!B440)</f>
        <v/>
      </c>
      <c r="C440" s="22" t="str">
        <f>IF(MOV_CC_INTL!C440="","",MOV_CC_INTL!C440)</f>
        <v/>
      </c>
      <c r="D440" s="22" t="str">
        <f t="shared" si="1"/>
        <v>Other</v>
      </c>
      <c r="E440" s="21" t="str">
        <f>IF(C440="","",C440*CONFIG!B5)</f>
        <v/>
      </c>
    </row>
    <row r="441" ht="15.75" customHeight="1">
      <c r="A441" s="22" t="str">
        <f>IF(MOV_CC_INTL!A441="","",MOV_CC_INTL!A441)</f>
        <v/>
      </c>
      <c r="B441" s="22" t="str">
        <f>IF(MOV_CC_INTL!B441="","",MOV_CC_INTL!B441)</f>
        <v/>
      </c>
      <c r="C441" s="22" t="str">
        <f>IF(MOV_CC_INTL!C441="","",MOV_CC_INTL!C441)</f>
        <v/>
      </c>
      <c r="D441" s="22" t="str">
        <f t="shared" si="1"/>
        <v>Other</v>
      </c>
      <c r="E441" s="21" t="str">
        <f>IF(C441="","",C441*CONFIG!B5)</f>
        <v/>
      </c>
    </row>
    <row r="442" ht="15.75" customHeight="1">
      <c r="A442" s="22" t="str">
        <f>IF(MOV_CC_INTL!A442="","",MOV_CC_INTL!A442)</f>
        <v/>
      </c>
      <c r="B442" s="22" t="str">
        <f>IF(MOV_CC_INTL!B442="","",MOV_CC_INTL!B442)</f>
        <v/>
      </c>
      <c r="C442" s="22" t="str">
        <f>IF(MOV_CC_INTL!C442="","",MOV_CC_INTL!C442)</f>
        <v/>
      </c>
      <c r="D442" s="22" t="str">
        <f t="shared" si="1"/>
        <v>Other</v>
      </c>
      <c r="E442" s="21" t="str">
        <f>IF(C442="","",C442*CONFIG!B5)</f>
        <v/>
      </c>
    </row>
    <row r="443" ht="15.75" customHeight="1">
      <c r="A443" s="22" t="str">
        <f>IF(MOV_CC_INTL!A443="","",MOV_CC_INTL!A443)</f>
        <v/>
      </c>
      <c r="B443" s="22" t="str">
        <f>IF(MOV_CC_INTL!B443="","",MOV_CC_INTL!B443)</f>
        <v/>
      </c>
      <c r="C443" s="22" t="str">
        <f>IF(MOV_CC_INTL!C443="","",MOV_CC_INTL!C443)</f>
        <v/>
      </c>
      <c r="D443" s="22" t="str">
        <f t="shared" si="1"/>
        <v>Other</v>
      </c>
      <c r="E443" s="21" t="str">
        <f>IF(C443="","",C443*CONFIG!B5)</f>
        <v/>
      </c>
    </row>
    <row r="444" ht="15.75" customHeight="1">
      <c r="A444" s="22" t="str">
        <f>IF(MOV_CC_INTL!A444="","",MOV_CC_INTL!A444)</f>
        <v/>
      </c>
      <c r="B444" s="22" t="str">
        <f>IF(MOV_CC_INTL!B444="","",MOV_CC_INTL!B444)</f>
        <v/>
      </c>
      <c r="C444" s="22" t="str">
        <f>IF(MOV_CC_INTL!C444="","",MOV_CC_INTL!C444)</f>
        <v/>
      </c>
      <c r="D444" s="22" t="str">
        <f t="shared" si="1"/>
        <v>Other</v>
      </c>
      <c r="E444" s="21" t="str">
        <f>IF(C444="","",C444*CONFIG!B5)</f>
        <v/>
      </c>
    </row>
    <row r="445" ht="15.75" customHeight="1">
      <c r="A445" s="22" t="str">
        <f>IF(MOV_CC_INTL!A445="","",MOV_CC_INTL!A445)</f>
        <v/>
      </c>
      <c r="B445" s="22" t="str">
        <f>IF(MOV_CC_INTL!B445="","",MOV_CC_INTL!B445)</f>
        <v/>
      </c>
      <c r="C445" s="22" t="str">
        <f>IF(MOV_CC_INTL!C445="","",MOV_CC_INTL!C445)</f>
        <v/>
      </c>
      <c r="D445" s="22" t="str">
        <f t="shared" si="1"/>
        <v>Other</v>
      </c>
      <c r="E445" s="21" t="str">
        <f>IF(C445="","",C445*CONFIG!B5)</f>
        <v/>
      </c>
    </row>
    <row r="446" ht="15.75" customHeight="1">
      <c r="A446" s="22" t="str">
        <f>IF(MOV_CC_INTL!A446="","",MOV_CC_INTL!A446)</f>
        <v/>
      </c>
      <c r="B446" s="22" t="str">
        <f>IF(MOV_CC_INTL!B446="","",MOV_CC_INTL!B446)</f>
        <v/>
      </c>
      <c r="C446" s="22" t="str">
        <f>IF(MOV_CC_INTL!C446="","",MOV_CC_INTL!C446)</f>
        <v/>
      </c>
      <c r="D446" s="22" t="str">
        <f t="shared" si="1"/>
        <v>Other</v>
      </c>
      <c r="E446" s="21" t="str">
        <f>IF(C446="","",C446*CONFIG!B5)</f>
        <v/>
      </c>
    </row>
    <row r="447" ht="15.75" customHeight="1">
      <c r="A447" s="22" t="str">
        <f>IF(MOV_CC_INTL!A447="","",MOV_CC_INTL!A447)</f>
        <v/>
      </c>
      <c r="B447" s="22" t="str">
        <f>IF(MOV_CC_INTL!B447="","",MOV_CC_INTL!B447)</f>
        <v/>
      </c>
      <c r="C447" s="22" t="str">
        <f>IF(MOV_CC_INTL!C447="","",MOV_CC_INTL!C447)</f>
        <v/>
      </c>
      <c r="D447" s="22" t="str">
        <f t="shared" si="1"/>
        <v>Other</v>
      </c>
      <c r="E447" s="21" t="str">
        <f>IF(C447="","",C447*CONFIG!B5)</f>
        <v/>
      </c>
    </row>
    <row r="448" ht="15.75" customHeight="1">
      <c r="A448" s="22" t="str">
        <f>IF(MOV_CC_INTL!A448="","",MOV_CC_INTL!A448)</f>
        <v/>
      </c>
      <c r="B448" s="22" t="str">
        <f>IF(MOV_CC_INTL!B448="","",MOV_CC_INTL!B448)</f>
        <v/>
      </c>
      <c r="C448" s="22" t="str">
        <f>IF(MOV_CC_INTL!C448="","",MOV_CC_INTL!C448)</f>
        <v/>
      </c>
      <c r="D448" s="22" t="str">
        <f t="shared" si="1"/>
        <v>Other</v>
      </c>
      <c r="E448" s="21" t="str">
        <f>IF(C448="","",C448*CONFIG!B5)</f>
        <v/>
      </c>
    </row>
    <row r="449" ht="15.75" customHeight="1">
      <c r="A449" s="22" t="str">
        <f>IF(MOV_CC_INTL!A449="","",MOV_CC_INTL!A449)</f>
        <v/>
      </c>
      <c r="B449" s="22" t="str">
        <f>IF(MOV_CC_INTL!B449="","",MOV_CC_INTL!B449)</f>
        <v/>
      </c>
      <c r="C449" s="22" t="str">
        <f>IF(MOV_CC_INTL!C449="","",MOV_CC_INTL!C449)</f>
        <v/>
      </c>
      <c r="D449" s="22" t="str">
        <f t="shared" si="1"/>
        <v>Other</v>
      </c>
      <c r="E449" s="21" t="str">
        <f>IF(C449="","",C449*CONFIG!B5)</f>
        <v/>
      </c>
    </row>
    <row r="450" ht="15.75" customHeight="1">
      <c r="A450" s="22" t="str">
        <f>IF(MOV_CC_INTL!A450="","",MOV_CC_INTL!A450)</f>
        <v/>
      </c>
      <c r="B450" s="22" t="str">
        <f>IF(MOV_CC_INTL!B450="","",MOV_CC_INTL!B450)</f>
        <v/>
      </c>
      <c r="C450" s="22" t="str">
        <f>IF(MOV_CC_INTL!C450="","",MOV_CC_INTL!C450)</f>
        <v/>
      </c>
      <c r="D450" s="22" t="str">
        <f t="shared" si="1"/>
        <v>Other</v>
      </c>
      <c r="E450" s="21" t="str">
        <f>IF(C450="","",C450*CONFIG!B5)</f>
        <v/>
      </c>
    </row>
    <row r="451" ht="15.75" customHeight="1">
      <c r="A451" s="22" t="str">
        <f>IF(MOV_CC_INTL!A451="","",MOV_CC_INTL!A451)</f>
        <v/>
      </c>
      <c r="B451" s="22" t="str">
        <f>IF(MOV_CC_INTL!B451="","",MOV_CC_INTL!B451)</f>
        <v/>
      </c>
      <c r="C451" s="22" t="str">
        <f>IF(MOV_CC_INTL!C451="","",MOV_CC_INTL!C451)</f>
        <v/>
      </c>
      <c r="D451" s="22" t="str">
        <f t="shared" si="1"/>
        <v>Other</v>
      </c>
      <c r="E451" s="21" t="str">
        <f>IF(C451="","",C451*CONFIG!B5)</f>
        <v/>
      </c>
    </row>
    <row r="452" ht="15.75" customHeight="1">
      <c r="A452" s="22" t="str">
        <f>IF(MOV_CC_INTL!A452="","",MOV_CC_INTL!A452)</f>
        <v/>
      </c>
      <c r="B452" s="22" t="str">
        <f>IF(MOV_CC_INTL!B452="","",MOV_CC_INTL!B452)</f>
        <v/>
      </c>
      <c r="C452" s="22" t="str">
        <f>IF(MOV_CC_INTL!C452="","",MOV_CC_INTL!C452)</f>
        <v/>
      </c>
      <c r="D452" s="22" t="str">
        <f t="shared" si="1"/>
        <v>Other</v>
      </c>
      <c r="E452" s="21" t="str">
        <f>IF(C452="","",C452*CONFIG!B5)</f>
        <v/>
      </c>
    </row>
    <row r="453" ht="15.75" customHeight="1">
      <c r="A453" s="22" t="str">
        <f>IF(MOV_CC_INTL!A453="","",MOV_CC_INTL!A453)</f>
        <v/>
      </c>
      <c r="B453" s="22" t="str">
        <f>IF(MOV_CC_INTL!B453="","",MOV_CC_INTL!B453)</f>
        <v/>
      </c>
      <c r="C453" s="22" t="str">
        <f>IF(MOV_CC_INTL!C453="","",MOV_CC_INTL!C453)</f>
        <v/>
      </c>
      <c r="D453" s="22" t="str">
        <f t="shared" si="1"/>
        <v>Other</v>
      </c>
      <c r="E453" s="21" t="str">
        <f>IF(C453="","",C453*CONFIG!B5)</f>
        <v/>
      </c>
    </row>
    <row r="454" ht="15.75" customHeight="1">
      <c r="A454" s="22" t="str">
        <f>IF(MOV_CC_INTL!A454="","",MOV_CC_INTL!A454)</f>
        <v/>
      </c>
      <c r="B454" s="22" t="str">
        <f>IF(MOV_CC_INTL!B454="","",MOV_CC_INTL!B454)</f>
        <v/>
      </c>
      <c r="C454" s="22" t="str">
        <f>IF(MOV_CC_INTL!C454="","",MOV_CC_INTL!C454)</f>
        <v/>
      </c>
      <c r="D454" s="22" t="str">
        <f t="shared" si="1"/>
        <v>Other</v>
      </c>
      <c r="E454" s="21" t="str">
        <f>IF(C454="","",C454*CONFIG!B5)</f>
        <v/>
      </c>
    </row>
    <row r="455" ht="15.75" customHeight="1">
      <c r="A455" s="22" t="str">
        <f>IF(MOV_CC_INTL!A455="","",MOV_CC_INTL!A455)</f>
        <v/>
      </c>
      <c r="B455" s="22" t="str">
        <f>IF(MOV_CC_INTL!B455="","",MOV_CC_INTL!B455)</f>
        <v/>
      </c>
      <c r="C455" s="22" t="str">
        <f>IF(MOV_CC_INTL!C455="","",MOV_CC_INTL!C455)</f>
        <v/>
      </c>
      <c r="D455" s="22" t="str">
        <f t="shared" si="1"/>
        <v>Other</v>
      </c>
      <c r="E455" s="21" t="str">
        <f>IF(C455="","",C455*CONFIG!B5)</f>
        <v/>
      </c>
    </row>
    <row r="456" ht="15.75" customHeight="1">
      <c r="A456" s="22" t="str">
        <f>IF(MOV_CC_INTL!A456="","",MOV_CC_INTL!A456)</f>
        <v/>
      </c>
      <c r="B456" s="22" t="str">
        <f>IF(MOV_CC_INTL!B456="","",MOV_CC_INTL!B456)</f>
        <v/>
      </c>
      <c r="C456" s="22" t="str">
        <f>IF(MOV_CC_INTL!C456="","",MOV_CC_INTL!C456)</f>
        <v/>
      </c>
      <c r="D456" s="22" t="str">
        <f t="shared" si="1"/>
        <v>Other</v>
      </c>
      <c r="E456" s="21" t="str">
        <f>IF(C456="","",C456*CONFIG!B5)</f>
        <v/>
      </c>
    </row>
    <row r="457" ht="15.75" customHeight="1">
      <c r="A457" s="22" t="str">
        <f>IF(MOV_CC_INTL!A457="","",MOV_CC_INTL!A457)</f>
        <v/>
      </c>
      <c r="B457" s="22" t="str">
        <f>IF(MOV_CC_INTL!B457="","",MOV_CC_INTL!B457)</f>
        <v/>
      </c>
      <c r="C457" s="22" t="str">
        <f>IF(MOV_CC_INTL!C457="","",MOV_CC_INTL!C457)</f>
        <v/>
      </c>
      <c r="D457" s="22" t="str">
        <f t="shared" si="1"/>
        <v>Other</v>
      </c>
      <c r="E457" s="21" t="str">
        <f>IF(C457="","",C457*CONFIG!B5)</f>
        <v/>
      </c>
    </row>
    <row r="458" ht="15.75" customHeight="1">
      <c r="A458" s="22" t="str">
        <f>IF(MOV_CC_INTL!A458="","",MOV_CC_INTL!A458)</f>
        <v/>
      </c>
      <c r="B458" s="22" t="str">
        <f>IF(MOV_CC_INTL!B458="","",MOV_CC_INTL!B458)</f>
        <v/>
      </c>
      <c r="C458" s="22" t="str">
        <f>IF(MOV_CC_INTL!C458="","",MOV_CC_INTL!C458)</f>
        <v/>
      </c>
      <c r="D458" s="22" t="str">
        <f t="shared" si="1"/>
        <v>Other</v>
      </c>
      <c r="E458" s="21" t="str">
        <f>IF(C458="","",C458*CONFIG!B5)</f>
        <v/>
      </c>
    </row>
    <row r="459" ht="15.75" customHeight="1">
      <c r="A459" s="22" t="str">
        <f>IF(MOV_CC_INTL!A459="","",MOV_CC_INTL!A459)</f>
        <v/>
      </c>
      <c r="B459" s="22" t="str">
        <f>IF(MOV_CC_INTL!B459="","",MOV_CC_INTL!B459)</f>
        <v/>
      </c>
      <c r="C459" s="22" t="str">
        <f>IF(MOV_CC_INTL!C459="","",MOV_CC_INTL!C459)</f>
        <v/>
      </c>
      <c r="D459" s="22" t="str">
        <f t="shared" si="1"/>
        <v>Other</v>
      </c>
      <c r="E459" s="21" t="str">
        <f>IF(C459="","",C459*CONFIG!B5)</f>
        <v/>
      </c>
    </row>
    <row r="460" ht="15.75" customHeight="1">
      <c r="A460" s="22" t="str">
        <f>IF(MOV_CC_INTL!A460="","",MOV_CC_INTL!A460)</f>
        <v/>
      </c>
      <c r="B460" s="22" t="str">
        <f>IF(MOV_CC_INTL!B460="","",MOV_CC_INTL!B460)</f>
        <v/>
      </c>
      <c r="C460" s="22" t="str">
        <f>IF(MOV_CC_INTL!C460="","",MOV_CC_INTL!C460)</f>
        <v/>
      </c>
      <c r="D460" s="22" t="str">
        <f t="shared" si="1"/>
        <v>Other</v>
      </c>
      <c r="E460" s="21" t="str">
        <f>IF(C460="","",C460*CONFIG!B5)</f>
        <v/>
      </c>
    </row>
    <row r="461" ht="15.75" customHeight="1">
      <c r="A461" s="22" t="str">
        <f>IF(MOV_CC_INTL!A461="","",MOV_CC_INTL!A461)</f>
        <v/>
      </c>
      <c r="B461" s="22" t="str">
        <f>IF(MOV_CC_INTL!B461="","",MOV_CC_INTL!B461)</f>
        <v/>
      </c>
      <c r="C461" s="22" t="str">
        <f>IF(MOV_CC_INTL!C461="","",MOV_CC_INTL!C461)</f>
        <v/>
      </c>
      <c r="D461" s="22" t="str">
        <f t="shared" si="1"/>
        <v>Other</v>
      </c>
      <c r="E461" s="21" t="str">
        <f>IF(C461="","",C461*CONFIG!B5)</f>
        <v/>
      </c>
    </row>
    <row r="462" ht="15.75" customHeight="1">
      <c r="A462" s="22" t="str">
        <f>IF(MOV_CC_INTL!A462="","",MOV_CC_INTL!A462)</f>
        <v/>
      </c>
      <c r="B462" s="22" t="str">
        <f>IF(MOV_CC_INTL!B462="","",MOV_CC_INTL!B462)</f>
        <v/>
      </c>
      <c r="C462" s="22" t="str">
        <f>IF(MOV_CC_INTL!C462="","",MOV_CC_INTL!C462)</f>
        <v/>
      </c>
      <c r="D462" s="22" t="str">
        <f t="shared" si="1"/>
        <v>Other</v>
      </c>
      <c r="E462" s="21" t="str">
        <f>IF(C462="","",C462*CONFIG!B5)</f>
        <v/>
      </c>
    </row>
    <row r="463" ht="15.75" customHeight="1">
      <c r="A463" s="22" t="str">
        <f>IF(MOV_CC_INTL!A463="","",MOV_CC_INTL!A463)</f>
        <v/>
      </c>
      <c r="B463" s="22" t="str">
        <f>IF(MOV_CC_INTL!B463="","",MOV_CC_INTL!B463)</f>
        <v/>
      </c>
      <c r="C463" s="22" t="str">
        <f>IF(MOV_CC_INTL!C463="","",MOV_CC_INTL!C463)</f>
        <v/>
      </c>
      <c r="D463" s="22" t="str">
        <f t="shared" si="1"/>
        <v>Other</v>
      </c>
      <c r="E463" s="21" t="str">
        <f>IF(C463="","",C463*CONFIG!B5)</f>
        <v/>
      </c>
    </row>
    <row r="464" ht="15.75" customHeight="1">
      <c r="A464" s="22" t="str">
        <f>IF(MOV_CC_INTL!A464="","",MOV_CC_INTL!A464)</f>
        <v/>
      </c>
      <c r="B464" s="22" t="str">
        <f>IF(MOV_CC_INTL!B464="","",MOV_CC_INTL!B464)</f>
        <v/>
      </c>
      <c r="C464" s="22" t="str">
        <f>IF(MOV_CC_INTL!C464="","",MOV_CC_INTL!C464)</f>
        <v/>
      </c>
      <c r="D464" s="22" t="str">
        <f t="shared" si="1"/>
        <v>Other</v>
      </c>
      <c r="E464" s="21" t="str">
        <f>IF(C464="","",C464*CONFIG!B5)</f>
        <v/>
      </c>
    </row>
    <row r="465" ht="15.75" customHeight="1">
      <c r="A465" s="22" t="str">
        <f>IF(MOV_CC_INTL!A465="","",MOV_CC_INTL!A465)</f>
        <v/>
      </c>
      <c r="B465" s="22" t="str">
        <f>IF(MOV_CC_INTL!B465="","",MOV_CC_INTL!B465)</f>
        <v/>
      </c>
      <c r="C465" s="22" t="str">
        <f>IF(MOV_CC_INTL!C465="","",MOV_CC_INTL!C465)</f>
        <v/>
      </c>
      <c r="D465" s="22" t="str">
        <f t="shared" si="1"/>
        <v>Other</v>
      </c>
      <c r="E465" s="21" t="str">
        <f>IF(C465="","",C465*CONFIG!B5)</f>
        <v/>
      </c>
    </row>
    <row r="466" ht="15.75" customHeight="1">
      <c r="A466" s="22" t="str">
        <f>IF(MOV_CC_INTL!A466="","",MOV_CC_INTL!A466)</f>
        <v/>
      </c>
      <c r="B466" s="22" t="str">
        <f>IF(MOV_CC_INTL!B466="","",MOV_CC_INTL!B466)</f>
        <v/>
      </c>
      <c r="C466" s="22" t="str">
        <f>IF(MOV_CC_INTL!C466="","",MOV_CC_INTL!C466)</f>
        <v/>
      </c>
      <c r="D466" s="22" t="str">
        <f t="shared" si="1"/>
        <v>Other</v>
      </c>
      <c r="E466" s="21" t="str">
        <f>IF(C466="","",C466*CONFIG!B5)</f>
        <v/>
      </c>
    </row>
    <row r="467" ht="15.75" customHeight="1">
      <c r="A467" s="22" t="str">
        <f>IF(MOV_CC_INTL!A467="","",MOV_CC_INTL!A467)</f>
        <v/>
      </c>
      <c r="B467" s="22" t="str">
        <f>IF(MOV_CC_INTL!B467="","",MOV_CC_INTL!B467)</f>
        <v/>
      </c>
      <c r="C467" s="22" t="str">
        <f>IF(MOV_CC_INTL!C467="","",MOV_CC_INTL!C467)</f>
        <v/>
      </c>
      <c r="D467" s="22" t="str">
        <f t="shared" si="1"/>
        <v>Other</v>
      </c>
      <c r="E467" s="21" t="str">
        <f>IF(C467="","",C467*CONFIG!B5)</f>
        <v/>
      </c>
    </row>
    <row r="468" ht="15.75" customHeight="1">
      <c r="A468" s="22" t="str">
        <f>IF(MOV_CC_INTL!A468="","",MOV_CC_INTL!A468)</f>
        <v/>
      </c>
      <c r="B468" s="22" t="str">
        <f>IF(MOV_CC_INTL!B468="","",MOV_CC_INTL!B468)</f>
        <v/>
      </c>
      <c r="C468" s="22" t="str">
        <f>IF(MOV_CC_INTL!C468="","",MOV_CC_INTL!C468)</f>
        <v/>
      </c>
      <c r="D468" s="22" t="str">
        <f t="shared" si="1"/>
        <v>Other</v>
      </c>
      <c r="E468" s="21" t="str">
        <f>IF(C468="","",C468*CONFIG!B5)</f>
        <v/>
      </c>
    </row>
    <row r="469" ht="15.75" customHeight="1">
      <c r="A469" s="22" t="str">
        <f>IF(MOV_CC_INTL!A469="","",MOV_CC_INTL!A469)</f>
        <v/>
      </c>
      <c r="B469" s="22" t="str">
        <f>IF(MOV_CC_INTL!B469="","",MOV_CC_INTL!B469)</f>
        <v/>
      </c>
      <c r="C469" s="22" t="str">
        <f>IF(MOV_CC_INTL!C469="","",MOV_CC_INTL!C469)</f>
        <v/>
      </c>
      <c r="D469" s="22" t="str">
        <f t="shared" si="1"/>
        <v>Other</v>
      </c>
      <c r="E469" s="21" t="str">
        <f>IF(C469="","",C469*CONFIG!B5)</f>
        <v/>
      </c>
    </row>
    <row r="470" ht="15.75" customHeight="1">
      <c r="A470" s="22" t="str">
        <f>IF(MOV_CC_INTL!A470="","",MOV_CC_INTL!A470)</f>
        <v/>
      </c>
      <c r="B470" s="22" t="str">
        <f>IF(MOV_CC_INTL!B470="","",MOV_CC_INTL!B470)</f>
        <v/>
      </c>
      <c r="C470" s="22" t="str">
        <f>IF(MOV_CC_INTL!C470="","",MOV_CC_INTL!C470)</f>
        <v/>
      </c>
      <c r="D470" s="22" t="str">
        <f t="shared" si="1"/>
        <v>Other</v>
      </c>
      <c r="E470" s="21" t="str">
        <f>IF(C470="","",C470*CONFIG!B5)</f>
        <v/>
      </c>
    </row>
    <row r="471" ht="15.75" customHeight="1">
      <c r="A471" s="22" t="str">
        <f>IF(MOV_CC_INTL!A471="","",MOV_CC_INTL!A471)</f>
        <v/>
      </c>
      <c r="B471" s="22" t="str">
        <f>IF(MOV_CC_INTL!B471="","",MOV_CC_INTL!B471)</f>
        <v/>
      </c>
      <c r="C471" s="22" t="str">
        <f>IF(MOV_CC_INTL!C471="","",MOV_CC_INTL!C471)</f>
        <v/>
      </c>
      <c r="D471" s="22" t="str">
        <f t="shared" si="1"/>
        <v>Other</v>
      </c>
      <c r="E471" s="21" t="str">
        <f>IF(C471="","",C471*CONFIG!B5)</f>
        <v/>
      </c>
    </row>
    <row r="472" ht="15.75" customHeight="1">
      <c r="A472" s="22" t="str">
        <f>IF(MOV_CC_INTL!A472="","",MOV_CC_INTL!A472)</f>
        <v/>
      </c>
      <c r="B472" s="22" t="str">
        <f>IF(MOV_CC_INTL!B472="","",MOV_CC_INTL!B472)</f>
        <v/>
      </c>
      <c r="C472" s="22" t="str">
        <f>IF(MOV_CC_INTL!C472="","",MOV_CC_INTL!C472)</f>
        <v/>
      </c>
      <c r="D472" s="22" t="str">
        <f t="shared" si="1"/>
        <v>Other</v>
      </c>
      <c r="E472" s="21" t="str">
        <f>IF(C472="","",C472*CONFIG!B5)</f>
        <v/>
      </c>
    </row>
    <row r="473" ht="15.75" customHeight="1">
      <c r="A473" s="22" t="str">
        <f>IF(MOV_CC_INTL!A473="","",MOV_CC_INTL!A473)</f>
        <v/>
      </c>
      <c r="B473" s="22" t="str">
        <f>IF(MOV_CC_INTL!B473="","",MOV_CC_INTL!B473)</f>
        <v/>
      </c>
      <c r="C473" s="22" t="str">
        <f>IF(MOV_CC_INTL!C473="","",MOV_CC_INTL!C473)</f>
        <v/>
      </c>
      <c r="D473" s="22" t="str">
        <f t="shared" si="1"/>
        <v>Other</v>
      </c>
      <c r="E473" s="21" t="str">
        <f>IF(C473="","",C473*CONFIG!B5)</f>
        <v/>
      </c>
    </row>
    <row r="474" ht="15.75" customHeight="1">
      <c r="A474" s="22" t="str">
        <f>IF(MOV_CC_INTL!A474="","",MOV_CC_INTL!A474)</f>
        <v/>
      </c>
      <c r="B474" s="22" t="str">
        <f>IF(MOV_CC_INTL!B474="","",MOV_CC_INTL!B474)</f>
        <v/>
      </c>
      <c r="C474" s="22" t="str">
        <f>IF(MOV_CC_INTL!C474="","",MOV_CC_INTL!C474)</f>
        <v/>
      </c>
      <c r="D474" s="22" t="str">
        <f t="shared" si="1"/>
        <v>Other</v>
      </c>
      <c r="E474" s="21" t="str">
        <f>IF(C474="","",C474*CONFIG!B5)</f>
        <v/>
      </c>
    </row>
    <row r="475" ht="15.75" customHeight="1">
      <c r="A475" s="22" t="str">
        <f>IF(MOV_CC_INTL!A475="","",MOV_CC_INTL!A475)</f>
        <v/>
      </c>
      <c r="B475" s="22" t="str">
        <f>IF(MOV_CC_INTL!B475="","",MOV_CC_INTL!B475)</f>
        <v/>
      </c>
      <c r="C475" s="22" t="str">
        <f>IF(MOV_CC_INTL!C475="","",MOV_CC_INTL!C475)</f>
        <v/>
      </c>
      <c r="D475" s="22" t="str">
        <f t="shared" si="1"/>
        <v>Other</v>
      </c>
      <c r="E475" s="21" t="str">
        <f>IF(C475="","",C475*CONFIG!B5)</f>
        <v/>
      </c>
    </row>
    <row r="476" ht="15.75" customHeight="1">
      <c r="A476" s="22" t="str">
        <f>IF(MOV_CC_INTL!A476="","",MOV_CC_INTL!A476)</f>
        <v/>
      </c>
      <c r="B476" s="22" t="str">
        <f>IF(MOV_CC_INTL!B476="","",MOV_CC_INTL!B476)</f>
        <v/>
      </c>
      <c r="C476" s="22" t="str">
        <f>IF(MOV_CC_INTL!C476="","",MOV_CC_INTL!C476)</f>
        <v/>
      </c>
      <c r="D476" s="22" t="str">
        <f t="shared" si="1"/>
        <v>Other</v>
      </c>
      <c r="E476" s="21" t="str">
        <f>IF(C476="","",C476*CONFIG!B5)</f>
        <v/>
      </c>
    </row>
    <row r="477" ht="15.75" customHeight="1">
      <c r="A477" s="22" t="str">
        <f>IF(MOV_CC_INTL!A477="","",MOV_CC_INTL!A477)</f>
        <v/>
      </c>
      <c r="B477" s="22" t="str">
        <f>IF(MOV_CC_INTL!B477="","",MOV_CC_INTL!B477)</f>
        <v/>
      </c>
      <c r="C477" s="22" t="str">
        <f>IF(MOV_CC_INTL!C477="","",MOV_CC_INTL!C477)</f>
        <v/>
      </c>
      <c r="D477" s="22" t="str">
        <f t="shared" si="1"/>
        <v>Other</v>
      </c>
      <c r="E477" s="21" t="str">
        <f>IF(C477="","",C477*CONFIG!B5)</f>
        <v/>
      </c>
    </row>
    <row r="478" ht="15.75" customHeight="1">
      <c r="A478" s="22" t="str">
        <f>IF(MOV_CC_INTL!A478="","",MOV_CC_INTL!A478)</f>
        <v/>
      </c>
      <c r="B478" s="22" t="str">
        <f>IF(MOV_CC_INTL!B478="","",MOV_CC_INTL!B478)</f>
        <v/>
      </c>
      <c r="C478" s="22" t="str">
        <f>IF(MOV_CC_INTL!C478="","",MOV_CC_INTL!C478)</f>
        <v/>
      </c>
      <c r="D478" s="22" t="str">
        <f t="shared" si="1"/>
        <v>Other</v>
      </c>
      <c r="E478" s="21" t="str">
        <f>IF(C478="","",C478*CONFIG!B5)</f>
        <v/>
      </c>
    </row>
    <row r="479" ht="15.75" customHeight="1">
      <c r="A479" s="22" t="str">
        <f>IF(MOV_CC_INTL!A479="","",MOV_CC_INTL!A479)</f>
        <v/>
      </c>
      <c r="B479" s="22" t="str">
        <f>IF(MOV_CC_INTL!B479="","",MOV_CC_INTL!B479)</f>
        <v/>
      </c>
      <c r="C479" s="22" t="str">
        <f>IF(MOV_CC_INTL!C479="","",MOV_CC_INTL!C479)</f>
        <v/>
      </c>
      <c r="D479" s="22" t="str">
        <f t="shared" si="1"/>
        <v>Other</v>
      </c>
      <c r="E479" s="21" t="str">
        <f>IF(C479="","",C479*CONFIG!B5)</f>
        <v/>
      </c>
    </row>
    <row r="480" ht="15.75" customHeight="1">
      <c r="A480" s="22" t="str">
        <f>IF(MOV_CC_INTL!A480="","",MOV_CC_INTL!A480)</f>
        <v/>
      </c>
      <c r="B480" s="22" t="str">
        <f>IF(MOV_CC_INTL!B480="","",MOV_CC_INTL!B480)</f>
        <v/>
      </c>
      <c r="C480" s="22" t="str">
        <f>IF(MOV_CC_INTL!C480="","",MOV_CC_INTL!C480)</f>
        <v/>
      </c>
      <c r="D480" s="22" t="str">
        <f t="shared" si="1"/>
        <v>Other</v>
      </c>
      <c r="E480" s="21" t="str">
        <f>IF(C480="","",C480*CONFIG!B5)</f>
        <v/>
      </c>
    </row>
    <row r="481" ht="15.75" customHeight="1">
      <c r="A481" s="22" t="str">
        <f>IF(MOV_CC_INTL!A481="","",MOV_CC_INTL!A481)</f>
        <v/>
      </c>
      <c r="B481" s="22" t="str">
        <f>IF(MOV_CC_INTL!B481="","",MOV_CC_INTL!B481)</f>
        <v/>
      </c>
      <c r="C481" s="22" t="str">
        <f>IF(MOV_CC_INTL!C481="","",MOV_CC_INTL!C481)</f>
        <v/>
      </c>
      <c r="D481" s="22" t="str">
        <f t="shared" si="1"/>
        <v>Other</v>
      </c>
      <c r="E481" s="21" t="str">
        <f>IF(C481="","",C481*CONFIG!B5)</f>
        <v/>
      </c>
    </row>
    <row r="482" ht="15.75" customHeight="1">
      <c r="A482" s="22" t="str">
        <f>IF(MOV_CC_INTL!A482="","",MOV_CC_INTL!A482)</f>
        <v/>
      </c>
      <c r="B482" s="22" t="str">
        <f>IF(MOV_CC_INTL!B482="","",MOV_CC_INTL!B482)</f>
        <v/>
      </c>
      <c r="C482" s="22" t="str">
        <f>IF(MOV_CC_INTL!C482="","",MOV_CC_INTL!C482)</f>
        <v/>
      </c>
      <c r="D482" s="22" t="str">
        <f t="shared" si="1"/>
        <v>Other</v>
      </c>
      <c r="E482" s="21" t="str">
        <f>IF(C482="","",C482*CONFIG!B5)</f>
        <v/>
      </c>
    </row>
    <row r="483" ht="15.75" customHeight="1">
      <c r="A483" s="22" t="str">
        <f>IF(MOV_CC_INTL!A483="","",MOV_CC_INTL!A483)</f>
        <v/>
      </c>
      <c r="B483" s="22" t="str">
        <f>IF(MOV_CC_INTL!B483="","",MOV_CC_INTL!B483)</f>
        <v/>
      </c>
      <c r="C483" s="22" t="str">
        <f>IF(MOV_CC_INTL!C483="","",MOV_CC_INTL!C483)</f>
        <v/>
      </c>
      <c r="D483" s="22" t="str">
        <f t="shared" si="1"/>
        <v>Other</v>
      </c>
      <c r="E483" s="21" t="str">
        <f>IF(C483="","",C483*CONFIG!B5)</f>
        <v/>
      </c>
    </row>
    <row r="484" ht="15.75" customHeight="1">
      <c r="A484" s="22" t="str">
        <f>IF(MOV_CC_INTL!A484="","",MOV_CC_INTL!A484)</f>
        <v/>
      </c>
      <c r="B484" s="22" t="str">
        <f>IF(MOV_CC_INTL!B484="","",MOV_CC_INTL!B484)</f>
        <v/>
      </c>
      <c r="C484" s="22" t="str">
        <f>IF(MOV_CC_INTL!C484="","",MOV_CC_INTL!C484)</f>
        <v/>
      </c>
      <c r="D484" s="22" t="str">
        <f t="shared" si="1"/>
        <v>Other</v>
      </c>
      <c r="E484" s="21" t="str">
        <f>IF(C484="","",C484*CONFIG!B5)</f>
        <v/>
      </c>
    </row>
    <row r="485" ht="15.75" customHeight="1">
      <c r="A485" s="22" t="str">
        <f>IF(MOV_CC_INTL!A485="","",MOV_CC_INTL!A485)</f>
        <v/>
      </c>
      <c r="B485" s="22" t="str">
        <f>IF(MOV_CC_INTL!B485="","",MOV_CC_INTL!B485)</f>
        <v/>
      </c>
      <c r="C485" s="22" t="str">
        <f>IF(MOV_CC_INTL!C485="","",MOV_CC_INTL!C485)</f>
        <v/>
      </c>
      <c r="D485" s="22" t="str">
        <f t="shared" si="1"/>
        <v>Other</v>
      </c>
      <c r="E485" s="21" t="str">
        <f>IF(C485="","",C485*CONFIG!B5)</f>
        <v/>
      </c>
    </row>
    <row r="486" ht="15.75" customHeight="1">
      <c r="A486" s="22" t="str">
        <f>IF(MOV_CC_INTL!A486="","",MOV_CC_INTL!A486)</f>
        <v/>
      </c>
      <c r="B486" s="22" t="str">
        <f>IF(MOV_CC_INTL!B486="","",MOV_CC_INTL!B486)</f>
        <v/>
      </c>
      <c r="C486" s="22" t="str">
        <f>IF(MOV_CC_INTL!C486="","",MOV_CC_INTL!C486)</f>
        <v/>
      </c>
      <c r="D486" s="22" t="str">
        <f t="shared" si="1"/>
        <v>Other</v>
      </c>
      <c r="E486" s="21" t="str">
        <f>IF(C486="","",C486*CONFIG!B5)</f>
        <v/>
      </c>
    </row>
    <row r="487" ht="15.75" customHeight="1">
      <c r="A487" s="22" t="str">
        <f>IF(MOV_CC_INTL!A487="","",MOV_CC_INTL!A487)</f>
        <v/>
      </c>
      <c r="B487" s="22" t="str">
        <f>IF(MOV_CC_INTL!B487="","",MOV_CC_INTL!B487)</f>
        <v/>
      </c>
      <c r="C487" s="22" t="str">
        <f>IF(MOV_CC_INTL!C487="","",MOV_CC_INTL!C487)</f>
        <v/>
      </c>
      <c r="D487" s="22" t="str">
        <f t="shared" si="1"/>
        <v>Other</v>
      </c>
      <c r="E487" s="21" t="str">
        <f>IF(C487="","",C487*CONFIG!B5)</f>
        <v/>
      </c>
    </row>
    <row r="488" ht="15.75" customHeight="1">
      <c r="A488" s="22" t="str">
        <f>IF(MOV_CC_INTL!A488="","",MOV_CC_INTL!A488)</f>
        <v/>
      </c>
      <c r="B488" s="22" t="str">
        <f>IF(MOV_CC_INTL!B488="","",MOV_CC_INTL!B488)</f>
        <v/>
      </c>
      <c r="C488" s="22" t="str">
        <f>IF(MOV_CC_INTL!C488="","",MOV_CC_INTL!C488)</f>
        <v/>
      </c>
      <c r="D488" s="22" t="str">
        <f t="shared" si="1"/>
        <v>Other</v>
      </c>
      <c r="E488" s="21" t="str">
        <f>IF(C488="","",C488*CONFIG!B5)</f>
        <v/>
      </c>
    </row>
    <row r="489" ht="15.75" customHeight="1">
      <c r="A489" s="22" t="str">
        <f>IF(MOV_CC_INTL!A489="","",MOV_CC_INTL!A489)</f>
        <v/>
      </c>
      <c r="B489" s="22" t="str">
        <f>IF(MOV_CC_INTL!B489="","",MOV_CC_INTL!B489)</f>
        <v/>
      </c>
      <c r="C489" s="22" t="str">
        <f>IF(MOV_CC_INTL!C489="","",MOV_CC_INTL!C489)</f>
        <v/>
      </c>
      <c r="D489" s="22" t="str">
        <f t="shared" si="1"/>
        <v>Other</v>
      </c>
      <c r="E489" s="21" t="str">
        <f>IF(C489="","",C489*CONFIG!B5)</f>
        <v/>
      </c>
    </row>
    <row r="490" ht="15.75" customHeight="1">
      <c r="A490" s="22" t="str">
        <f>IF(MOV_CC_INTL!A490="","",MOV_CC_INTL!A490)</f>
        <v/>
      </c>
      <c r="B490" s="22" t="str">
        <f>IF(MOV_CC_INTL!B490="","",MOV_CC_INTL!B490)</f>
        <v/>
      </c>
      <c r="C490" s="22" t="str">
        <f>IF(MOV_CC_INTL!C490="","",MOV_CC_INTL!C490)</f>
        <v/>
      </c>
      <c r="D490" s="22" t="str">
        <f t="shared" si="1"/>
        <v>Other</v>
      </c>
      <c r="E490" s="21" t="str">
        <f>IF(C490="","",C490*CONFIG!B5)</f>
        <v/>
      </c>
    </row>
    <row r="491" ht="15.75" customHeight="1">
      <c r="A491" s="22" t="str">
        <f>IF(MOV_CC_INTL!A491="","",MOV_CC_INTL!A491)</f>
        <v/>
      </c>
      <c r="B491" s="22" t="str">
        <f>IF(MOV_CC_INTL!B491="","",MOV_CC_INTL!B491)</f>
        <v/>
      </c>
      <c r="C491" s="22" t="str">
        <f>IF(MOV_CC_INTL!C491="","",MOV_CC_INTL!C491)</f>
        <v/>
      </c>
      <c r="D491" s="22" t="str">
        <f t="shared" si="1"/>
        <v>Other</v>
      </c>
      <c r="E491" s="21" t="str">
        <f>IF(C491="","",C491*CONFIG!B5)</f>
        <v/>
      </c>
    </row>
    <row r="492" ht="15.75" customHeight="1">
      <c r="A492" s="22" t="str">
        <f>IF(MOV_CC_INTL!A492="","",MOV_CC_INTL!A492)</f>
        <v/>
      </c>
      <c r="B492" s="22" t="str">
        <f>IF(MOV_CC_INTL!B492="","",MOV_CC_INTL!B492)</f>
        <v/>
      </c>
      <c r="C492" s="22" t="str">
        <f>IF(MOV_CC_INTL!C492="","",MOV_CC_INTL!C492)</f>
        <v/>
      </c>
      <c r="D492" s="22" t="str">
        <f t="shared" si="1"/>
        <v>Other</v>
      </c>
      <c r="E492" s="21" t="str">
        <f>IF(C492="","",C492*CONFIG!B5)</f>
        <v/>
      </c>
    </row>
    <row r="493" ht="15.75" customHeight="1">
      <c r="A493" s="22" t="str">
        <f>IF(MOV_CC_INTL!A493="","",MOV_CC_INTL!A493)</f>
        <v/>
      </c>
      <c r="B493" s="22" t="str">
        <f>IF(MOV_CC_INTL!B493="","",MOV_CC_INTL!B493)</f>
        <v/>
      </c>
      <c r="C493" s="22" t="str">
        <f>IF(MOV_CC_INTL!C493="","",MOV_CC_INTL!C493)</f>
        <v/>
      </c>
      <c r="D493" s="22" t="str">
        <f t="shared" si="1"/>
        <v>Other</v>
      </c>
      <c r="E493" s="21" t="str">
        <f>IF(C493="","",C493*CONFIG!B5)</f>
        <v/>
      </c>
    </row>
    <row r="494" ht="15.75" customHeight="1">
      <c r="A494" s="22" t="str">
        <f>IF(MOV_CC_INTL!A494="","",MOV_CC_INTL!A494)</f>
        <v/>
      </c>
      <c r="B494" s="22" t="str">
        <f>IF(MOV_CC_INTL!B494="","",MOV_CC_INTL!B494)</f>
        <v/>
      </c>
      <c r="C494" s="22" t="str">
        <f>IF(MOV_CC_INTL!C494="","",MOV_CC_INTL!C494)</f>
        <v/>
      </c>
      <c r="D494" s="22" t="str">
        <f t="shared" si="1"/>
        <v>Other</v>
      </c>
      <c r="E494" s="21" t="str">
        <f>IF(C494="","",C494*CONFIG!B5)</f>
        <v/>
      </c>
    </row>
    <row r="495" ht="15.75" customHeight="1">
      <c r="A495" s="22" t="str">
        <f>IF(MOV_CC_INTL!A495="","",MOV_CC_INTL!A495)</f>
        <v/>
      </c>
      <c r="B495" s="22" t="str">
        <f>IF(MOV_CC_INTL!B495="","",MOV_CC_INTL!B495)</f>
        <v/>
      </c>
      <c r="C495" s="22" t="str">
        <f>IF(MOV_CC_INTL!C495="","",MOV_CC_INTL!C495)</f>
        <v/>
      </c>
      <c r="D495" s="22" t="str">
        <f t="shared" si="1"/>
        <v>Other</v>
      </c>
      <c r="E495" s="21" t="str">
        <f>IF(C495="","",C495*CONFIG!B5)</f>
        <v/>
      </c>
    </row>
    <row r="496" ht="15.75" customHeight="1">
      <c r="A496" s="22" t="str">
        <f>IF(MOV_CC_INTL!A496="","",MOV_CC_INTL!A496)</f>
        <v/>
      </c>
      <c r="B496" s="22" t="str">
        <f>IF(MOV_CC_INTL!B496="","",MOV_CC_INTL!B496)</f>
        <v/>
      </c>
      <c r="C496" s="22" t="str">
        <f>IF(MOV_CC_INTL!C496="","",MOV_CC_INTL!C496)</f>
        <v/>
      </c>
      <c r="D496" s="22" t="str">
        <f t="shared" si="1"/>
        <v>Other</v>
      </c>
      <c r="E496" s="21" t="str">
        <f>IF(C496="","",C496*CONFIG!B5)</f>
        <v/>
      </c>
    </row>
    <row r="497" ht="15.75" customHeight="1">
      <c r="A497" s="22" t="str">
        <f>IF(MOV_CC_INTL!A497="","",MOV_CC_INTL!A497)</f>
        <v/>
      </c>
      <c r="B497" s="22" t="str">
        <f>IF(MOV_CC_INTL!B497="","",MOV_CC_INTL!B497)</f>
        <v/>
      </c>
      <c r="C497" s="22" t="str">
        <f>IF(MOV_CC_INTL!C497="","",MOV_CC_INTL!C497)</f>
        <v/>
      </c>
      <c r="D497" s="22" t="str">
        <f t="shared" si="1"/>
        <v>Other</v>
      </c>
      <c r="E497" s="21" t="str">
        <f>IF(C497="","",C497*CONFIG!B5)</f>
        <v/>
      </c>
    </row>
    <row r="498" ht="15.75" customHeight="1">
      <c r="A498" s="22" t="str">
        <f>IF(MOV_CC_INTL!A498="","",MOV_CC_INTL!A498)</f>
        <v/>
      </c>
      <c r="B498" s="22" t="str">
        <f>IF(MOV_CC_INTL!B498="","",MOV_CC_INTL!B498)</f>
        <v/>
      </c>
      <c r="C498" s="22" t="str">
        <f>IF(MOV_CC_INTL!C498="","",MOV_CC_INTL!C498)</f>
        <v/>
      </c>
      <c r="D498" s="22" t="str">
        <f t="shared" si="1"/>
        <v>Other</v>
      </c>
      <c r="E498" s="21" t="str">
        <f>IF(C498="","",C498*CONFIG!B5)</f>
        <v/>
      </c>
    </row>
    <row r="499" ht="15.75" customHeight="1">
      <c r="A499" s="22" t="str">
        <f>IF(MOV_CC_INTL!A499="","",MOV_CC_INTL!A499)</f>
        <v/>
      </c>
      <c r="B499" s="22" t="str">
        <f>IF(MOV_CC_INTL!B499="","",MOV_CC_INTL!B499)</f>
        <v/>
      </c>
      <c r="C499" s="22" t="str">
        <f>IF(MOV_CC_INTL!C499="","",MOV_CC_INTL!C499)</f>
        <v/>
      </c>
      <c r="D499" s="22" t="str">
        <f t="shared" si="1"/>
        <v>Other</v>
      </c>
      <c r="E499" s="21" t="str">
        <f>IF(C499="","",C499*CONFIG!B5)</f>
        <v/>
      </c>
    </row>
    <row r="500" ht="15.75" customHeight="1">
      <c r="A500" s="22" t="str">
        <f>IF(MOV_CC_INTL!A500="","",MOV_CC_INTL!A500)</f>
        <v/>
      </c>
      <c r="B500" s="22" t="str">
        <f>IF(MOV_CC_INTL!B500="","",MOV_CC_INTL!B500)</f>
        <v/>
      </c>
      <c r="C500" s="22" t="str">
        <f>IF(MOV_CC_INTL!C500="","",MOV_CC_INTL!C500)</f>
        <v/>
      </c>
      <c r="D500" s="22" t="str">
        <f t="shared" si="1"/>
        <v>Other</v>
      </c>
      <c r="E500" s="21" t="str">
        <f>IF(C500="","",C500*CONFIG!B5)</f>
        <v/>
      </c>
    </row>
    <row r="501" ht="15.75" customHeight="1">
      <c r="A501" s="22" t="str">
        <f>IF(MOV_CC_INTL!A501="","",MOV_CC_INTL!A501)</f>
        <v/>
      </c>
      <c r="B501" s="22" t="str">
        <f>IF(MOV_CC_INTL!B501="","",MOV_CC_INTL!B501)</f>
        <v/>
      </c>
      <c r="C501" s="22" t="str">
        <f>IF(MOV_CC_INTL!C501="","",MOV_CC_INTL!C501)</f>
        <v/>
      </c>
      <c r="D501" s="22" t="str">
        <f t="shared" si="1"/>
        <v>Other</v>
      </c>
      <c r="E501" s="21" t="str">
        <f>IF(C501="","",C501*CONFIG!B5)</f>
        <v/>
      </c>
    </row>
    <row r="502" ht="15.75" customHeight="1">
      <c r="A502" s="22" t="str">
        <f>IF(MOV_CC_INTL!A502="","",MOV_CC_INTL!A502)</f>
        <v/>
      </c>
      <c r="B502" s="22" t="str">
        <f>IF(MOV_CC_INTL!B502="","",MOV_CC_INTL!B502)</f>
        <v/>
      </c>
      <c r="C502" s="22" t="str">
        <f>IF(MOV_CC_INTL!C502="","",MOV_CC_INTL!C502)</f>
        <v/>
      </c>
      <c r="D502" s="22" t="str">
        <f t="shared" si="1"/>
        <v>Other</v>
      </c>
      <c r="E502" s="21" t="str">
        <f>IF(C502="","",C502*CONFIG!B5)</f>
        <v/>
      </c>
    </row>
    <row r="503" ht="15.75" customHeight="1">
      <c r="A503" s="22" t="str">
        <f>IF(MOV_CC_INTL!A503="","",MOV_CC_INTL!A503)</f>
        <v/>
      </c>
      <c r="B503" s="22" t="str">
        <f>IF(MOV_CC_INTL!B503="","",MOV_CC_INTL!B503)</f>
        <v/>
      </c>
      <c r="C503" s="22" t="str">
        <f>IF(MOV_CC_INTL!C503="","",MOV_CC_INTL!C503)</f>
        <v/>
      </c>
      <c r="D503" s="22" t="str">
        <f t="shared" si="1"/>
        <v>Other</v>
      </c>
      <c r="E503" s="21" t="str">
        <f>IF(C503="","",C503*CONFIG!B5)</f>
        <v/>
      </c>
    </row>
    <row r="504" ht="15.75" customHeight="1">
      <c r="A504" s="22" t="str">
        <f>IF(MOV_CC_INTL!A504="","",MOV_CC_INTL!A504)</f>
        <v/>
      </c>
      <c r="B504" s="22" t="str">
        <f>IF(MOV_CC_INTL!B504="","",MOV_CC_INTL!B504)</f>
        <v/>
      </c>
      <c r="C504" s="22" t="str">
        <f>IF(MOV_CC_INTL!C504="","",MOV_CC_INTL!C504)</f>
        <v/>
      </c>
      <c r="D504" s="22" t="str">
        <f t="shared" si="1"/>
        <v>Other</v>
      </c>
      <c r="E504" s="21" t="str">
        <f>IF(C504="","",C504*CONFIG!B5)</f>
        <v/>
      </c>
    </row>
    <row r="505" ht="15.75" customHeight="1">
      <c r="A505" s="22" t="str">
        <f>IF(MOV_CC_INTL!A505="","",MOV_CC_INTL!A505)</f>
        <v/>
      </c>
      <c r="B505" s="22" t="str">
        <f>IF(MOV_CC_INTL!B505="","",MOV_CC_INTL!B505)</f>
        <v/>
      </c>
      <c r="C505" s="22" t="str">
        <f>IF(MOV_CC_INTL!C505="","",MOV_CC_INTL!C505)</f>
        <v/>
      </c>
      <c r="D505" s="22" t="str">
        <f t="shared" si="1"/>
        <v>Other</v>
      </c>
      <c r="E505" s="21" t="str">
        <f>IF(C505="","",C505*CONFIG!B5)</f>
        <v/>
      </c>
    </row>
    <row r="506" ht="15.75" customHeight="1">
      <c r="A506" s="22" t="str">
        <f>IF(MOV_CC_INTL!A506="","",MOV_CC_INTL!A506)</f>
        <v/>
      </c>
      <c r="B506" s="22" t="str">
        <f>IF(MOV_CC_INTL!B506="","",MOV_CC_INTL!B506)</f>
        <v/>
      </c>
      <c r="C506" s="22" t="str">
        <f>IF(MOV_CC_INTL!C506="","",MOV_CC_INTL!C506)</f>
        <v/>
      </c>
      <c r="D506" s="22" t="str">
        <f t="shared" si="1"/>
        <v>Other</v>
      </c>
      <c r="E506" s="21" t="str">
        <f>IF(C506="","",C506*CONFIG!B5)</f>
        <v/>
      </c>
    </row>
    <row r="507" ht="15.75" customHeight="1">
      <c r="A507" s="22" t="str">
        <f>IF(MOV_CC_INTL!A507="","",MOV_CC_INTL!A507)</f>
        <v/>
      </c>
      <c r="B507" s="22" t="str">
        <f>IF(MOV_CC_INTL!B507="","",MOV_CC_INTL!B507)</f>
        <v/>
      </c>
      <c r="C507" s="22" t="str">
        <f>IF(MOV_CC_INTL!C507="","",MOV_CC_INTL!C507)</f>
        <v/>
      </c>
      <c r="D507" s="22" t="str">
        <f t="shared" si="1"/>
        <v>Other</v>
      </c>
      <c r="E507" s="21" t="str">
        <f>IF(C507="","",C507*CONFIG!B5)</f>
        <v/>
      </c>
    </row>
    <row r="508" ht="15.75" customHeight="1">
      <c r="A508" s="22" t="str">
        <f>IF(MOV_CC_INTL!A508="","",MOV_CC_INTL!A508)</f>
        <v/>
      </c>
      <c r="B508" s="22" t="str">
        <f>IF(MOV_CC_INTL!B508="","",MOV_CC_INTL!B508)</f>
        <v/>
      </c>
      <c r="C508" s="22" t="str">
        <f>IF(MOV_CC_INTL!C508="","",MOV_CC_INTL!C508)</f>
        <v/>
      </c>
      <c r="D508" s="22" t="str">
        <f t="shared" si="1"/>
        <v>Other</v>
      </c>
      <c r="E508" s="21" t="str">
        <f>IF(C508="","",C508*CONFIG!B5)</f>
        <v/>
      </c>
    </row>
    <row r="509" ht="15.75" customHeight="1">
      <c r="A509" s="22" t="str">
        <f>IF(MOV_CC_INTL!A509="","",MOV_CC_INTL!A509)</f>
        <v/>
      </c>
      <c r="B509" s="22" t="str">
        <f>IF(MOV_CC_INTL!B509="","",MOV_CC_INTL!B509)</f>
        <v/>
      </c>
      <c r="C509" s="22" t="str">
        <f>IF(MOV_CC_INTL!C509="","",MOV_CC_INTL!C509)</f>
        <v/>
      </c>
      <c r="D509" s="22" t="str">
        <f t="shared" si="1"/>
        <v>Other</v>
      </c>
      <c r="E509" s="21" t="str">
        <f>IF(C509="","",C509*CONFIG!B5)</f>
        <v/>
      </c>
    </row>
    <row r="510" ht="15.75" customHeight="1">
      <c r="A510" s="22" t="str">
        <f>IF(MOV_CC_INTL!A510="","",MOV_CC_INTL!A510)</f>
        <v/>
      </c>
      <c r="B510" s="22" t="str">
        <f>IF(MOV_CC_INTL!B510="","",MOV_CC_INTL!B510)</f>
        <v/>
      </c>
      <c r="C510" s="22" t="str">
        <f>IF(MOV_CC_INTL!C510="","",MOV_CC_INTL!C510)</f>
        <v/>
      </c>
      <c r="D510" s="22" t="str">
        <f t="shared" si="1"/>
        <v>Other</v>
      </c>
      <c r="E510" s="21" t="str">
        <f>IF(C510="","",C510*CONFIG!B5)</f>
        <v/>
      </c>
    </row>
    <row r="511" ht="15.75" customHeight="1">
      <c r="A511" s="22" t="str">
        <f>IF(MOV_CC_INTL!A511="","",MOV_CC_INTL!A511)</f>
        <v/>
      </c>
      <c r="B511" s="22" t="str">
        <f>IF(MOV_CC_INTL!B511="","",MOV_CC_INTL!B511)</f>
        <v/>
      </c>
      <c r="C511" s="22" t="str">
        <f>IF(MOV_CC_INTL!C511="","",MOV_CC_INTL!C511)</f>
        <v/>
      </c>
      <c r="D511" s="22" t="str">
        <f t="shared" si="1"/>
        <v>Other</v>
      </c>
      <c r="E511" s="21" t="str">
        <f>IF(C511="","",C511*CONFIG!B5)</f>
        <v/>
      </c>
    </row>
    <row r="512" ht="15.75" customHeight="1">
      <c r="A512" s="22" t="str">
        <f>IF(MOV_CC_INTL!A512="","",MOV_CC_INTL!A512)</f>
        <v/>
      </c>
      <c r="B512" s="22" t="str">
        <f>IF(MOV_CC_INTL!B512="","",MOV_CC_INTL!B512)</f>
        <v/>
      </c>
      <c r="C512" s="22" t="str">
        <f>IF(MOV_CC_INTL!C512="","",MOV_CC_INTL!C512)</f>
        <v/>
      </c>
      <c r="D512" s="22" t="str">
        <f t="shared" si="1"/>
        <v>Other</v>
      </c>
      <c r="E512" s="21" t="str">
        <f>IF(C512="","",C512*CONFIG!B5)</f>
        <v/>
      </c>
    </row>
    <row r="513" ht="15.75" customHeight="1">
      <c r="A513" s="22" t="str">
        <f>IF(MOV_CC_INTL!A513="","",MOV_CC_INTL!A513)</f>
        <v/>
      </c>
      <c r="B513" s="22" t="str">
        <f>IF(MOV_CC_INTL!B513="","",MOV_CC_INTL!B513)</f>
        <v/>
      </c>
      <c r="C513" s="22" t="str">
        <f>IF(MOV_CC_INTL!C513="","",MOV_CC_INTL!C513)</f>
        <v/>
      </c>
      <c r="D513" s="22" t="str">
        <f t="shared" si="1"/>
        <v>Other</v>
      </c>
      <c r="E513" s="21" t="str">
        <f>IF(C513="","",C513*CONFIG!B5)</f>
        <v/>
      </c>
    </row>
    <row r="514" ht="15.75" customHeight="1">
      <c r="A514" s="22" t="str">
        <f>IF(MOV_CC_INTL!A514="","",MOV_CC_INTL!A514)</f>
        <v/>
      </c>
      <c r="B514" s="22" t="str">
        <f>IF(MOV_CC_INTL!B514="","",MOV_CC_INTL!B514)</f>
        <v/>
      </c>
      <c r="C514" s="22" t="str">
        <f>IF(MOV_CC_INTL!C514="","",MOV_CC_INTL!C514)</f>
        <v/>
      </c>
      <c r="D514" s="22" t="str">
        <f t="shared" si="1"/>
        <v>Other</v>
      </c>
      <c r="E514" s="21" t="str">
        <f>IF(C514="","",C514*CONFIG!B5)</f>
        <v/>
      </c>
    </row>
    <row r="515" ht="15.75" customHeight="1">
      <c r="A515" s="22" t="str">
        <f>IF(MOV_CC_INTL!A515="","",MOV_CC_INTL!A515)</f>
        <v/>
      </c>
      <c r="B515" s="22" t="str">
        <f>IF(MOV_CC_INTL!B515="","",MOV_CC_INTL!B515)</f>
        <v/>
      </c>
      <c r="C515" s="22" t="str">
        <f>IF(MOV_CC_INTL!C515="","",MOV_CC_INTL!C515)</f>
        <v/>
      </c>
      <c r="D515" s="22" t="str">
        <f t="shared" si="1"/>
        <v>Other</v>
      </c>
      <c r="E515" s="21" t="str">
        <f>IF(C515="","",C515*CONFIG!B5)</f>
        <v/>
      </c>
    </row>
    <row r="516" ht="15.75" customHeight="1">
      <c r="A516" s="22" t="str">
        <f>IF(MOV_CC_INTL!A516="","",MOV_CC_INTL!A516)</f>
        <v/>
      </c>
      <c r="B516" s="22" t="str">
        <f>IF(MOV_CC_INTL!B516="","",MOV_CC_INTL!B516)</f>
        <v/>
      </c>
      <c r="C516" s="22" t="str">
        <f>IF(MOV_CC_INTL!C516="","",MOV_CC_INTL!C516)</f>
        <v/>
      </c>
      <c r="D516" s="22" t="str">
        <f t="shared" si="1"/>
        <v>Other</v>
      </c>
      <c r="E516" s="21" t="str">
        <f>IF(C516="","",C516*CONFIG!B5)</f>
        <v/>
      </c>
    </row>
    <row r="517" ht="15.75" customHeight="1">
      <c r="A517" s="22" t="str">
        <f>IF(MOV_CC_INTL!A517="","",MOV_CC_INTL!A517)</f>
        <v/>
      </c>
      <c r="B517" s="22" t="str">
        <f>IF(MOV_CC_INTL!B517="","",MOV_CC_INTL!B517)</f>
        <v/>
      </c>
      <c r="C517" s="22" t="str">
        <f>IF(MOV_CC_INTL!C517="","",MOV_CC_INTL!C517)</f>
        <v/>
      </c>
      <c r="D517" s="22" t="str">
        <f t="shared" si="1"/>
        <v>Other</v>
      </c>
      <c r="E517" s="21" t="str">
        <f>IF(C517="","",C517*CONFIG!B5)</f>
        <v/>
      </c>
    </row>
    <row r="518" ht="15.75" customHeight="1">
      <c r="A518" s="22" t="str">
        <f>IF(MOV_CC_INTL!A518="","",MOV_CC_INTL!A518)</f>
        <v/>
      </c>
      <c r="B518" s="22" t="str">
        <f>IF(MOV_CC_INTL!B518="","",MOV_CC_INTL!B518)</f>
        <v/>
      </c>
      <c r="C518" s="22" t="str">
        <f>IF(MOV_CC_INTL!C518="","",MOV_CC_INTL!C518)</f>
        <v/>
      </c>
      <c r="D518" s="22" t="str">
        <f t="shared" si="1"/>
        <v>Other</v>
      </c>
      <c r="E518" s="21" t="str">
        <f>IF(C518="","",C518*CONFIG!B5)</f>
        <v/>
      </c>
    </row>
    <row r="519" ht="15.75" customHeight="1">
      <c r="A519" s="22" t="str">
        <f>IF(MOV_CC_INTL!A519="","",MOV_CC_INTL!A519)</f>
        <v/>
      </c>
      <c r="B519" s="22" t="str">
        <f>IF(MOV_CC_INTL!B519="","",MOV_CC_INTL!B519)</f>
        <v/>
      </c>
      <c r="C519" s="22" t="str">
        <f>IF(MOV_CC_INTL!C519="","",MOV_CC_INTL!C519)</f>
        <v/>
      </c>
      <c r="D519" s="22" t="str">
        <f t="shared" si="1"/>
        <v>Other</v>
      </c>
      <c r="E519" s="21" t="str">
        <f>IF(C519="","",C519*CONFIG!B5)</f>
        <v/>
      </c>
    </row>
    <row r="520" ht="15.75" customHeight="1">
      <c r="A520" s="22" t="str">
        <f>IF(MOV_CC_INTL!A520="","",MOV_CC_INTL!A520)</f>
        <v/>
      </c>
      <c r="B520" s="22" t="str">
        <f>IF(MOV_CC_INTL!B520="","",MOV_CC_INTL!B520)</f>
        <v/>
      </c>
      <c r="C520" s="22" t="str">
        <f>IF(MOV_CC_INTL!C520="","",MOV_CC_INTL!C520)</f>
        <v/>
      </c>
      <c r="D520" s="22" t="str">
        <f t="shared" si="1"/>
        <v>Other</v>
      </c>
      <c r="E520" s="21" t="str">
        <f>IF(C520="","",C520*CONFIG!B5)</f>
        <v/>
      </c>
    </row>
    <row r="521" ht="15.75" customHeight="1">
      <c r="A521" s="22" t="str">
        <f>IF(MOV_CC_INTL!A521="","",MOV_CC_INTL!A521)</f>
        <v/>
      </c>
      <c r="B521" s="22" t="str">
        <f>IF(MOV_CC_INTL!B521="","",MOV_CC_INTL!B521)</f>
        <v/>
      </c>
      <c r="C521" s="22" t="str">
        <f>IF(MOV_CC_INTL!C521="","",MOV_CC_INTL!C521)</f>
        <v/>
      </c>
      <c r="D521" s="22" t="str">
        <f t="shared" si="1"/>
        <v>Other</v>
      </c>
      <c r="E521" s="21" t="str">
        <f>IF(C521="","",C521*CONFIG!B5)</f>
        <v/>
      </c>
    </row>
    <row r="522" ht="15.75" customHeight="1">
      <c r="A522" s="22" t="str">
        <f>IF(MOV_CC_INTL!A522="","",MOV_CC_INTL!A522)</f>
        <v/>
      </c>
      <c r="B522" s="22" t="str">
        <f>IF(MOV_CC_INTL!B522="","",MOV_CC_INTL!B522)</f>
        <v/>
      </c>
      <c r="C522" s="22" t="str">
        <f>IF(MOV_CC_INTL!C522="","",MOV_CC_INTL!C522)</f>
        <v/>
      </c>
      <c r="D522" s="22" t="str">
        <f t="shared" si="1"/>
        <v>Other</v>
      </c>
      <c r="E522" s="21" t="str">
        <f>IF(C522="","",C522*CONFIG!B5)</f>
        <v/>
      </c>
    </row>
    <row r="523" ht="15.75" customHeight="1">
      <c r="A523" s="22" t="str">
        <f>IF(MOV_CC_INTL!A523="","",MOV_CC_INTL!A523)</f>
        <v/>
      </c>
      <c r="B523" s="22" t="str">
        <f>IF(MOV_CC_INTL!B523="","",MOV_CC_INTL!B523)</f>
        <v/>
      </c>
      <c r="C523" s="22" t="str">
        <f>IF(MOV_CC_INTL!C523="","",MOV_CC_INTL!C523)</f>
        <v/>
      </c>
      <c r="D523" s="22" t="str">
        <f t="shared" si="1"/>
        <v>Other</v>
      </c>
      <c r="E523" s="21" t="str">
        <f>IF(C523="","",C523*CONFIG!B5)</f>
        <v/>
      </c>
    </row>
    <row r="524" ht="15.75" customHeight="1">
      <c r="A524" s="22" t="str">
        <f>IF(MOV_CC_INTL!A524="","",MOV_CC_INTL!A524)</f>
        <v/>
      </c>
      <c r="B524" s="22" t="str">
        <f>IF(MOV_CC_INTL!B524="","",MOV_CC_INTL!B524)</f>
        <v/>
      </c>
      <c r="C524" s="22" t="str">
        <f>IF(MOV_CC_INTL!C524="","",MOV_CC_INTL!C524)</f>
        <v/>
      </c>
      <c r="D524" s="22" t="str">
        <f t="shared" si="1"/>
        <v>Other</v>
      </c>
      <c r="E524" s="21" t="str">
        <f>IF(C524="","",C524*CONFIG!B5)</f>
        <v/>
      </c>
    </row>
    <row r="525" ht="15.75" customHeight="1">
      <c r="A525" s="22" t="str">
        <f>IF(MOV_CC_INTL!A525="","",MOV_CC_INTL!A525)</f>
        <v/>
      </c>
      <c r="B525" s="22" t="str">
        <f>IF(MOV_CC_INTL!B525="","",MOV_CC_INTL!B525)</f>
        <v/>
      </c>
      <c r="C525" s="22" t="str">
        <f>IF(MOV_CC_INTL!C525="","",MOV_CC_INTL!C525)</f>
        <v/>
      </c>
      <c r="D525" s="22" t="str">
        <f t="shared" si="1"/>
        <v>Other</v>
      </c>
      <c r="E525" s="21" t="str">
        <f>IF(C525="","",C525*CONFIG!B5)</f>
        <v/>
      </c>
    </row>
    <row r="526" ht="15.75" customHeight="1">
      <c r="A526" s="22" t="str">
        <f>IF(MOV_CC_INTL!A526="","",MOV_CC_INTL!A526)</f>
        <v/>
      </c>
      <c r="B526" s="22" t="str">
        <f>IF(MOV_CC_INTL!B526="","",MOV_CC_INTL!B526)</f>
        <v/>
      </c>
      <c r="C526" s="22" t="str">
        <f>IF(MOV_CC_INTL!C526="","",MOV_CC_INTL!C526)</f>
        <v/>
      </c>
      <c r="D526" s="22" t="str">
        <f t="shared" si="1"/>
        <v>Other</v>
      </c>
      <c r="E526" s="21" t="str">
        <f>IF(C526="","",C526*CONFIG!B5)</f>
        <v/>
      </c>
    </row>
    <row r="527" ht="15.75" customHeight="1">
      <c r="A527" s="22" t="str">
        <f>IF(MOV_CC_INTL!A527="","",MOV_CC_INTL!A527)</f>
        <v/>
      </c>
      <c r="B527" s="22" t="str">
        <f>IF(MOV_CC_INTL!B527="","",MOV_CC_INTL!B527)</f>
        <v/>
      </c>
      <c r="C527" s="22" t="str">
        <f>IF(MOV_CC_INTL!C527="","",MOV_CC_INTL!C527)</f>
        <v/>
      </c>
      <c r="D527" s="22" t="str">
        <f t="shared" si="1"/>
        <v>Other</v>
      </c>
      <c r="E527" s="21" t="str">
        <f>IF(C527="","",C527*CONFIG!B5)</f>
        <v/>
      </c>
    </row>
    <row r="528" ht="15.75" customHeight="1">
      <c r="A528" s="22" t="str">
        <f>IF(MOV_CC_INTL!A528="","",MOV_CC_INTL!A528)</f>
        <v/>
      </c>
      <c r="B528" s="22" t="str">
        <f>IF(MOV_CC_INTL!B528="","",MOV_CC_INTL!B528)</f>
        <v/>
      </c>
      <c r="C528" s="22" t="str">
        <f>IF(MOV_CC_INTL!C528="","",MOV_CC_INTL!C528)</f>
        <v/>
      </c>
      <c r="D528" s="22" t="str">
        <f t="shared" si="1"/>
        <v>Other</v>
      </c>
      <c r="E528" s="21" t="str">
        <f>IF(C528="","",C528*CONFIG!B5)</f>
        <v/>
      </c>
    </row>
    <row r="529" ht="15.75" customHeight="1">
      <c r="A529" s="22" t="str">
        <f>IF(MOV_CC_INTL!A529="","",MOV_CC_INTL!A529)</f>
        <v/>
      </c>
      <c r="B529" s="22" t="str">
        <f>IF(MOV_CC_INTL!B529="","",MOV_CC_INTL!B529)</f>
        <v/>
      </c>
      <c r="C529" s="22" t="str">
        <f>IF(MOV_CC_INTL!C529="","",MOV_CC_INTL!C529)</f>
        <v/>
      </c>
      <c r="D529" s="22" t="str">
        <f t="shared" si="1"/>
        <v>Other</v>
      </c>
      <c r="E529" s="21" t="str">
        <f>IF(C529="","",C529*CONFIG!B5)</f>
        <v/>
      </c>
    </row>
    <row r="530" ht="15.75" customHeight="1">
      <c r="A530" s="22" t="str">
        <f>IF(MOV_CC_INTL!A530="","",MOV_CC_INTL!A530)</f>
        <v/>
      </c>
      <c r="B530" s="22" t="str">
        <f>IF(MOV_CC_INTL!B530="","",MOV_CC_INTL!B530)</f>
        <v/>
      </c>
      <c r="C530" s="22" t="str">
        <f>IF(MOV_CC_INTL!C530="","",MOV_CC_INTL!C530)</f>
        <v/>
      </c>
      <c r="D530" s="22" t="str">
        <f t="shared" si="1"/>
        <v>Other</v>
      </c>
      <c r="E530" s="21" t="str">
        <f>IF(C530="","",C530*CONFIG!B5)</f>
        <v/>
      </c>
    </row>
    <row r="531" ht="15.75" customHeight="1">
      <c r="A531" s="22" t="str">
        <f>IF(MOV_CC_INTL!A531="","",MOV_CC_INTL!A531)</f>
        <v/>
      </c>
      <c r="B531" s="22" t="str">
        <f>IF(MOV_CC_INTL!B531="","",MOV_CC_INTL!B531)</f>
        <v/>
      </c>
      <c r="C531" s="22" t="str">
        <f>IF(MOV_CC_INTL!C531="","",MOV_CC_INTL!C531)</f>
        <v/>
      </c>
      <c r="D531" s="22" t="str">
        <f t="shared" si="1"/>
        <v>Other</v>
      </c>
      <c r="E531" s="21" t="str">
        <f>IF(C531="","",C531*CONFIG!B5)</f>
        <v/>
      </c>
    </row>
    <row r="532" ht="15.75" customHeight="1">
      <c r="A532" s="22" t="str">
        <f>IF(MOV_CC_INTL!A532="","",MOV_CC_INTL!A532)</f>
        <v/>
      </c>
      <c r="B532" s="22" t="str">
        <f>IF(MOV_CC_INTL!B532="","",MOV_CC_INTL!B532)</f>
        <v/>
      </c>
      <c r="C532" s="22" t="str">
        <f>IF(MOV_CC_INTL!C532="","",MOV_CC_INTL!C532)</f>
        <v/>
      </c>
      <c r="D532" s="22" t="str">
        <f t="shared" si="1"/>
        <v>Other</v>
      </c>
      <c r="E532" s="21" t="str">
        <f>IF(C532="","",C532*CONFIG!B5)</f>
        <v/>
      </c>
    </row>
    <row r="533" ht="15.75" customHeight="1">
      <c r="A533" s="22" t="str">
        <f>IF(MOV_CC_INTL!A533="","",MOV_CC_INTL!A533)</f>
        <v/>
      </c>
      <c r="B533" s="22" t="str">
        <f>IF(MOV_CC_INTL!B533="","",MOV_CC_INTL!B533)</f>
        <v/>
      </c>
      <c r="C533" s="22" t="str">
        <f>IF(MOV_CC_INTL!C533="","",MOV_CC_INTL!C533)</f>
        <v/>
      </c>
      <c r="D533" s="22" t="str">
        <f t="shared" si="1"/>
        <v>Other</v>
      </c>
      <c r="E533" s="21" t="str">
        <f>IF(C533="","",C533*CONFIG!B5)</f>
        <v/>
      </c>
    </row>
    <row r="534" ht="15.75" customHeight="1">
      <c r="A534" s="22" t="str">
        <f>IF(MOV_CC_INTL!A534="","",MOV_CC_INTL!A534)</f>
        <v/>
      </c>
      <c r="B534" s="22" t="str">
        <f>IF(MOV_CC_INTL!B534="","",MOV_CC_INTL!B534)</f>
        <v/>
      </c>
      <c r="C534" s="22" t="str">
        <f>IF(MOV_CC_INTL!C534="","",MOV_CC_INTL!C534)</f>
        <v/>
      </c>
      <c r="D534" s="22" t="str">
        <f t="shared" si="1"/>
        <v>Other</v>
      </c>
      <c r="E534" s="21" t="str">
        <f>IF(C534="","",C534*CONFIG!B5)</f>
        <v/>
      </c>
    </row>
    <row r="535" ht="15.75" customHeight="1">
      <c r="A535" s="22" t="str">
        <f>IF(MOV_CC_INTL!A535="","",MOV_CC_INTL!A535)</f>
        <v/>
      </c>
      <c r="B535" s="22" t="str">
        <f>IF(MOV_CC_INTL!B535="","",MOV_CC_INTL!B535)</f>
        <v/>
      </c>
      <c r="C535" s="22" t="str">
        <f>IF(MOV_CC_INTL!C535="","",MOV_CC_INTL!C535)</f>
        <v/>
      </c>
      <c r="D535" s="22" t="str">
        <f t="shared" si="1"/>
        <v>Other</v>
      </c>
      <c r="E535" s="21" t="str">
        <f>IF(C535="","",C535*CONFIG!B5)</f>
        <v/>
      </c>
    </row>
    <row r="536" ht="15.75" customHeight="1">
      <c r="A536" s="22" t="str">
        <f>IF(MOV_CC_INTL!A536="","",MOV_CC_INTL!A536)</f>
        <v/>
      </c>
      <c r="B536" s="22" t="str">
        <f>IF(MOV_CC_INTL!B536="","",MOV_CC_INTL!B536)</f>
        <v/>
      </c>
      <c r="C536" s="22" t="str">
        <f>IF(MOV_CC_INTL!C536="","",MOV_CC_INTL!C536)</f>
        <v/>
      </c>
      <c r="D536" s="22" t="str">
        <f t="shared" si="1"/>
        <v>Other</v>
      </c>
      <c r="E536" s="21" t="str">
        <f>IF(C536="","",C536*CONFIG!B5)</f>
        <v/>
      </c>
    </row>
    <row r="537" ht="15.75" customHeight="1">
      <c r="A537" s="22" t="str">
        <f>IF(MOV_CC_INTL!A537="","",MOV_CC_INTL!A537)</f>
        <v/>
      </c>
      <c r="B537" s="22" t="str">
        <f>IF(MOV_CC_INTL!B537="","",MOV_CC_INTL!B537)</f>
        <v/>
      </c>
      <c r="C537" s="22" t="str">
        <f>IF(MOV_CC_INTL!C537="","",MOV_CC_INTL!C537)</f>
        <v/>
      </c>
      <c r="D537" s="22" t="str">
        <f t="shared" si="1"/>
        <v>Other</v>
      </c>
      <c r="E537" s="21" t="str">
        <f>IF(C537="","",C537*CONFIG!B5)</f>
        <v/>
      </c>
    </row>
    <row r="538" ht="15.75" customHeight="1">
      <c r="A538" s="22" t="str">
        <f>IF(MOV_CC_INTL!A538="","",MOV_CC_INTL!A538)</f>
        <v/>
      </c>
      <c r="B538" s="22" t="str">
        <f>IF(MOV_CC_INTL!B538="","",MOV_CC_INTL!B538)</f>
        <v/>
      </c>
      <c r="C538" s="22" t="str">
        <f>IF(MOV_CC_INTL!C538="","",MOV_CC_INTL!C538)</f>
        <v/>
      </c>
      <c r="D538" s="22" t="str">
        <f t="shared" si="1"/>
        <v>Other</v>
      </c>
      <c r="E538" s="21" t="str">
        <f>IF(C538="","",C538*CONFIG!B5)</f>
        <v/>
      </c>
    </row>
    <row r="539" ht="15.75" customHeight="1">
      <c r="A539" s="22" t="str">
        <f>IF(MOV_CC_INTL!A539="","",MOV_CC_INTL!A539)</f>
        <v/>
      </c>
      <c r="B539" s="22" t="str">
        <f>IF(MOV_CC_INTL!B539="","",MOV_CC_INTL!B539)</f>
        <v/>
      </c>
      <c r="C539" s="22" t="str">
        <f>IF(MOV_CC_INTL!C539="","",MOV_CC_INTL!C539)</f>
        <v/>
      </c>
      <c r="D539" s="22" t="str">
        <f t="shared" si="1"/>
        <v>Other</v>
      </c>
      <c r="E539" s="21" t="str">
        <f>IF(C539="","",C539*CONFIG!B5)</f>
        <v/>
      </c>
    </row>
    <row r="540" ht="15.75" customHeight="1">
      <c r="A540" s="22" t="str">
        <f>IF(MOV_CC_INTL!A540="","",MOV_CC_INTL!A540)</f>
        <v/>
      </c>
      <c r="B540" s="22" t="str">
        <f>IF(MOV_CC_INTL!B540="","",MOV_CC_INTL!B540)</f>
        <v/>
      </c>
      <c r="C540" s="22" t="str">
        <f>IF(MOV_CC_INTL!C540="","",MOV_CC_INTL!C540)</f>
        <v/>
      </c>
      <c r="D540" s="22" t="str">
        <f t="shared" si="1"/>
        <v>Other</v>
      </c>
      <c r="E540" s="21" t="str">
        <f>IF(C540="","",C540*CONFIG!B5)</f>
        <v/>
      </c>
    </row>
    <row r="541" ht="15.75" customHeight="1">
      <c r="A541" s="22" t="str">
        <f>IF(MOV_CC_INTL!A541="","",MOV_CC_INTL!A541)</f>
        <v/>
      </c>
      <c r="B541" s="22" t="str">
        <f>IF(MOV_CC_INTL!B541="","",MOV_CC_INTL!B541)</f>
        <v/>
      </c>
      <c r="C541" s="22" t="str">
        <f>IF(MOV_CC_INTL!C541="","",MOV_CC_INTL!C541)</f>
        <v/>
      </c>
      <c r="D541" s="22" t="str">
        <f t="shared" si="1"/>
        <v>Other</v>
      </c>
      <c r="E541" s="21" t="str">
        <f>IF(C541="","",C541*CONFIG!B5)</f>
        <v/>
      </c>
    </row>
    <row r="542" ht="15.75" customHeight="1">
      <c r="A542" s="22" t="str">
        <f>IF(MOV_CC_INTL!A542="","",MOV_CC_INTL!A542)</f>
        <v/>
      </c>
      <c r="B542" s="22" t="str">
        <f>IF(MOV_CC_INTL!B542="","",MOV_CC_INTL!B542)</f>
        <v/>
      </c>
      <c r="C542" s="22" t="str">
        <f>IF(MOV_CC_INTL!C542="","",MOV_CC_INTL!C542)</f>
        <v/>
      </c>
      <c r="D542" s="22" t="str">
        <f t="shared" si="1"/>
        <v>Other</v>
      </c>
      <c r="E542" s="21" t="str">
        <f>IF(C542="","",C542*CONFIG!B5)</f>
        <v/>
      </c>
    </row>
    <row r="543" ht="15.75" customHeight="1">
      <c r="A543" s="22" t="str">
        <f>IF(MOV_CC_INTL!A543="","",MOV_CC_INTL!A543)</f>
        <v/>
      </c>
      <c r="B543" s="22" t="str">
        <f>IF(MOV_CC_INTL!B543="","",MOV_CC_INTL!B543)</f>
        <v/>
      </c>
      <c r="C543" s="22" t="str">
        <f>IF(MOV_CC_INTL!C543="","",MOV_CC_INTL!C543)</f>
        <v/>
      </c>
      <c r="D543" s="22" t="str">
        <f t="shared" si="1"/>
        <v>Other</v>
      </c>
      <c r="E543" s="21" t="str">
        <f>IF(C543="","",C543*CONFIG!B5)</f>
        <v/>
      </c>
    </row>
    <row r="544" ht="15.75" customHeight="1">
      <c r="A544" s="22" t="str">
        <f>IF(MOV_CC_INTL!A544="","",MOV_CC_INTL!A544)</f>
        <v/>
      </c>
      <c r="B544" s="22" t="str">
        <f>IF(MOV_CC_INTL!B544="","",MOV_CC_INTL!B544)</f>
        <v/>
      </c>
      <c r="C544" s="22" t="str">
        <f>IF(MOV_CC_INTL!C544="","",MOV_CC_INTL!C544)</f>
        <v/>
      </c>
      <c r="D544" s="22" t="str">
        <f t="shared" si="1"/>
        <v>Other</v>
      </c>
      <c r="E544" s="21" t="str">
        <f>IF(C544="","",C544*CONFIG!B5)</f>
        <v/>
      </c>
    </row>
    <row r="545" ht="15.75" customHeight="1">
      <c r="A545" s="22" t="str">
        <f>IF(MOV_CC_INTL!A545="","",MOV_CC_INTL!A545)</f>
        <v/>
      </c>
      <c r="B545" s="22" t="str">
        <f>IF(MOV_CC_INTL!B545="","",MOV_CC_INTL!B545)</f>
        <v/>
      </c>
      <c r="C545" s="22" t="str">
        <f>IF(MOV_CC_INTL!C545="","",MOV_CC_INTL!C545)</f>
        <v/>
      </c>
      <c r="D545" s="22" t="str">
        <f t="shared" si="1"/>
        <v>Other</v>
      </c>
      <c r="E545" s="21" t="str">
        <f>IF(C545="","",C545*CONFIG!B5)</f>
        <v/>
      </c>
    </row>
    <row r="546" ht="15.75" customHeight="1">
      <c r="A546" s="22" t="str">
        <f>IF(MOV_CC_INTL!A546="","",MOV_CC_INTL!A546)</f>
        <v/>
      </c>
      <c r="B546" s="22" t="str">
        <f>IF(MOV_CC_INTL!B546="","",MOV_CC_INTL!B546)</f>
        <v/>
      </c>
      <c r="C546" s="22" t="str">
        <f>IF(MOV_CC_INTL!C546="","",MOV_CC_INTL!C546)</f>
        <v/>
      </c>
      <c r="D546" s="22" t="str">
        <f t="shared" si="1"/>
        <v>Other</v>
      </c>
      <c r="E546" s="21" t="str">
        <f>IF(C546="","",C546*CONFIG!B5)</f>
        <v/>
      </c>
    </row>
    <row r="547" ht="15.75" customHeight="1">
      <c r="A547" s="22" t="str">
        <f>IF(MOV_CC_INTL!A547="","",MOV_CC_INTL!A547)</f>
        <v/>
      </c>
      <c r="B547" s="22" t="str">
        <f>IF(MOV_CC_INTL!B547="","",MOV_CC_INTL!B547)</f>
        <v/>
      </c>
      <c r="C547" s="22" t="str">
        <f>IF(MOV_CC_INTL!C547="","",MOV_CC_INTL!C547)</f>
        <v/>
      </c>
      <c r="D547" s="22" t="str">
        <f t="shared" si="1"/>
        <v>Other</v>
      </c>
      <c r="E547" s="21" t="str">
        <f>IF(C547="","",C547*CONFIG!B5)</f>
        <v/>
      </c>
    </row>
    <row r="548" ht="15.75" customHeight="1">
      <c r="A548" s="22" t="str">
        <f>IF(MOV_CC_INTL!A548="","",MOV_CC_INTL!A548)</f>
        <v/>
      </c>
      <c r="B548" s="22" t="str">
        <f>IF(MOV_CC_INTL!B548="","",MOV_CC_INTL!B548)</f>
        <v/>
      </c>
      <c r="C548" s="22" t="str">
        <f>IF(MOV_CC_INTL!C548="","",MOV_CC_INTL!C548)</f>
        <v/>
      </c>
      <c r="D548" s="22" t="str">
        <f t="shared" si="1"/>
        <v>Other</v>
      </c>
      <c r="E548" s="21" t="str">
        <f>IF(C548="","",C548*CONFIG!B5)</f>
        <v/>
      </c>
    </row>
    <row r="549" ht="15.75" customHeight="1">
      <c r="A549" s="22" t="str">
        <f>IF(MOV_CC_INTL!A549="","",MOV_CC_INTL!A549)</f>
        <v/>
      </c>
      <c r="B549" s="22" t="str">
        <f>IF(MOV_CC_INTL!B549="","",MOV_CC_INTL!B549)</f>
        <v/>
      </c>
      <c r="C549" s="22" t="str">
        <f>IF(MOV_CC_INTL!C549="","",MOV_CC_INTL!C549)</f>
        <v/>
      </c>
      <c r="D549" s="22" t="str">
        <f t="shared" si="1"/>
        <v>Other</v>
      </c>
      <c r="E549" s="21" t="str">
        <f>IF(C549="","",C549*CONFIG!B5)</f>
        <v/>
      </c>
    </row>
    <row r="550" ht="15.75" customHeight="1">
      <c r="A550" s="22" t="str">
        <f>IF(MOV_CC_INTL!A550="","",MOV_CC_INTL!A550)</f>
        <v/>
      </c>
      <c r="B550" s="22" t="str">
        <f>IF(MOV_CC_INTL!B550="","",MOV_CC_INTL!B550)</f>
        <v/>
      </c>
      <c r="C550" s="22" t="str">
        <f>IF(MOV_CC_INTL!C550="","",MOV_CC_INTL!C550)</f>
        <v/>
      </c>
      <c r="D550" s="22" t="str">
        <f t="shared" si="1"/>
        <v>Other</v>
      </c>
      <c r="E550" s="21" t="str">
        <f>IF(C550="","",C550*CONFIG!B5)</f>
        <v/>
      </c>
    </row>
    <row r="551" ht="15.75" customHeight="1">
      <c r="A551" s="22" t="str">
        <f>IF(MOV_CC_INTL!A551="","",MOV_CC_INTL!A551)</f>
        <v/>
      </c>
      <c r="B551" s="22" t="str">
        <f>IF(MOV_CC_INTL!B551="","",MOV_CC_INTL!B551)</f>
        <v/>
      </c>
      <c r="C551" s="22" t="str">
        <f>IF(MOV_CC_INTL!C551="","",MOV_CC_INTL!C551)</f>
        <v/>
      </c>
      <c r="D551" s="22" t="str">
        <f t="shared" si="1"/>
        <v>Other</v>
      </c>
      <c r="E551" s="21" t="str">
        <f>IF(C551="","",C551*CONFIG!B5)</f>
        <v/>
      </c>
    </row>
    <row r="552" ht="15.75" customHeight="1">
      <c r="A552" s="22" t="str">
        <f>IF(MOV_CC_INTL!A552="","",MOV_CC_INTL!A552)</f>
        <v/>
      </c>
      <c r="B552" s="22" t="str">
        <f>IF(MOV_CC_INTL!B552="","",MOV_CC_INTL!B552)</f>
        <v/>
      </c>
      <c r="C552" s="22" t="str">
        <f>IF(MOV_CC_INTL!C552="","",MOV_CC_INTL!C552)</f>
        <v/>
      </c>
      <c r="D552" s="22" t="str">
        <f t="shared" si="1"/>
        <v>Other</v>
      </c>
      <c r="E552" s="21" t="str">
        <f>IF(C552="","",C552*CONFIG!B5)</f>
        <v/>
      </c>
    </row>
    <row r="553" ht="15.75" customHeight="1">
      <c r="A553" s="22" t="str">
        <f>IF(MOV_CC_INTL!A553="","",MOV_CC_INTL!A553)</f>
        <v/>
      </c>
      <c r="B553" s="22" t="str">
        <f>IF(MOV_CC_INTL!B553="","",MOV_CC_INTL!B553)</f>
        <v/>
      </c>
      <c r="C553" s="22" t="str">
        <f>IF(MOV_CC_INTL!C553="","",MOV_CC_INTL!C553)</f>
        <v/>
      </c>
      <c r="D553" s="22" t="str">
        <f t="shared" si="1"/>
        <v>Other</v>
      </c>
      <c r="E553" s="21" t="str">
        <f>IF(C553="","",C553*CONFIG!B5)</f>
        <v/>
      </c>
    </row>
    <row r="554" ht="15.75" customHeight="1">
      <c r="A554" s="22" t="str">
        <f>IF(MOV_CC_INTL!A554="","",MOV_CC_INTL!A554)</f>
        <v/>
      </c>
      <c r="B554" s="22" t="str">
        <f>IF(MOV_CC_INTL!B554="","",MOV_CC_INTL!B554)</f>
        <v/>
      </c>
      <c r="C554" s="22" t="str">
        <f>IF(MOV_CC_INTL!C554="","",MOV_CC_INTL!C554)</f>
        <v/>
      </c>
      <c r="D554" s="22" t="str">
        <f t="shared" si="1"/>
        <v>Other</v>
      </c>
      <c r="E554" s="21" t="str">
        <f>IF(C554="","",C554*CONFIG!B5)</f>
        <v/>
      </c>
    </row>
    <row r="555" ht="15.75" customHeight="1">
      <c r="A555" s="22" t="str">
        <f>IF(MOV_CC_INTL!A555="","",MOV_CC_INTL!A555)</f>
        <v/>
      </c>
      <c r="B555" s="22" t="str">
        <f>IF(MOV_CC_INTL!B555="","",MOV_CC_INTL!B555)</f>
        <v/>
      </c>
      <c r="C555" s="22" t="str">
        <f>IF(MOV_CC_INTL!C555="","",MOV_CC_INTL!C555)</f>
        <v/>
      </c>
      <c r="D555" s="22" t="str">
        <f t="shared" si="1"/>
        <v>Other</v>
      </c>
      <c r="E555" s="21" t="str">
        <f>IF(C555="","",C555*CONFIG!B5)</f>
        <v/>
      </c>
    </row>
    <row r="556" ht="15.75" customHeight="1">
      <c r="A556" s="22" t="str">
        <f>IF(MOV_CC_INTL!A556="","",MOV_CC_INTL!A556)</f>
        <v/>
      </c>
      <c r="B556" s="22" t="str">
        <f>IF(MOV_CC_INTL!B556="","",MOV_CC_INTL!B556)</f>
        <v/>
      </c>
      <c r="C556" s="22" t="str">
        <f>IF(MOV_CC_INTL!C556="","",MOV_CC_INTL!C556)</f>
        <v/>
      </c>
      <c r="D556" s="22" t="str">
        <f t="shared" si="1"/>
        <v>Other</v>
      </c>
      <c r="E556" s="21" t="str">
        <f>IF(C556="","",C556*CONFIG!B5)</f>
        <v/>
      </c>
    </row>
    <row r="557" ht="15.75" customHeight="1">
      <c r="A557" s="22" t="str">
        <f>IF(MOV_CC_INTL!A557="","",MOV_CC_INTL!A557)</f>
        <v/>
      </c>
      <c r="B557" s="22" t="str">
        <f>IF(MOV_CC_INTL!B557="","",MOV_CC_INTL!B557)</f>
        <v/>
      </c>
      <c r="C557" s="22" t="str">
        <f>IF(MOV_CC_INTL!C557="","",MOV_CC_INTL!C557)</f>
        <v/>
      </c>
      <c r="D557" s="22" t="str">
        <f t="shared" si="1"/>
        <v>Other</v>
      </c>
      <c r="E557" s="21" t="str">
        <f>IF(C557="","",C557*CONFIG!B5)</f>
        <v/>
      </c>
    </row>
    <row r="558" ht="15.75" customHeight="1">
      <c r="A558" s="22" t="str">
        <f>IF(MOV_CC_INTL!A558="","",MOV_CC_INTL!A558)</f>
        <v/>
      </c>
      <c r="B558" s="22" t="str">
        <f>IF(MOV_CC_INTL!B558="","",MOV_CC_INTL!B558)</f>
        <v/>
      </c>
      <c r="C558" s="22" t="str">
        <f>IF(MOV_CC_INTL!C558="","",MOV_CC_INTL!C558)</f>
        <v/>
      </c>
      <c r="D558" s="22" t="str">
        <f t="shared" si="1"/>
        <v>Other</v>
      </c>
      <c r="E558" s="21" t="str">
        <f>IF(C558="","",C558*CONFIG!B5)</f>
        <v/>
      </c>
    </row>
    <row r="559" ht="15.75" customHeight="1">
      <c r="A559" s="22" t="str">
        <f>IF(MOV_CC_INTL!A559="","",MOV_CC_INTL!A559)</f>
        <v/>
      </c>
      <c r="B559" s="22" t="str">
        <f>IF(MOV_CC_INTL!B559="","",MOV_CC_INTL!B559)</f>
        <v/>
      </c>
      <c r="C559" s="22" t="str">
        <f>IF(MOV_CC_INTL!C559="","",MOV_CC_INTL!C559)</f>
        <v/>
      </c>
      <c r="D559" s="22" t="str">
        <f t="shared" si="1"/>
        <v>Other</v>
      </c>
      <c r="E559" s="21" t="str">
        <f>IF(C559="","",C559*CONFIG!B5)</f>
        <v/>
      </c>
    </row>
    <row r="560" ht="15.75" customHeight="1">
      <c r="A560" s="22" t="str">
        <f>IF(MOV_CC_INTL!A560="","",MOV_CC_INTL!A560)</f>
        <v/>
      </c>
      <c r="B560" s="22" t="str">
        <f>IF(MOV_CC_INTL!B560="","",MOV_CC_INTL!B560)</f>
        <v/>
      </c>
      <c r="C560" s="22" t="str">
        <f>IF(MOV_CC_INTL!C560="","",MOV_CC_INTL!C560)</f>
        <v/>
      </c>
      <c r="D560" s="22" t="str">
        <f t="shared" si="1"/>
        <v>Other</v>
      </c>
      <c r="E560" s="21" t="str">
        <f>IF(C560="","",C560*CONFIG!B5)</f>
        <v/>
      </c>
    </row>
    <row r="561" ht="15.75" customHeight="1">
      <c r="A561" s="22" t="str">
        <f>IF(MOV_CC_INTL!A561="","",MOV_CC_INTL!A561)</f>
        <v/>
      </c>
      <c r="B561" s="22" t="str">
        <f>IF(MOV_CC_INTL!B561="","",MOV_CC_INTL!B561)</f>
        <v/>
      </c>
      <c r="C561" s="22" t="str">
        <f>IF(MOV_CC_INTL!C561="","",MOV_CC_INTL!C561)</f>
        <v/>
      </c>
      <c r="D561" s="22" t="str">
        <f t="shared" si="1"/>
        <v>Other</v>
      </c>
      <c r="E561" s="21" t="str">
        <f>IF(C561="","",C561*CONFIG!B5)</f>
        <v/>
      </c>
    </row>
    <row r="562" ht="15.75" customHeight="1">
      <c r="A562" s="22" t="str">
        <f>IF(MOV_CC_INTL!A562="","",MOV_CC_INTL!A562)</f>
        <v/>
      </c>
      <c r="B562" s="22" t="str">
        <f>IF(MOV_CC_INTL!B562="","",MOV_CC_INTL!B562)</f>
        <v/>
      </c>
      <c r="C562" s="22" t="str">
        <f>IF(MOV_CC_INTL!C562="","",MOV_CC_INTL!C562)</f>
        <v/>
      </c>
      <c r="D562" s="22" t="str">
        <f t="shared" si="1"/>
        <v>Other</v>
      </c>
      <c r="E562" s="21" t="str">
        <f>IF(C562="","",C562*CONFIG!B5)</f>
        <v/>
      </c>
    </row>
    <row r="563" ht="15.75" customHeight="1">
      <c r="A563" s="22" t="str">
        <f>IF(MOV_CC_INTL!A563="","",MOV_CC_INTL!A563)</f>
        <v/>
      </c>
      <c r="B563" s="22" t="str">
        <f>IF(MOV_CC_INTL!B563="","",MOV_CC_INTL!B563)</f>
        <v/>
      </c>
      <c r="C563" s="22" t="str">
        <f>IF(MOV_CC_INTL!C563="","",MOV_CC_INTL!C563)</f>
        <v/>
      </c>
      <c r="D563" s="22" t="str">
        <f t="shared" si="1"/>
        <v>Other</v>
      </c>
      <c r="E563" s="21" t="str">
        <f>IF(C563="","",C563*CONFIG!B5)</f>
        <v/>
      </c>
    </row>
    <row r="564" ht="15.75" customHeight="1">
      <c r="A564" s="22" t="str">
        <f>IF(MOV_CC_INTL!A564="","",MOV_CC_INTL!A564)</f>
        <v/>
      </c>
      <c r="B564" s="22" t="str">
        <f>IF(MOV_CC_INTL!B564="","",MOV_CC_INTL!B564)</f>
        <v/>
      </c>
      <c r="C564" s="22" t="str">
        <f>IF(MOV_CC_INTL!C564="","",MOV_CC_INTL!C564)</f>
        <v/>
      </c>
      <c r="D564" s="22" t="str">
        <f t="shared" si="1"/>
        <v>Other</v>
      </c>
      <c r="E564" s="21" t="str">
        <f>IF(C564="","",C564*CONFIG!B5)</f>
        <v/>
      </c>
    </row>
    <row r="565" ht="15.75" customHeight="1">
      <c r="A565" s="22" t="str">
        <f>IF(MOV_CC_INTL!A565="","",MOV_CC_INTL!A565)</f>
        <v/>
      </c>
      <c r="B565" s="22" t="str">
        <f>IF(MOV_CC_INTL!B565="","",MOV_CC_INTL!B565)</f>
        <v/>
      </c>
      <c r="C565" s="22" t="str">
        <f>IF(MOV_CC_INTL!C565="","",MOV_CC_INTL!C565)</f>
        <v/>
      </c>
      <c r="D565" s="22" t="str">
        <f t="shared" si="1"/>
        <v>Other</v>
      </c>
      <c r="E565" s="21" t="str">
        <f>IF(C565="","",C565*CONFIG!B5)</f>
        <v/>
      </c>
    </row>
    <row r="566" ht="15.75" customHeight="1">
      <c r="A566" s="22" t="str">
        <f>IF(MOV_CC_INTL!A566="","",MOV_CC_INTL!A566)</f>
        <v/>
      </c>
      <c r="B566" s="22" t="str">
        <f>IF(MOV_CC_INTL!B566="","",MOV_CC_INTL!B566)</f>
        <v/>
      </c>
      <c r="C566" s="22" t="str">
        <f>IF(MOV_CC_INTL!C566="","",MOV_CC_INTL!C566)</f>
        <v/>
      </c>
      <c r="D566" s="22" t="str">
        <f t="shared" si="1"/>
        <v>Other</v>
      </c>
      <c r="E566" s="21" t="str">
        <f>IF(C566="","",C566*CONFIG!B5)</f>
        <v/>
      </c>
    </row>
    <row r="567" ht="15.75" customHeight="1">
      <c r="A567" s="22" t="str">
        <f>IF(MOV_CC_INTL!A567="","",MOV_CC_INTL!A567)</f>
        <v/>
      </c>
      <c r="B567" s="22" t="str">
        <f>IF(MOV_CC_INTL!B567="","",MOV_CC_INTL!B567)</f>
        <v/>
      </c>
      <c r="C567" s="22" t="str">
        <f>IF(MOV_CC_INTL!C567="","",MOV_CC_INTL!C567)</f>
        <v/>
      </c>
      <c r="D567" s="22" t="str">
        <f t="shared" si="1"/>
        <v>Other</v>
      </c>
      <c r="E567" s="21" t="str">
        <f>IF(C567="","",C567*CONFIG!B5)</f>
        <v/>
      </c>
    </row>
    <row r="568" ht="15.75" customHeight="1">
      <c r="A568" s="22" t="str">
        <f>IF(MOV_CC_INTL!A568="","",MOV_CC_INTL!A568)</f>
        <v/>
      </c>
      <c r="B568" s="22" t="str">
        <f>IF(MOV_CC_INTL!B568="","",MOV_CC_INTL!B568)</f>
        <v/>
      </c>
      <c r="C568" s="22" t="str">
        <f>IF(MOV_CC_INTL!C568="","",MOV_CC_INTL!C568)</f>
        <v/>
      </c>
      <c r="D568" s="22" t="str">
        <f t="shared" si="1"/>
        <v>Other</v>
      </c>
      <c r="E568" s="21" t="str">
        <f>IF(C568="","",C568*CONFIG!B5)</f>
        <v/>
      </c>
    </row>
    <row r="569" ht="15.75" customHeight="1">
      <c r="A569" s="22" t="str">
        <f>IF(MOV_CC_INTL!A569="","",MOV_CC_INTL!A569)</f>
        <v/>
      </c>
      <c r="B569" s="22" t="str">
        <f>IF(MOV_CC_INTL!B569="","",MOV_CC_INTL!B569)</f>
        <v/>
      </c>
      <c r="C569" s="22" t="str">
        <f>IF(MOV_CC_INTL!C569="","",MOV_CC_INTL!C569)</f>
        <v/>
      </c>
      <c r="D569" s="22" t="str">
        <f t="shared" si="1"/>
        <v>Other</v>
      </c>
      <c r="E569" s="21" t="str">
        <f>IF(C569="","",C569*CONFIG!B5)</f>
        <v/>
      </c>
    </row>
    <row r="570" ht="15.75" customHeight="1">
      <c r="A570" s="22" t="str">
        <f>IF(MOV_CC_INTL!A570="","",MOV_CC_INTL!A570)</f>
        <v/>
      </c>
      <c r="B570" s="22" t="str">
        <f>IF(MOV_CC_INTL!B570="","",MOV_CC_INTL!B570)</f>
        <v/>
      </c>
      <c r="C570" s="22" t="str">
        <f>IF(MOV_CC_INTL!C570="","",MOV_CC_INTL!C570)</f>
        <v/>
      </c>
      <c r="D570" s="22" t="str">
        <f t="shared" si="1"/>
        <v>Other</v>
      </c>
      <c r="E570" s="21" t="str">
        <f>IF(C570="","",C570*CONFIG!B5)</f>
        <v/>
      </c>
    </row>
    <row r="571" ht="15.75" customHeight="1">
      <c r="A571" s="22" t="str">
        <f>IF(MOV_CC_INTL!A571="","",MOV_CC_INTL!A571)</f>
        <v/>
      </c>
      <c r="B571" s="22" t="str">
        <f>IF(MOV_CC_INTL!B571="","",MOV_CC_INTL!B571)</f>
        <v/>
      </c>
      <c r="C571" s="22" t="str">
        <f>IF(MOV_CC_INTL!C571="","",MOV_CC_INTL!C571)</f>
        <v/>
      </c>
      <c r="D571" s="22" t="str">
        <f t="shared" si="1"/>
        <v>Other</v>
      </c>
      <c r="E571" s="21" t="str">
        <f>IF(C571="","",C571*CONFIG!B5)</f>
        <v/>
      </c>
    </row>
    <row r="572" ht="15.75" customHeight="1">
      <c r="A572" s="22" t="str">
        <f>IF(MOV_CC_INTL!A572="","",MOV_CC_INTL!A572)</f>
        <v/>
      </c>
      <c r="B572" s="22" t="str">
        <f>IF(MOV_CC_INTL!B572="","",MOV_CC_INTL!B572)</f>
        <v/>
      </c>
      <c r="C572" s="22" t="str">
        <f>IF(MOV_CC_INTL!C572="","",MOV_CC_INTL!C572)</f>
        <v/>
      </c>
      <c r="D572" s="22" t="str">
        <f t="shared" si="1"/>
        <v>Other</v>
      </c>
      <c r="E572" s="21" t="str">
        <f>IF(C572="","",C572*CONFIG!B5)</f>
        <v/>
      </c>
    </row>
    <row r="573" ht="15.75" customHeight="1">
      <c r="A573" s="22" t="str">
        <f>IF(MOV_CC_INTL!A573="","",MOV_CC_INTL!A573)</f>
        <v/>
      </c>
      <c r="B573" s="22" t="str">
        <f>IF(MOV_CC_INTL!B573="","",MOV_CC_INTL!B573)</f>
        <v/>
      </c>
      <c r="C573" s="22" t="str">
        <f>IF(MOV_CC_INTL!C573="","",MOV_CC_INTL!C573)</f>
        <v/>
      </c>
      <c r="D573" s="22" t="str">
        <f t="shared" si="1"/>
        <v>Other</v>
      </c>
      <c r="E573" s="21" t="str">
        <f>IF(C573="","",C573*CONFIG!B5)</f>
        <v/>
      </c>
    </row>
    <row r="574" ht="15.75" customHeight="1">
      <c r="A574" s="22" t="str">
        <f>IF(MOV_CC_INTL!A574="","",MOV_CC_INTL!A574)</f>
        <v/>
      </c>
      <c r="B574" s="22" t="str">
        <f>IF(MOV_CC_INTL!B574="","",MOV_CC_INTL!B574)</f>
        <v/>
      </c>
      <c r="C574" s="22" t="str">
        <f>IF(MOV_CC_INTL!C574="","",MOV_CC_INTL!C574)</f>
        <v/>
      </c>
      <c r="D574" s="22" t="str">
        <f t="shared" si="1"/>
        <v>Other</v>
      </c>
      <c r="E574" s="21" t="str">
        <f>IF(C574="","",C574*CONFIG!B5)</f>
        <v/>
      </c>
    </row>
    <row r="575" ht="15.75" customHeight="1">
      <c r="A575" s="22" t="str">
        <f>IF(MOV_CC_INTL!A575="","",MOV_CC_INTL!A575)</f>
        <v/>
      </c>
      <c r="B575" s="22" t="str">
        <f>IF(MOV_CC_INTL!B575="","",MOV_CC_INTL!B575)</f>
        <v/>
      </c>
      <c r="C575" s="22" t="str">
        <f>IF(MOV_CC_INTL!C575="","",MOV_CC_INTL!C575)</f>
        <v/>
      </c>
      <c r="D575" s="22" t="str">
        <f t="shared" si="1"/>
        <v>Other</v>
      </c>
      <c r="E575" s="21" t="str">
        <f>IF(C575="","",C575*CONFIG!B5)</f>
        <v/>
      </c>
    </row>
    <row r="576" ht="15.75" customHeight="1">
      <c r="A576" s="22" t="str">
        <f>IF(MOV_CC_INTL!A576="","",MOV_CC_INTL!A576)</f>
        <v/>
      </c>
      <c r="B576" s="22" t="str">
        <f>IF(MOV_CC_INTL!B576="","",MOV_CC_INTL!B576)</f>
        <v/>
      </c>
      <c r="C576" s="22" t="str">
        <f>IF(MOV_CC_INTL!C576="","",MOV_CC_INTL!C576)</f>
        <v/>
      </c>
      <c r="D576" s="22" t="str">
        <f t="shared" si="1"/>
        <v>Other</v>
      </c>
      <c r="E576" s="21" t="str">
        <f>IF(C576="","",C576*CONFIG!B5)</f>
        <v/>
      </c>
    </row>
    <row r="577" ht="15.75" customHeight="1">
      <c r="A577" s="22" t="str">
        <f>IF(MOV_CC_INTL!A577="","",MOV_CC_INTL!A577)</f>
        <v/>
      </c>
      <c r="B577" s="22" t="str">
        <f>IF(MOV_CC_INTL!B577="","",MOV_CC_INTL!B577)</f>
        <v/>
      </c>
      <c r="C577" s="22" t="str">
        <f>IF(MOV_CC_INTL!C577="","",MOV_CC_INTL!C577)</f>
        <v/>
      </c>
      <c r="D577" s="22" t="str">
        <f t="shared" si="1"/>
        <v>Other</v>
      </c>
      <c r="E577" s="21" t="str">
        <f>IF(C577="","",C577*CONFIG!B5)</f>
        <v/>
      </c>
    </row>
    <row r="578" ht="15.75" customHeight="1">
      <c r="A578" s="22" t="str">
        <f>IF(MOV_CC_INTL!A578="","",MOV_CC_INTL!A578)</f>
        <v/>
      </c>
      <c r="B578" s="22" t="str">
        <f>IF(MOV_CC_INTL!B578="","",MOV_CC_INTL!B578)</f>
        <v/>
      </c>
      <c r="C578" s="22" t="str">
        <f>IF(MOV_CC_INTL!C578="","",MOV_CC_INTL!C578)</f>
        <v/>
      </c>
      <c r="D578" s="22" t="str">
        <f t="shared" si="1"/>
        <v>Other</v>
      </c>
      <c r="E578" s="21" t="str">
        <f>IF(C578="","",C578*CONFIG!B5)</f>
        <v/>
      </c>
    </row>
    <row r="579" ht="15.75" customHeight="1">
      <c r="A579" s="22" t="str">
        <f>IF(MOV_CC_INTL!A579="","",MOV_CC_INTL!A579)</f>
        <v/>
      </c>
      <c r="B579" s="22" t="str">
        <f>IF(MOV_CC_INTL!B579="","",MOV_CC_INTL!B579)</f>
        <v/>
      </c>
      <c r="C579" s="22" t="str">
        <f>IF(MOV_CC_INTL!C579="","",MOV_CC_INTL!C579)</f>
        <v/>
      </c>
      <c r="D579" s="22" t="str">
        <f t="shared" si="1"/>
        <v>Other</v>
      </c>
      <c r="E579" s="21" t="str">
        <f>IF(C579="","",C579*CONFIG!B5)</f>
        <v/>
      </c>
    </row>
    <row r="580" ht="15.75" customHeight="1">
      <c r="A580" s="22" t="str">
        <f>IF(MOV_CC_INTL!A580="","",MOV_CC_INTL!A580)</f>
        <v/>
      </c>
      <c r="B580" s="22" t="str">
        <f>IF(MOV_CC_INTL!B580="","",MOV_CC_INTL!B580)</f>
        <v/>
      </c>
      <c r="C580" s="22" t="str">
        <f>IF(MOV_CC_INTL!C580="","",MOV_CC_INTL!C580)</f>
        <v/>
      </c>
      <c r="D580" s="22" t="str">
        <f t="shared" si="1"/>
        <v>Other</v>
      </c>
      <c r="E580" s="21" t="str">
        <f>IF(C580="","",C580*CONFIG!B5)</f>
        <v/>
      </c>
    </row>
    <row r="581" ht="15.75" customHeight="1">
      <c r="A581" s="22" t="str">
        <f>IF(MOV_CC_INTL!A581="","",MOV_CC_INTL!A581)</f>
        <v/>
      </c>
      <c r="B581" s="22" t="str">
        <f>IF(MOV_CC_INTL!B581="","",MOV_CC_INTL!B581)</f>
        <v/>
      </c>
      <c r="C581" s="22" t="str">
        <f>IF(MOV_CC_INTL!C581="","",MOV_CC_INTL!C581)</f>
        <v/>
      </c>
      <c r="D581" s="22" t="str">
        <f t="shared" si="1"/>
        <v>Other</v>
      </c>
      <c r="E581" s="21" t="str">
        <f>IF(C581="","",C581*CONFIG!B5)</f>
        <v/>
      </c>
    </row>
    <row r="582" ht="15.75" customHeight="1">
      <c r="A582" s="22" t="str">
        <f>IF(MOV_CC_INTL!A582="","",MOV_CC_INTL!A582)</f>
        <v/>
      </c>
      <c r="B582" s="22" t="str">
        <f>IF(MOV_CC_INTL!B582="","",MOV_CC_INTL!B582)</f>
        <v/>
      </c>
      <c r="C582" s="22" t="str">
        <f>IF(MOV_CC_INTL!C582="","",MOV_CC_INTL!C582)</f>
        <v/>
      </c>
      <c r="D582" s="22" t="str">
        <f t="shared" si="1"/>
        <v>Other</v>
      </c>
      <c r="E582" s="21" t="str">
        <f>IF(C582="","",C582*CONFIG!B5)</f>
        <v/>
      </c>
    </row>
    <row r="583" ht="15.75" customHeight="1">
      <c r="A583" s="22" t="str">
        <f>IF(MOV_CC_INTL!A583="","",MOV_CC_INTL!A583)</f>
        <v/>
      </c>
      <c r="B583" s="22" t="str">
        <f>IF(MOV_CC_INTL!B583="","",MOV_CC_INTL!B583)</f>
        <v/>
      </c>
      <c r="C583" s="22" t="str">
        <f>IF(MOV_CC_INTL!C583="","",MOV_CC_INTL!C583)</f>
        <v/>
      </c>
      <c r="D583" s="22" t="str">
        <f t="shared" si="1"/>
        <v>Other</v>
      </c>
      <c r="E583" s="21" t="str">
        <f>IF(C583="","",C583*CONFIG!B5)</f>
        <v/>
      </c>
    </row>
    <row r="584" ht="15.75" customHeight="1">
      <c r="A584" s="22" t="str">
        <f>IF(MOV_CC_INTL!A584="","",MOV_CC_INTL!A584)</f>
        <v/>
      </c>
      <c r="B584" s="22" t="str">
        <f>IF(MOV_CC_INTL!B584="","",MOV_CC_INTL!B584)</f>
        <v/>
      </c>
      <c r="C584" s="22" t="str">
        <f>IF(MOV_CC_INTL!C584="","",MOV_CC_INTL!C584)</f>
        <v/>
      </c>
      <c r="D584" s="22" t="str">
        <f t="shared" si="1"/>
        <v>Other</v>
      </c>
      <c r="E584" s="21" t="str">
        <f>IF(C584="","",C584*CONFIG!B5)</f>
        <v/>
      </c>
    </row>
    <row r="585" ht="15.75" customHeight="1">
      <c r="A585" s="22" t="str">
        <f>IF(MOV_CC_INTL!A585="","",MOV_CC_INTL!A585)</f>
        <v/>
      </c>
      <c r="B585" s="22" t="str">
        <f>IF(MOV_CC_INTL!B585="","",MOV_CC_INTL!B585)</f>
        <v/>
      </c>
      <c r="C585" s="22" t="str">
        <f>IF(MOV_CC_INTL!C585="","",MOV_CC_INTL!C585)</f>
        <v/>
      </c>
      <c r="D585" s="22" t="str">
        <f t="shared" si="1"/>
        <v>Other</v>
      </c>
      <c r="E585" s="21" t="str">
        <f>IF(C585="","",C585*CONFIG!B5)</f>
        <v/>
      </c>
    </row>
    <row r="586" ht="15.75" customHeight="1">
      <c r="A586" s="22" t="str">
        <f>IF(MOV_CC_INTL!A586="","",MOV_CC_INTL!A586)</f>
        <v/>
      </c>
      <c r="B586" s="22" t="str">
        <f>IF(MOV_CC_INTL!B586="","",MOV_CC_INTL!B586)</f>
        <v/>
      </c>
      <c r="C586" s="22" t="str">
        <f>IF(MOV_CC_INTL!C586="","",MOV_CC_INTL!C586)</f>
        <v/>
      </c>
      <c r="D586" s="22" t="str">
        <f t="shared" si="1"/>
        <v>Other</v>
      </c>
      <c r="E586" s="21" t="str">
        <f>IF(C586="","",C586*CONFIG!B5)</f>
        <v/>
      </c>
    </row>
    <row r="587" ht="15.75" customHeight="1">
      <c r="A587" s="22" t="str">
        <f>IF(MOV_CC_INTL!A587="","",MOV_CC_INTL!A587)</f>
        <v/>
      </c>
      <c r="B587" s="22" t="str">
        <f>IF(MOV_CC_INTL!B587="","",MOV_CC_INTL!B587)</f>
        <v/>
      </c>
      <c r="C587" s="22" t="str">
        <f>IF(MOV_CC_INTL!C587="","",MOV_CC_INTL!C587)</f>
        <v/>
      </c>
      <c r="D587" s="22" t="str">
        <f t="shared" si="1"/>
        <v>Other</v>
      </c>
      <c r="E587" s="21" t="str">
        <f>IF(C587="","",C587*CONFIG!B5)</f>
        <v/>
      </c>
    </row>
    <row r="588" ht="15.75" customHeight="1">
      <c r="A588" s="22" t="str">
        <f>IF(MOV_CC_INTL!A588="","",MOV_CC_INTL!A588)</f>
        <v/>
      </c>
      <c r="B588" s="22" t="str">
        <f>IF(MOV_CC_INTL!B588="","",MOV_CC_INTL!B588)</f>
        <v/>
      </c>
      <c r="C588" s="22" t="str">
        <f>IF(MOV_CC_INTL!C588="","",MOV_CC_INTL!C588)</f>
        <v/>
      </c>
      <c r="D588" s="22" t="str">
        <f t="shared" si="1"/>
        <v>Other</v>
      </c>
      <c r="E588" s="21" t="str">
        <f>IF(C588="","",C588*CONFIG!B5)</f>
        <v/>
      </c>
    </row>
    <row r="589" ht="15.75" customHeight="1">
      <c r="A589" s="22" t="str">
        <f>IF(MOV_CC_INTL!A589="","",MOV_CC_INTL!A589)</f>
        <v/>
      </c>
      <c r="B589" s="22" t="str">
        <f>IF(MOV_CC_INTL!B589="","",MOV_CC_INTL!B589)</f>
        <v/>
      </c>
      <c r="C589" s="22" t="str">
        <f>IF(MOV_CC_INTL!C589="","",MOV_CC_INTL!C589)</f>
        <v/>
      </c>
      <c r="D589" s="22" t="str">
        <f t="shared" si="1"/>
        <v>Other</v>
      </c>
      <c r="E589" s="21" t="str">
        <f>IF(C589="","",C589*CONFIG!B5)</f>
        <v/>
      </c>
    </row>
    <row r="590" ht="15.75" customHeight="1">
      <c r="A590" s="22" t="str">
        <f>IF(MOV_CC_INTL!A590="","",MOV_CC_INTL!A590)</f>
        <v/>
      </c>
      <c r="B590" s="22" t="str">
        <f>IF(MOV_CC_INTL!B590="","",MOV_CC_INTL!B590)</f>
        <v/>
      </c>
      <c r="C590" s="22" t="str">
        <f>IF(MOV_CC_INTL!C590="","",MOV_CC_INTL!C590)</f>
        <v/>
      </c>
      <c r="D590" s="22" t="str">
        <f t="shared" si="1"/>
        <v>Other</v>
      </c>
      <c r="E590" s="21" t="str">
        <f>IF(C590="","",C590*CONFIG!B5)</f>
        <v/>
      </c>
    </row>
    <row r="591" ht="15.75" customHeight="1">
      <c r="A591" s="22" t="str">
        <f>IF(MOV_CC_INTL!A591="","",MOV_CC_INTL!A591)</f>
        <v/>
      </c>
      <c r="B591" s="22" t="str">
        <f>IF(MOV_CC_INTL!B591="","",MOV_CC_INTL!B591)</f>
        <v/>
      </c>
      <c r="C591" s="22" t="str">
        <f>IF(MOV_CC_INTL!C591="","",MOV_CC_INTL!C591)</f>
        <v/>
      </c>
      <c r="D591" s="22" t="str">
        <f t="shared" si="1"/>
        <v>Other</v>
      </c>
      <c r="E591" s="21" t="str">
        <f>IF(C591="","",C591*CONFIG!B5)</f>
        <v/>
      </c>
    </row>
    <row r="592" ht="15.75" customHeight="1">
      <c r="A592" s="22" t="str">
        <f>IF(MOV_CC_INTL!A592="","",MOV_CC_INTL!A592)</f>
        <v/>
      </c>
      <c r="B592" s="22" t="str">
        <f>IF(MOV_CC_INTL!B592="","",MOV_CC_INTL!B592)</f>
        <v/>
      </c>
      <c r="C592" s="22" t="str">
        <f>IF(MOV_CC_INTL!C592="","",MOV_CC_INTL!C592)</f>
        <v/>
      </c>
      <c r="D592" s="22" t="str">
        <f t="shared" si="1"/>
        <v>Other</v>
      </c>
      <c r="E592" s="21" t="str">
        <f>IF(C592="","",C592*CONFIG!B5)</f>
        <v/>
      </c>
    </row>
    <row r="593" ht="15.75" customHeight="1">
      <c r="A593" s="22" t="str">
        <f>IF(MOV_CC_INTL!A593="","",MOV_CC_INTL!A593)</f>
        <v/>
      </c>
      <c r="B593" s="22" t="str">
        <f>IF(MOV_CC_INTL!B593="","",MOV_CC_INTL!B593)</f>
        <v/>
      </c>
      <c r="C593" s="22" t="str">
        <f>IF(MOV_CC_INTL!C593="","",MOV_CC_INTL!C593)</f>
        <v/>
      </c>
      <c r="D593" s="22" t="str">
        <f t="shared" si="1"/>
        <v>Other</v>
      </c>
      <c r="E593" s="21" t="str">
        <f>IF(C593="","",C593*CONFIG!B5)</f>
        <v/>
      </c>
    </row>
    <row r="594" ht="15.75" customHeight="1">
      <c r="A594" s="22" t="str">
        <f>IF(MOV_CC_INTL!A594="","",MOV_CC_INTL!A594)</f>
        <v/>
      </c>
      <c r="B594" s="22" t="str">
        <f>IF(MOV_CC_INTL!B594="","",MOV_CC_INTL!B594)</f>
        <v/>
      </c>
      <c r="C594" s="22" t="str">
        <f>IF(MOV_CC_INTL!C594="","",MOV_CC_INTL!C594)</f>
        <v/>
      </c>
      <c r="D594" s="22" t="str">
        <f t="shared" si="1"/>
        <v>Other</v>
      </c>
      <c r="E594" s="21" t="str">
        <f>IF(C594="","",C594*CONFIG!B5)</f>
        <v/>
      </c>
    </row>
    <row r="595" ht="15.75" customHeight="1">
      <c r="A595" s="22" t="str">
        <f>IF(MOV_CC_INTL!A595="","",MOV_CC_INTL!A595)</f>
        <v/>
      </c>
      <c r="B595" s="22" t="str">
        <f>IF(MOV_CC_INTL!B595="","",MOV_CC_INTL!B595)</f>
        <v/>
      </c>
      <c r="C595" s="22" t="str">
        <f>IF(MOV_CC_INTL!C595="","",MOV_CC_INTL!C595)</f>
        <v/>
      </c>
      <c r="D595" s="22" t="str">
        <f t="shared" si="1"/>
        <v>Other</v>
      </c>
      <c r="E595" s="21" t="str">
        <f>IF(C595="","",C595*CONFIG!B5)</f>
        <v/>
      </c>
    </row>
    <row r="596" ht="15.75" customHeight="1">
      <c r="A596" s="22" t="str">
        <f>IF(MOV_CC_INTL!A596="","",MOV_CC_INTL!A596)</f>
        <v/>
      </c>
      <c r="B596" s="22" t="str">
        <f>IF(MOV_CC_INTL!B596="","",MOV_CC_INTL!B596)</f>
        <v/>
      </c>
      <c r="C596" s="22" t="str">
        <f>IF(MOV_CC_INTL!C596="","",MOV_CC_INTL!C596)</f>
        <v/>
      </c>
      <c r="D596" s="22" t="str">
        <f t="shared" si="1"/>
        <v>Other</v>
      </c>
      <c r="E596" s="21" t="str">
        <f>IF(C596="","",C596*CONFIG!B5)</f>
        <v/>
      </c>
    </row>
    <row r="597" ht="15.75" customHeight="1">
      <c r="A597" s="22" t="str">
        <f>IF(MOV_CC_INTL!A597="","",MOV_CC_INTL!A597)</f>
        <v/>
      </c>
      <c r="B597" s="22" t="str">
        <f>IF(MOV_CC_INTL!B597="","",MOV_CC_INTL!B597)</f>
        <v/>
      </c>
      <c r="C597" s="22" t="str">
        <f>IF(MOV_CC_INTL!C597="","",MOV_CC_INTL!C597)</f>
        <v/>
      </c>
      <c r="D597" s="22" t="str">
        <f t="shared" si="1"/>
        <v>Other</v>
      </c>
      <c r="E597" s="21" t="str">
        <f>IF(C597="","",C597*CONFIG!B5)</f>
        <v/>
      </c>
    </row>
    <row r="598" ht="15.75" customHeight="1">
      <c r="A598" s="22" t="str">
        <f>IF(MOV_CC_INTL!A598="","",MOV_CC_INTL!A598)</f>
        <v/>
      </c>
      <c r="B598" s="22" t="str">
        <f>IF(MOV_CC_INTL!B598="","",MOV_CC_INTL!B598)</f>
        <v/>
      </c>
      <c r="C598" s="22" t="str">
        <f>IF(MOV_CC_INTL!C598="","",MOV_CC_INTL!C598)</f>
        <v/>
      </c>
      <c r="D598" s="22" t="str">
        <f t="shared" si="1"/>
        <v>Other</v>
      </c>
      <c r="E598" s="21" t="str">
        <f>IF(C598="","",C598*CONFIG!B5)</f>
        <v/>
      </c>
    </row>
    <row r="599" ht="15.75" customHeight="1">
      <c r="A599" s="22" t="str">
        <f>IF(MOV_CC_INTL!A599="","",MOV_CC_INTL!A599)</f>
        <v/>
      </c>
      <c r="B599" s="22" t="str">
        <f>IF(MOV_CC_INTL!B599="","",MOV_CC_INTL!B599)</f>
        <v/>
      </c>
      <c r="C599" s="22" t="str">
        <f>IF(MOV_CC_INTL!C599="","",MOV_CC_INTL!C599)</f>
        <v/>
      </c>
      <c r="D599" s="22" t="str">
        <f t="shared" si="1"/>
        <v>Other</v>
      </c>
      <c r="E599" s="21" t="str">
        <f>IF(C599="","",C599*CONFIG!B5)</f>
        <v/>
      </c>
    </row>
    <row r="600" ht="15.75" customHeight="1">
      <c r="A600" s="22" t="str">
        <f>IF(MOV_CC_INTL!A600="","",MOV_CC_INTL!A600)</f>
        <v/>
      </c>
      <c r="B600" s="22" t="str">
        <f>IF(MOV_CC_INTL!B600="","",MOV_CC_INTL!B600)</f>
        <v/>
      </c>
      <c r="C600" s="22" t="str">
        <f>IF(MOV_CC_INTL!C600="","",MOV_CC_INTL!C600)</f>
        <v/>
      </c>
      <c r="D600" s="22" t="str">
        <f t="shared" si="1"/>
        <v>Other</v>
      </c>
      <c r="E600" s="21" t="str">
        <f>IF(C600="","",C600*CONFIG!B5)</f>
        <v/>
      </c>
    </row>
    <row r="601" ht="15.75" customHeight="1">
      <c r="A601" s="22" t="str">
        <f>IF(MOV_CC_INTL!A601="","",MOV_CC_INTL!A601)</f>
        <v/>
      </c>
      <c r="B601" s="22" t="str">
        <f>IF(MOV_CC_INTL!B601="","",MOV_CC_INTL!B601)</f>
        <v/>
      </c>
      <c r="C601" s="22" t="str">
        <f>IF(MOV_CC_INTL!C601="","",MOV_CC_INTL!C601)</f>
        <v/>
      </c>
      <c r="D601" s="22" t="str">
        <f t="shared" si="1"/>
        <v>Other</v>
      </c>
      <c r="E601" s="21" t="str">
        <f>IF(C601="","",C601*CONFIG!B5)</f>
        <v/>
      </c>
    </row>
    <row r="602" ht="15.75" customHeight="1">
      <c r="A602" s="22" t="str">
        <f>IF(MOV_CC_INTL!A602="","",MOV_CC_INTL!A602)</f>
        <v/>
      </c>
      <c r="B602" s="22" t="str">
        <f>IF(MOV_CC_INTL!B602="","",MOV_CC_INTL!B602)</f>
        <v/>
      </c>
      <c r="C602" s="22" t="str">
        <f>IF(MOV_CC_INTL!C602="","",MOV_CC_INTL!C602)</f>
        <v/>
      </c>
      <c r="D602" s="22" t="str">
        <f t="shared" si="1"/>
        <v>Other</v>
      </c>
      <c r="E602" s="21" t="str">
        <f>IF(C602="","",C602*CONFIG!B5)</f>
        <v/>
      </c>
    </row>
    <row r="603" ht="15.75" customHeight="1">
      <c r="A603" s="22" t="str">
        <f>IF(MOV_CC_INTL!A603="","",MOV_CC_INTL!A603)</f>
        <v/>
      </c>
      <c r="B603" s="22" t="str">
        <f>IF(MOV_CC_INTL!B603="","",MOV_CC_INTL!B603)</f>
        <v/>
      </c>
      <c r="C603" s="22" t="str">
        <f>IF(MOV_CC_INTL!C603="","",MOV_CC_INTL!C603)</f>
        <v/>
      </c>
      <c r="D603" s="22" t="str">
        <f t="shared" si="1"/>
        <v>Other</v>
      </c>
      <c r="E603" s="21" t="str">
        <f>IF(C603="","",C603*CONFIG!B5)</f>
        <v/>
      </c>
    </row>
    <row r="604" ht="15.75" customHeight="1">
      <c r="A604" s="22" t="str">
        <f>IF(MOV_CC_INTL!A604="","",MOV_CC_INTL!A604)</f>
        <v/>
      </c>
      <c r="B604" s="22" t="str">
        <f>IF(MOV_CC_INTL!B604="","",MOV_CC_INTL!B604)</f>
        <v/>
      </c>
      <c r="C604" s="22" t="str">
        <f>IF(MOV_CC_INTL!C604="","",MOV_CC_INTL!C604)</f>
        <v/>
      </c>
      <c r="D604" s="22" t="str">
        <f t="shared" si="1"/>
        <v>Other</v>
      </c>
      <c r="E604" s="21" t="str">
        <f>IF(C604="","",C604*CONFIG!B5)</f>
        <v/>
      </c>
    </row>
    <row r="605" ht="15.75" customHeight="1">
      <c r="A605" s="22" t="str">
        <f>IF(MOV_CC_INTL!A605="","",MOV_CC_INTL!A605)</f>
        <v/>
      </c>
      <c r="B605" s="22" t="str">
        <f>IF(MOV_CC_INTL!B605="","",MOV_CC_INTL!B605)</f>
        <v/>
      </c>
      <c r="C605" s="22" t="str">
        <f>IF(MOV_CC_INTL!C605="","",MOV_CC_INTL!C605)</f>
        <v/>
      </c>
      <c r="D605" s="22" t="str">
        <f t="shared" si="1"/>
        <v>Other</v>
      </c>
      <c r="E605" s="21" t="str">
        <f>IF(C605="","",C605*CONFIG!B5)</f>
        <v/>
      </c>
    </row>
    <row r="606" ht="15.75" customHeight="1">
      <c r="A606" s="22" t="str">
        <f>IF(MOV_CC_INTL!A606="","",MOV_CC_INTL!A606)</f>
        <v/>
      </c>
      <c r="B606" s="22" t="str">
        <f>IF(MOV_CC_INTL!B606="","",MOV_CC_INTL!B606)</f>
        <v/>
      </c>
      <c r="C606" s="22" t="str">
        <f>IF(MOV_CC_INTL!C606="","",MOV_CC_INTL!C606)</f>
        <v/>
      </c>
      <c r="D606" s="22" t="str">
        <f t="shared" si="1"/>
        <v>Other</v>
      </c>
      <c r="E606" s="21" t="str">
        <f>IF(C606="","",C606*CONFIG!B5)</f>
        <v/>
      </c>
    </row>
    <row r="607" ht="15.75" customHeight="1">
      <c r="A607" s="22" t="str">
        <f>IF(MOV_CC_INTL!A607="","",MOV_CC_INTL!A607)</f>
        <v/>
      </c>
      <c r="B607" s="22" t="str">
        <f>IF(MOV_CC_INTL!B607="","",MOV_CC_INTL!B607)</f>
        <v/>
      </c>
      <c r="C607" s="22" t="str">
        <f>IF(MOV_CC_INTL!C607="","",MOV_CC_INTL!C607)</f>
        <v/>
      </c>
      <c r="D607" s="22" t="str">
        <f t="shared" si="1"/>
        <v>Other</v>
      </c>
      <c r="E607" s="21" t="str">
        <f>IF(C607="","",C607*CONFIG!B5)</f>
        <v/>
      </c>
    </row>
    <row r="608" ht="15.75" customHeight="1">
      <c r="A608" s="22" t="str">
        <f>IF(MOV_CC_INTL!A608="","",MOV_CC_INTL!A608)</f>
        <v/>
      </c>
      <c r="B608" s="22" t="str">
        <f>IF(MOV_CC_INTL!B608="","",MOV_CC_INTL!B608)</f>
        <v/>
      </c>
      <c r="C608" s="22" t="str">
        <f>IF(MOV_CC_INTL!C608="","",MOV_CC_INTL!C608)</f>
        <v/>
      </c>
      <c r="D608" s="22" t="str">
        <f t="shared" si="1"/>
        <v>Other</v>
      </c>
      <c r="E608" s="21" t="str">
        <f>IF(C608="","",C608*CONFIG!B5)</f>
        <v/>
      </c>
    </row>
    <row r="609" ht="15.75" customHeight="1">
      <c r="A609" s="22" t="str">
        <f>IF(MOV_CC_INTL!A609="","",MOV_CC_INTL!A609)</f>
        <v/>
      </c>
      <c r="B609" s="22" t="str">
        <f>IF(MOV_CC_INTL!B609="","",MOV_CC_INTL!B609)</f>
        <v/>
      </c>
      <c r="C609" s="22" t="str">
        <f>IF(MOV_CC_INTL!C609="","",MOV_CC_INTL!C609)</f>
        <v/>
      </c>
      <c r="D609" s="22" t="str">
        <f t="shared" si="1"/>
        <v>Other</v>
      </c>
      <c r="E609" s="21" t="str">
        <f>IF(C609="","",C609*CONFIG!B5)</f>
        <v/>
      </c>
    </row>
    <row r="610" ht="15.75" customHeight="1">
      <c r="A610" s="22" t="str">
        <f>IF(MOV_CC_INTL!A610="","",MOV_CC_INTL!A610)</f>
        <v/>
      </c>
      <c r="B610" s="22" t="str">
        <f>IF(MOV_CC_INTL!B610="","",MOV_CC_INTL!B610)</f>
        <v/>
      </c>
      <c r="C610" s="22" t="str">
        <f>IF(MOV_CC_INTL!C610="","",MOV_CC_INTL!C610)</f>
        <v/>
      </c>
      <c r="D610" s="22" t="str">
        <f t="shared" si="1"/>
        <v>Other</v>
      </c>
      <c r="E610" s="21" t="str">
        <f>IF(C610="","",C610*CONFIG!B5)</f>
        <v/>
      </c>
    </row>
    <row r="611" ht="15.75" customHeight="1">
      <c r="A611" s="22" t="str">
        <f>IF(MOV_CC_INTL!A611="","",MOV_CC_INTL!A611)</f>
        <v/>
      </c>
      <c r="B611" s="22" t="str">
        <f>IF(MOV_CC_INTL!B611="","",MOV_CC_INTL!B611)</f>
        <v/>
      </c>
      <c r="C611" s="22" t="str">
        <f>IF(MOV_CC_INTL!C611="","",MOV_CC_INTL!C611)</f>
        <v/>
      </c>
      <c r="D611" s="22" t="str">
        <f t="shared" si="1"/>
        <v>Other</v>
      </c>
      <c r="E611" s="21" t="str">
        <f>IF(C611="","",C611*CONFIG!B5)</f>
        <v/>
      </c>
    </row>
    <row r="612" ht="15.75" customHeight="1">
      <c r="A612" s="22" t="str">
        <f>IF(MOV_CC_INTL!A612="","",MOV_CC_INTL!A612)</f>
        <v/>
      </c>
      <c r="B612" s="22" t="str">
        <f>IF(MOV_CC_INTL!B612="","",MOV_CC_INTL!B612)</f>
        <v/>
      </c>
      <c r="C612" s="22" t="str">
        <f>IF(MOV_CC_INTL!C612="","",MOV_CC_INTL!C612)</f>
        <v/>
      </c>
      <c r="D612" s="22" t="str">
        <f t="shared" si="1"/>
        <v>Other</v>
      </c>
      <c r="E612" s="21" t="str">
        <f>IF(C612="","",C612*CONFIG!B5)</f>
        <v/>
      </c>
    </row>
    <row r="613" ht="15.75" customHeight="1">
      <c r="A613" s="22" t="str">
        <f>IF(MOV_CC_INTL!A613="","",MOV_CC_INTL!A613)</f>
        <v/>
      </c>
      <c r="B613" s="22" t="str">
        <f>IF(MOV_CC_INTL!B613="","",MOV_CC_INTL!B613)</f>
        <v/>
      </c>
      <c r="C613" s="22" t="str">
        <f>IF(MOV_CC_INTL!C613="","",MOV_CC_INTL!C613)</f>
        <v/>
      </c>
      <c r="D613" s="22" t="str">
        <f t="shared" si="1"/>
        <v>Other</v>
      </c>
      <c r="E613" s="21" t="str">
        <f>IF(C613="","",C613*CONFIG!B5)</f>
        <v/>
      </c>
    </row>
    <row r="614" ht="15.75" customHeight="1">
      <c r="A614" s="22" t="str">
        <f>IF(MOV_CC_INTL!A614="","",MOV_CC_INTL!A614)</f>
        <v/>
      </c>
      <c r="B614" s="22" t="str">
        <f>IF(MOV_CC_INTL!B614="","",MOV_CC_INTL!B614)</f>
        <v/>
      </c>
      <c r="C614" s="22" t="str">
        <f>IF(MOV_CC_INTL!C614="","",MOV_CC_INTL!C614)</f>
        <v/>
      </c>
      <c r="D614" s="22" t="str">
        <f t="shared" si="1"/>
        <v>Other</v>
      </c>
      <c r="E614" s="21" t="str">
        <f>IF(C614="","",C614*CONFIG!B5)</f>
        <v/>
      </c>
    </row>
    <row r="615" ht="15.75" customHeight="1">
      <c r="A615" s="22" t="str">
        <f>IF(MOV_CC_INTL!A615="","",MOV_CC_INTL!A615)</f>
        <v/>
      </c>
      <c r="B615" s="22" t="str">
        <f>IF(MOV_CC_INTL!B615="","",MOV_CC_INTL!B615)</f>
        <v/>
      </c>
      <c r="C615" s="22" t="str">
        <f>IF(MOV_CC_INTL!C615="","",MOV_CC_INTL!C615)</f>
        <v/>
      </c>
      <c r="D615" s="22" t="str">
        <f t="shared" si="1"/>
        <v>Other</v>
      </c>
      <c r="E615" s="21" t="str">
        <f>IF(C615="","",C615*CONFIG!B5)</f>
        <v/>
      </c>
    </row>
    <row r="616" ht="15.75" customHeight="1">
      <c r="A616" s="22" t="str">
        <f>IF(MOV_CC_INTL!A616="","",MOV_CC_INTL!A616)</f>
        <v/>
      </c>
      <c r="B616" s="22" t="str">
        <f>IF(MOV_CC_INTL!B616="","",MOV_CC_INTL!B616)</f>
        <v/>
      </c>
      <c r="C616" s="22" t="str">
        <f>IF(MOV_CC_INTL!C616="","",MOV_CC_INTL!C616)</f>
        <v/>
      </c>
      <c r="D616" s="22" t="str">
        <f t="shared" si="1"/>
        <v>Other</v>
      </c>
      <c r="E616" s="21" t="str">
        <f>IF(C616="","",C616*CONFIG!B5)</f>
        <v/>
      </c>
    </row>
    <row r="617" ht="15.75" customHeight="1">
      <c r="A617" s="22" t="str">
        <f>IF(MOV_CC_INTL!A617="","",MOV_CC_INTL!A617)</f>
        <v/>
      </c>
      <c r="B617" s="22" t="str">
        <f>IF(MOV_CC_INTL!B617="","",MOV_CC_INTL!B617)</f>
        <v/>
      </c>
      <c r="C617" s="22" t="str">
        <f>IF(MOV_CC_INTL!C617="","",MOV_CC_INTL!C617)</f>
        <v/>
      </c>
      <c r="D617" s="22" t="str">
        <f t="shared" si="1"/>
        <v>Other</v>
      </c>
      <c r="E617" s="21" t="str">
        <f>IF(C617="","",C617*CONFIG!B5)</f>
        <v/>
      </c>
    </row>
    <row r="618" ht="15.75" customHeight="1">
      <c r="A618" s="22" t="str">
        <f>IF(MOV_CC_INTL!A618="","",MOV_CC_INTL!A618)</f>
        <v/>
      </c>
      <c r="B618" s="22" t="str">
        <f>IF(MOV_CC_INTL!B618="","",MOV_CC_INTL!B618)</f>
        <v/>
      </c>
      <c r="C618" s="22" t="str">
        <f>IF(MOV_CC_INTL!C618="","",MOV_CC_INTL!C618)</f>
        <v/>
      </c>
      <c r="D618" s="22" t="str">
        <f t="shared" si="1"/>
        <v>Other</v>
      </c>
      <c r="E618" s="21" t="str">
        <f>IF(C618="","",C618*CONFIG!B5)</f>
        <v/>
      </c>
    </row>
    <row r="619" ht="15.75" customHeight="1">
      <c r="A619" s="22" t="str">
        <f>IF(MOV_CC_INTL!A619="","",MOV_CC_INTL!A619)</f>
        <v/>
      </c>
      <c r="B619" s="22" t="str">
        <f>IF(MOV_CC_INTL!B619="","",MOV_CC_INTL!B619)</f>
        <v/>
      </c>
      <c r="C619" s="22" t="str">
        <f>IF(MOV_CC_INTL!C619="","",MOV_CC_INTL!C619)</f>
        <v/>
      </c>
      <c r="D619" s="22" t="str">
        <f t="shared" si="1"/>
        <v>Other</v>
      </c>
      <c r="E619" s="21" t="str">
        <f>IF(C619="","",C619*CONFIG!B5)</f>
        <v/>
      </c>
    </row>
    <row r="620" ht="15.75" customHeight="1">
      <c r="A620" s="22" t="str">
        <f>IF(MOV_CC_INTL!A620="","",MOV_CC_INTL!A620)</f>
        <v/>
      </c>
      <c r="B620" s="22" t="str">
        <f>IF(MOV_CC_INTL!B620="","",MOV_CC_INTL!B620)</f>
        <v/>
      </c>
      <c r="C620" s="22" t="str">
        <f>IF(MOV_CC_INTL!C620="","",MOV_CC_INTL!C620)</f>
        <v/>
      </c>
      <c r="D620" s="22" t="str">
        <f t="shared" si="1"/>
        <v>Other</v>
      </c>
      <c r="E620" s="21" t="str">
        <f>IF(C620="","",C620*CONFIG!B5)</f>
        <v/>
      </c>
    </row>
    <row r="621" ht="15.75" customHeight="1">
      <c r="A621" s="22" t="str">
        <f>IF(MOV_CC_INTL!A621="","",MOV_CC_INTL!A621)</f>
        <v/>
      </c>
      <c r="B621" s="22" t="str">
        <f>IF(MOV_CC_INTL!B621="","",MOV_CC_INTL!B621)</f>
        <v/>
      </c>
      <c r="C621" s="22" t="str">
        <f>IF(MOV_CC_INTL!C621="","",MOV_CC_INTL!C621)</f>
        <v/>
      </c>
      <c r="D621" s="22" t="str">
        <f t="shared" si="1"/>
        <v>Other</v>
      </c>
      <c r="E621" s="21" t="str">
        <f>IF(C621="","",C621*CONFIG!B5)</f>
        <v/>
      </c>
    </row>
    <row r="622" ht="15.75" customHeight="1">
      <c r="A622" s="22" t="str">
        <f>IF(MOV_CC_INTL!A622="","",MOV_CC_INTL!A622)</f>
        <v/>
      </c>
      <c r="B622" s="22" t="str">
        <f>IF(MOV_CC_INTL!B622="","",MOV_CC_INTL!B622)</f>
        <v/>
      </c>
      <c r="C622" s="22" t="str">
        <f>IF(MOV_CC_INTL!C622="","",MOV_CC_INTL!C622)</f>
        <v/>
      </c>
      <c r="D622" s="22" t="str">
        <f t="shared" si="1"/>
        <v>Other</v>
      </c>
      <c r="E622" s="21" t="str">
        <f>IF(C622="","",C622*CONFIG!B5)</f>
        <v/>
      </c>
    </row>
    <row r="623" ht="15.75" customHeight="1">
      <c r="A623" s="22" t="str">
        <f>IF(MOV_CC_INTL!A623="","",MOV_CC_INTL!A623)</f>
        <v/>
      </c>
      <c r="B623" s="22" t="str">
        <f>IF(MOV_CC_INTL!B623="","",MOV_CC_INTL!B623)</f>
        <v/>
      </c>
      <c r="C623" s="22" t="str">
        <f>IF(MOV_CC_INTL!C623="","",MOV_CC_INTL!C623)</f>
        <v/>
      </c>
      <c r="D623" s="22" t="str">
        <f t="shared" si="1"/>
        <v>Other</v>
      </c>
      <c r="E623" s="21" t="str">
        <f>IF(C623="","",C623*CONFIG!B5)</f>
        <v/>
      </c>
    </row>
    <row r="624" ht="15.75" customHeight="1">
      <c r="A624" s="22" t="str">
        <f>IF(MOV_CC_INTL!A624="","",MOV_CC_INTL!A624)</f>
        <v/>
      </c>
      <c r="B624" s="22" t="str">
        <f>IF(MOV_CC_INTL!B624="","",MOV_CC_INTL!B624)</f>
        <v/>
      </c>
      <c r="C624" s="22" t="str">
        <f>IF(MOV_CC_INTL!C624="","",MOV_CC_INTL!C624)</f>
        <v/>
      </c>
      <c r="D624" s="22" t="str">
        <f t="shared" si="1"/>
        <v>Other</v>
      </c>
      <c r="E624" s="21" t="str">
        <f>IF(C624="","",C624*CONFIG!B5)</f>
        <v/>
      </c>
    </row>
    <row r="625" ht="15.75" customHeight="1">
      <c r="A625" s="22" t="str">
        <f>IF(MOV_CC_INTL!A625="","",MOV_CC_INTL!A625)</f>
        <v/>
      </c>
      <c r="B625" s="22" t="str">
        <f>IF(MOV_CC_INTL!B625="","",MOV_CC_INTL!B625)</f>
        <v/>
      </c>
      <c r="C625" s="22" t="str">
        <f>IF(MOV_CC_INTL!C625="","",MOV_CC_INTL!C625)</f>
        <v/>
      </c>
      <c r="D625" s="22" t="str">
        <f t="shared" si="1"/>
        <v>Other</v>
      </c>
      <c r="E625" s="21" t="str">
        <f>IF(C625="","",C625*CONFIG!B5)</f>
        <v/>
      </c>
    </row>
    <row r="626" ht="15.75" customHeight="1">
      <c r="A626" s="22" t="str">
        <f>IF(MOV_CC_INTL!A626="","",MOV_CC_INTL!A626)</f>
        <v/>
      </c>
      <c r="B626" s="22" t="str">
        <f>IF(MOV_CC_INTL!B626="","",MOV_CC_INTL!B626)</f>
        <v/>
      </c>
      <c r="C626" s="22" t="str">
        <f>IF(MOV_CC_INTL!C626="","",MOV_CC_INTL!C626)</f>
        <v/>
      </c>
      <c r="D626" s="22" t="str">
        <f t="shared" si="1"/>
        <v>Other</v>
      </c>
      <c r="E626" s="21" t="str">
        <f>IF(C626="","",C626*CONFIG!B5)</f>
        <v/>
      </c>
    </row>
    <row r="627" ht="15.75" customHeight="1">
      <c r="A627" s="22" t="str">
        <f>IF(MOV_CC_INTL!A627="","",MOV_CC_INTL!A627)</f>
        <v/>
      </c>
      <c r="B627" s="22" t="str">
        <f>IF(MOV_CC_INTL!B627="","",MOV_CC_INTL!B627)</f>
        <v/>
      </c>
      <c r="C627" s="22" t="str">
        <f>IF(MOV_CC_INTL!C627="","",MOV_CC_INTL!C627)</f>
        <v/>
      </c>
      <c r="D627" s="22" t="str">
        <f t="shared" si="1"/>
        <v>Other</v>
      </c>
      <c r="E627" s="21" t="str">
        <f>IF(C627="","",C627*CONFIG!B5)</f>
        <v/>
      </c>
    </row>
    <row r="628" ht="15.75" customHeight="1">
      <c r="A628" s="22" t="str">
        <f>IF(MOV_CC_INTL!A628="","",MOV_CC_INTL!A628)</f>
        <v/>
      </c>
      <c r="B628" s="22" t="str">
        <f>IF(MOV_CC_INTL!B628="","",MOV_CC_INTL!B628)</f>
        <v/>
      </c>
      <c r="C628" s="22" t="str">
        <f>IF(MOV_CC_INTL!C628="","",MOV_CC_INTL!C628)</f>
        <v/>
      </c>
      <c r="D628" s="22" t="str">
        <f t="shared" si="1"/>
        <v>Other</v>
      </c>
      <c r="E628" s="21" t="str">
        <f>IF(C628="","",C628*CONFIG!B5)</f>
        <v/>
      </c>
    </row>
    <row r="629" ht="15.75" customHeight="1">
      <c r="A629" s="22" t="str">
        <f>IF(MOV_CC_INTL!A629="","",MOV_CC_INTL!A629)</f>
        <v/>
      </c>
      <c r="B629" s="22" t="str">
        <f>IF(MOV_CC_INTL!B629="","",MOV_CC_INTL!B629)</f>
        <v/>
      </c>
      <c r="C629" s="22" t="str">
        <f>IF(MOV_CC_INTL!C629="","",MOV_CC_INTL!C629)</f>
        <v/>
      </c>
      <c r="D629" s="22" t="str">
        <f t="shared" si="1"/>
        <v>Other</v>
      </c>
      <c r="E629" s="21" t="str">
        <f>IF(C629="","",C629*CONFIG!B5)</f>
        <v/>
      </c>
    </row>
    <row r="630" ht="15.75" customHeight="1">
      <c r="A630" s="22" t="str">
        <f>IF(MOV_CC_INTL!A630="","",MOV_CC_INTL!A630)</f>
        <v/>
      </c>
      <c r="B630" s="22" t="str">
        <f>IF(MOV_CC_INTL!B630="","",MOV_CC_INTL!B630)</f>
        <v/>
      </c>
      <c r="C630" s="22" t="str">
        <f>IF(MOV_CC_INTL!C630="","",MOV_CC_INTL!C630)</f>
        <v/>
      </c>
      <c r="D630" s="22" t="str">
        <f t="shared" si="1"/>
        <v>Other</v>
      </c>
      <c r="E630" s="21" t="str">
        <f>IF(C630="","",C630*CONFIG!B5)</f>
        <v/>
      </c>
    </row>
    <row r="631" ht="15.75" customHeight="1">
      <c r="A631" s="22" t="str">
        <f>IF(MOV_CC_INTL!A631="","",MOV_CC_INTL!A631)</f>
        <v/>
      </c>
      <c r="B631" s="22" t="str">
        <f>IF(MOV_CC_INTL!B631="","",MOV_CC_INTL!B631)</f>
        <v/>
      </c>
      <c r="C631" s="22" t="str">
        <f>IF(MOV_CC_INTL!C631="","",MOV_CC_INTL!C631)</f>
        <v/>
      </c>
      <c r="D631" s="22" t="str">
        <f t="shared" si="1"/>
        <v>Other</v>
      </c>
      <c r="E631" s="21" t="str">
        <f>IF(C631="","",C631*CONFIG!B5)</f>
        <v/>
      </c>
    </row>
    <row r="632" ht="15.75" customHeight="1">
      <c r="A632" s="22" t="str">
        <f>IF(MOV_CC_INTL!A632="","",MOV_CC_INTL!A632)</f>
        <v/>
      </c>
      <c r="B632" s="22" t="str">
        <f>IF(MOV_CC_INTL!B632="","",MOV_CC_INTL!B632)</f>
        <v/>
      </c>
      <c r="C632" s="22" t="str">
        <f>IF(MOV_CC_INTL!C632="","",MOV_CC_INTL!C632)</f>
        <v/>
      </c>
      <c r="D632" s="22" t="str">
        <f t="shared" si="1"/>
        <v>Other</v>
      </c>
      <c r="E632" s="21" t="str">
        <f>IF(C632="","",C632*CONFIG!B5)</f>
        <v/>
      </c>
    </row>
    <row r="633" ht="15.75" customHeight="1">
      <c r="A633" s="22" t="str">
        <f>IF(MOV_CC_INTL!A633="","",MOV_CC_INTL!A633)</f>
        <v/>
      </c>
      <c r="B633" s="22" t="str">
        <f>IF(MOV_CC_INTL!B633="","",MOV_CC_INTL!B633)</f>
        <v/>
      </c>
      <c r="C633" s="22" t="str">
        <f>IF(MOV_CC_INTL!C633="","",MOV_CC_INTL!C633)</f>
        <v/>
      </c>
      <c r="D633" s="22" t="str">
        <f t="shared" si="1"/>
        <v>Other</v>
      </c>
      <c r="E633" s="21" t="str">
        <f>IF(C633="","",C633*CONFIG!B5)</f>
        <v/>
      </c>
    </row>
    <row r="634" ht="15.75" customHeight="1">
      <c r="A634" s="22" t="str">
        <f>IF(MOV_CC_INTL!A634="","",MOV_CC_INTL!A634)</f>
        <v/>
      </c>
      <c r="B634" s="22" t="str">
        <f>IF(MOV_CC_INTL!B634="","",MOV_CC_INTL!B634)</f>
        <v/>
      </c>
      <c r="C634" s="22" t="str">
        <f>IF(MOV_CC_INTL!C634="","",MOV_CC_INTL!C634)</f>
        <v/>
      </c>
      <c r="D634" s="22" t="str">
        <f t="shared" si="1"/>
        <v>Other</v>
      </c>
      <c r="E634" s="21" t="str">
        <f>IF(C634="","",C634*CONFIG!B5)</f>
        <v/>
      </c>
    </row>
    <row r="635" ht="15.75" customHeight="1">
      <c r="A635" s="22" t="str">
        <f>IF(MOV_CC_INTL!A635="","",MOV_CC_INTL!A635)</f>
        <v/>
      </c>
      <c r="B635" s="22" t="str">
        <f>IF(MOV_CC_INTL!B635="","",MOV_CC_INTL!B635)</f>
        <v/>
      </c>
      <c r="C635" s="22" t="str">
        <f>IF(MOV_CC_INTL!C635="","",MOV_CC_INTL!C635)</f>
        <v/>
      </c>
      <c r="D635" s="22" t="str">
        <f t="shared" si="1"/>
        <v>Other</v>
      </c>
      <c r="E635" s="21" t="str">
        <f>IF(C635="","",C635*CONFIG!B5)</f>
        <v/>
      </c>
    </row>
    <row r="636" ht="15.75" customHeight="1">
      <c r="A636" s="22" t="str">
        <f>IF(MOV_CC_INTL!A636="","",MOV_CC_INTL!A636)</f>
        <v/>
      </c>
      <c r="B636" s="22" t="str">
        <f>IF(MOV_CC_INTL!B636="","",MOV_CC_INTL!B636)</f>
        <v/>
      </c>
      <c r="C636" s="22" t="str">
        <f>IF(MOV_CC_INTL!C636="","",MOV_CC_INTL!C636)</f>
        <v/>
      </c>
      <c r="D636" s="22" t="str">
        <f t="shared" si="1"/>
        <v>Other</v>
      </c>
      <c r="E636" s="21" t="str">
        <f>IF(C636="","",C636*CONFIG!B5)</f>
        <v/>
      </c>
    </row>
    <row r="637" ht="15.75" customHeight="1">
      <c r="A637" s="22" t="str">
        <f>IF(MOV_CC_INTL!A637="","",MOV_CC_INTL!A637)</f>
        <v/>
      </c>
      <c r="B637" s="22" t="str">
        <f>IF(MOV_CC_INTL!B637="","",MOV_CC_INTL!B637)</f>
        <v/>
      </c>
      <c r="C637" s="22" t="str">
        <f>IF(MOV_CC_INTL!C637="","",MOV_CC_INTL!C637)</f>
        <v/>
      </c>
      <c r="D637" s="22" t="str">
        <f t="shared" si="1"/>
        <v>Other</v>
      </c>
      <c r="E637" s="21" t="str">
        <f>IF(C637="","",C637*CONFIG!B5)</f>
        <v/>
      </c>
    </row>
    <row r="638" ht="15.75" customHeight="1">
      <c r="A638" s="22" t="str">
        <f>IF(MOV_CC_INTL!A638="","",MOV_CC_INTL!A638)</f>
        <v/>
      </c>
      <c r="B638" s="22" t="str">
        <f>IF(MOV_CC_INTL!B638="","",MOV_CC_INTL!B638)</f>
        <v/>
      </c>
      <c r="C638" s="22" t="str">
        <f>IF(MOV_CC_INTL!C638="","",MOV_CC_INTL!C638)</f>
        <v/>
      </c>
      <c r="D638" s="22" t="str">
        <f t="shared" si="1"/>
        <v>Other</v>
      </c>
      <c r="E638" s="21" t="str">
        <f>IF(C638="","",C638*CONFIG!B5)</f>
        <v/>
      </c>
    </row>
    <row r="639" ht="15.75" customHeight="1">
      <c r="A639" s="22" t="str">
        <f>IF(MOV_CC_INTL!A639="","",MOV_CC_INTL!A639)</f>
        <v/>
      </c>
      <c r="B639" s="22" t="str">
        <f>IF(MOV_CC_INTL!B639="","",MOV_CC_INTL!B639)</f>
        <v/>
      </c>
      <c r="C639" s="22" t="str">
        <f>IF(MOV_CC_INTL!C639="","",MOV_CC_INTL!C639)</f>
        <v/>
      </c>
      <c r="D639" s="22" t="str">
        <f t="shared" si="1"/>
        <v>Other</v>
      </c>
      <c r="E639" s="21" t="str">
        <f>IF(C639="","",C639*CONFIG!B5)</f>
        <v/>
      </c>
    </row>
    <row r="640" ht="15.75" customHeight="1">
      <c r="A640" s="22" t="str">
        <f>IF(MOV_CC_INTL!A640="","",MOV_CC_INTL!A640)</f>
        <v/>
      </c>
      <c r="B640" s="22" t="str">
        <f>IF(MOV_CC_INTL!B640="","",MOV_CC_INTL!B640)</f>
        <v/>
      </c>
      <c r="C640" s="22" t="str">
        <f>IF(MOV_CC_INTL!C640="","",MOV_CC_INTL!C640)</f>
        <v/>
      </c>
      <c r="D640" s="22" t="str">
        <f t="shared" si="1"/>
        <v>Other</v>
      </c>
      <c r="E640" s="21" t="str">
        <f>IF(C640="","",C640*CONFIG!B5)</f>
        <v/>
      </c>
    </row>
    <row r="641" ht="15.75" customHeight="1">
      <c r="A641" s="22" t="str">
        <f>IF(MOV_CC_INTL!A641="","",MOV_CC_INTL!A641)</f>
        <v/>
      </c>
      <c r="B641" s="22" t="str">
        <f>IF(MOV_CC_INTL!B641="","",MOV_CC_INTL!B641)</f>
        <v/>
      </c>
      <c r="C641" s="22" t="str">
        <f>IF(MOV_CC_INTL!C641="","",MOV_CC_INTL!C641)</f>
        <v/>
      </c>
      <c r="D641" s="22" t="str">
        <f t="shared" si="1"/>
        <v>Other</v>
      </c>
      <c r="E641" s="21" t="str">
        <f>IF(C641="","",C641*CONFIG!B5)</f>
        <v/>
      </c>
    </row>
    <row r="642" ht="15.75" customHeight="1">
      <c r="A642" s="22" t="str">
        <f>IF(MOV_CC_INTL!A642="","",MOV_CC_INTL!A642)</f>
        <v/>
      </c>
      <c r="B642" s="22" t="str">
        <f>IF(MOV_CC_INTL!B642="","",MOV_CC_INTL!B642)</f>
        <v/>
      </c>
      <c r="C642" s="22" t="str">
        <f>IF(MOV_CC_INTL!C642="","",MOV_CC_INTL!C642)</f>
        <v/>
      </c>
      <c r="D642" s="22" t="str">
        <f t="shared" si="1"/>
        <v>Other</v>
      </c>
      <c r="E642" s="21" t="str">
        <f>IF(C642="","",C642*CONFIG!B5)</f>
        <v/>
      </c>
    </row>
    <row r="643" ht="15.75" customHeight="1">
      <c r="A643" s="22" t="str">
        <f>IF(MOV_CC_INTL!A643="","",MOV_CC_INTL!A643)</f>
        <v/>
      </c>
      <c r="B643" s="22" t="str">
        <f>IF(MOV_CC_INTL!B643="","",MOV_CC_INTL!B643)</f>
        <v/>
      </c>
      <c r="C643" s="22" t="str">
        <f>IF(MOV_CC_INTL!C643="","",MOV_CC_INTL!C643)</f>
        <v/>
      </c>
      <c r="D643" s="22" t="str">
        <f t="shared" si="1"/>
        <v>Other</v>
      </c>
      <c r="E643" s="21" t="str">
        <f>IF(C643="","",C643*CONFIG!B5)</f>
        <v/>
      </c>
    </row>
    <row r="644" ht="15.75" customHeight="1">
      <c r="A644" s="22" t="str">
        <f>IF(MOV_CC_INTL!A644="","",MOV_CC_INTL!A644)</f>
        <v/>
      </c>
      <c r="B644" s="22" t="str">
        <f>IF(MOV_CC_INTL!B644="","",MOV_CC_INTL!B644)</f>
        <v/>
      </c>
      <c r="C644" s="22" t="str">
        <f>IF(MOV_CC_INTL!C644="","",MOV_CC_INTL!C644)</f>
        <v/>
      </c>
      <c r="D644" s="22" t="str">
        <f t="shared" si="1"/>
        <v>Other</v>
      </c>
      <c r="E644" s="21" t="str">
        <f>IF(C644="","",C644*CONFIG!B5)</f>
        <v/>
      </c>
    </row>
    <row r="645" ht="15.75" customHeight="1">
      <c r="A645" s="22" t="str">
        <f>IF(MOV_CC_INTL!A645="","",MOV_CC_INTL!A645)</f>
        <v/>
      </c>
      <c r="B645" s="22" t="str">
        <f>IF(MOV_CC_INTL!B645="","",MOV_CC_INTL!B645)</f>
        <v/>
      </c>
      <c r="C645" s="22" t="str">
        <f>IF(MOV_CC_INTL!C645="","",MOV_CC_INTL!C645)</f>
        <v/>
      </c>
      <c r="D645" s="22" t="str">
        <f t="shared" si="1"/>
        <v>Other</v>
      </c>
      <c r="E645" s="21" t="str">
        <f>IF(C645="","",C645*CONFIG!B5)</f>
        <v/>
      </c>
    </row>
    <row r="646" ht="15.75" customHeight="1">
      <c r="A646" s="22" t="str">
        <f>IF(MOV_CC_INTL!A646="","",MOV_CC_INTL!A646)</f>
        <v/>
      </c>
      <c r="B646" s="22" t="str">
        <f>IF(MOV_CC_INTL!B646="","",MOV_CC_INTL!B646)</f>
        <v/>
      </c>
      <c r="C646" s="22" t="str">
        <f>IF(MOV_CC_INTL!C646="","",MOV_CC_INTL!C646)</f>
        <v/>
      </c>
      <c r="D646" s="22" t="str">
        <f t="shared" si="1"/>
        <v>Other</v>
      </c>
      <c r="E646" s="21" t="str">
        <f>IF(C646="","",C646*CONFIG!B5)</f>
        <v/>
      </c>
    </row>
    <row r="647" ht="15.75" customHeight="1">
      <c r="A647" s="22" t="str">
        <f>IF(MOV_CC_INTL!A647="","",MOV_CC_INTL!A647)</f>
        <v/>
      </c>
      <c r="B647" s="22" t="str">
        <f>IF(MOV_CC_INTL!B647="","",MOV_CC_INTL!B647)</f>
        <v/>
      </c>
      <c r="C647" s="22" t="str">
        <f>IF(MOV_CC_INTL!C647="","",MOV_CC_INTL!C647)</f>
        <v/>
      </c>
      <c r="D647" s="22" t="str">
        <f t="shared" si="1"/>
        <v>Other</v>
      </c>
      <c r="E647" s="21" t="str">
        <f>IF(C647="","",C647*CONFIG!B5)</f>
        <v/>
      </c>
    </row>
    <row r="648" ht="15.75" customHeight="1">
      <c r="A648" s="22" t="str">
        <f>IF(MOV_CC_INTL!A648="","",MOV_CC_INTL!A648)</f>
        <v/>
      </c>
      <c r="B648" s="22" t="str">
        <f>IF(MOV_CC_INTL!B648="","",MOV_CC_INTL!B648)</f>
        <v/>
      </c>
      <c r="C648" s="22" t="str">
        <f>IF(MOV_CC_INTL!C648="","",MOV_CC_INTL!C648)</f>
        <v/>
      </c>
      <c r="D648" s="22" t="str">
        <f t="shared" si="1"/>
        <v>Other</v>
      </c>
      <c r="E648" s="21" t="str">
        <f>IF(C648="","",C648*CONFIG!B5)</f>
        <v/>
      </c>
    </row>
    <row r="649" ht="15.75" customHeight="1">
      <c r="A649" s="22" t="str">
        <f>IF(MOV_CC_INTL!A649="","",MOV_CC_INTL!A649)</f>
        <v/>
      </c>
      <c r="B649" s="22" t="str">
        <f>IF(MOV_CC_INTL!B649="","",MOV_CC_INTL!B649)</f>
        <v/>
      </c>
      <c r="C649" s="22" t="str">
        <f>IF(MOV_CC_INTL!C649="","",MOV_CC_INTL!C649)</f>
        <v/>
      </c>
      <c r="D649" s="22" t="str">
        <f t="shared" si="1"/>
        <v>Other</v>
      </c>
      <c r="E649" s="21" t="str">
        <f>IF(C649="","",C649*CONFIG!B5)</f>
        <v/>
      </c>
    </row>
    <row r="650" ht="15.75" customHeight="1">
      <c r="A650" s="22" t="str">
        <f>IF(MOV_CC_INTL!A650="","",MOV_CC_INTL!A650)</f>
        <v/>
      </c>
      <c r="B650" s="22" t="str">
        <f>IF(MOV_CC_INTL!B650="","",MOV_CC_INTL!B650)</f>
        <v/>
      </c>
      <c r="C650" s="22" t="str">
        <f>IF(MOV_CC_INTL!C650="","",MOV_CC_INTL!C650)</f>
        <v/>
      </c>
      <c r="D650" s="22" t="str">
        <f t="shared" si="1"/>
        <v>Other</v>
      </c>
      <c r="E650" s="21" t="str">
        <f>IF(C650="","",C650*CONFIG!B5)</f>
        <v/>
      </c>
    </row>
    <row r="651" ht="15.75" customHeight="1">
      <c r="A651" s="22" t="str">
        <f>IF(MOV_CC_INTL!A651="","",MOV_CC_INTL!A651)</f>
        <v/>
      </c>
      <c r="B651" s="22" t="str">
        <f>IF(MOV_CC_INTL!B651="","",MOV_CC_INTL!B651)</f>
        <v/>
      </c>
      <c r="C651" s="22" t="str">
        <f>IF(MOV_CC_INTL!C651="","",MOV_CC_INTL!C651)</f>
        <v/>
      </c>
      <c r="D651" s="22" t="str">
        <f t="shared" si="1"/>
        <v>Other</v>
      </c>
      <c r="E651" s="21" t="str">
        <f>IF(C651="","",C651*CONFIG!B5)</f>
        <v/>
      </c>
    </row>
    <row r="652" ht="15.75" customHeight="1">
      <c r="A652" s="22" t="str">
        <f>IF(MOV_CC_INTL!A652="","",MOV_CC_INTL!A652)</f>
        <v/>
      </c>
      <c r="B652" s="22" t="str">
        <f>IF(MOV_CC_INTL!B652="","",MOV_CC_INTL!B652)</f>
        <v/>
      </c>
      <c r="C652" s="22" t="str">
        <f>IF(MOV_CC_INTL!C652="","",MOV_CC_INTL!C652)</f>
        <v/>
      </c>
      <c r="D652" s="22" t="str">
        <f t="shared" si="1"/>
        <v>Other</v>
      </c>
      <c r="E652" s="21" t="str">
        <f>IF(C652="","",C652*CONFIG!B5)</f>
        <v/>
      </c>
    </row>
    <row r="653" ht="15.75" customHeight="1">
      <c r="A653" s="22" t="str">
        <f>IF(MOV_CC_INTL!A653="","",MOV_CC_INTL!A653)</f>
        <v/>
      </c>
      <c r="B653" s="22" t="str">
        <f>IF(MOV_CC_INTL!B653="","",MOV_CC_INTL!B653)</f>
        <v/>
      </c>
      <c r="C653" s="22" t="str">
        <f>IF(MOV_CC_INTL!C653="","",MOV_CC_INTL!C653)</f>
        <v/>
      </c>
      <c r="D653" s="22" t="str">
        <f t="shared" si="1"/>
        <v>Other</v>
      </c>
      <c r="E653" s="21" t="str">
        <f>IF(C653="","",C653*CONFIG!B5)</f>
        <v/>
      </c>
    </row>
    <row r="654" ht="15.75" customHeight="1">
      <c r="A654" s="22" t="str">
        <f>IF(MOV_CC_INTL!A654="","",MOV_CC_INTL!A654)</f>
        <v/>
      </c>
      <c r="B654" s="22" t="str">
        <f>IF(MOV_CC_INTL!B654="","",MOV_CC_INTL!B654)</f>
        <v/>
      </c>
      <c r="C654" s="22" t="str">
        <f>IF(MOV_CC_INTL!C654="","",MOV_CC_INTL!C654)</f>
        <v/>
      </c>
      <c r="D654" s="22" t="str">
        <f t="shared" si="1"/>
        <v>Other</v>
      </c>
      <c r="E654" s="21" t="str">
        <f>IF(C654="","",C654*CONFIG!B5)</f>
        <v/>
      </c>
    </row>
    <row r="655" ht="15.75" customHeight="1">
      <c r="A655" s="22" t="str">
        <f>IF(MOV_CC_INTL!A655="","",MOV_CC_INTL!A655)</f>
        <v/>
      </c>
      <c r="B655" s="22" t="str">
        <f>IF(MOV_CC_INTL!B655="","",MOV_CC_INTL!B655)</f>
        <v/>
      </c>
      <c r="C655" s="22" t="str">
        <f>IF(MOV_CC_INTL!C655="","",MOV_CC_INTL!C655)</f>
        <v/>
      </c>
      <c r="D655" s="22" t="str">
        <f t="shared" si="1"/>
        <v>Other</v>
      </c>
      <c r="E655" s="21" t="str">
        <f>IF(C655="","",C655*CONFIG!B5)</f>
        <v/>
      </c>
    </row>
    <row r="656" ht="15.75" customHeight="1">
      <c r="A656" s="22" t="str">
        <f>IF(MOV_CC_INTL!A656="","",MOV_CC_INTL!A656)</f>
        <v/>
      </c>
      <c r="B656" s="22" t="str">
        <f>IF(MOV_CC_INTL!B656="","",MOV_CC_INTL!B656)</f>
        <v/>
      </c>
      <c r="C656" s="22" t="str">
        <f>IF(MOV_CC_INTL!C656="","",MOV_CC_INTL!C656)</f>
        <v/>
      </c>
      <c r="D656" s="22" t="str">
        <f t="shared" si="1"/>
        <v>Other</v>
      </c>
      <c r="E656" s="21" t="str">
        <f>IF(C656="","",C656*CONFIG!B5)</f>
        <v/>
      </c>
    </row>
    <row r="657" ht="15.75" customHeight="1">
      <c r="A657" s="22" t="str">
        <f>IF(MOV_CC_INTL!A657="","",MOV_CC_INTL!A657)</f>
        <v/>
      </c>
      <c r="B657" s="22" t="str">
        <f>IF(MOV_CC_INTL!B657="","",MOV_CC_INTL!B657)</f>
        <v/>
      </c>
      <c r="C657" s="22" t="str">
        <f>IF(MOV_CC_INTL!C657="","",MOV_CC_INTL!C657)</f>
        <v/>
      </c>
      <c r="D657" s="22" t="str">
        <f t="shared" si="1"/>
        <v>Other</v>
      </c>
      <c r="E657" s="21" t="str">
        <f>IF(C657="","",C657*CONFIG!B5)</f>
        <v/>
      </c>
    </row>
    <row r="658" ht="15.75" customHeight="1">
      <c r="A658" s="22" t="str">
        <f>IF(MOV_CC_INTL!A658="","",MOV_CC_INTL!A658)</f>
        <v/>
      </c>
      <c r="B658" s="22" t="str">
        <f>IF(MOV_CC_INTL!B658="","",MOV_CC_INTL!B658)</f>
        <v/>
      </c>
      <c r="C658" s="22" t="str">
        <f>IF(MOV_CC_INTL!C658="","",MOV_CC_INTL!C658)</f>
        <v/>
      </c>
      <c r="D658" s="22" t="str">
        <f t="shared" si="1"/>
        <v>Other</v>
      </c>
      <c r="E658" s="21" t="str">
        <f>IF(C658="","",C658*CONFIG!B5)</f>
        <v/>
      </c>
    </row>
    <row r="659" ht="15.75" customHeight="1">
      <c r="A659" s="22" t="str">
        <f>IF(MOV_CC_INTL!A659="","",MOV_CC_INTL!A659)</f>
        <v/>
      </c>
      <c r="B659" s="22" t="str">
        <f>IF(MOV_CC_INTL!B659="","",MOV_CC_INTL!B659)</f>
        <v/>
      </c>
      <c r="C659" s="22" t="str">
        <f>IF(MOV_CC_INTL!C659="","",MOV_CC_INTL!C659)</f>
        <v/>
      </c>
      <c r="D659" s="22" t="str">
        <f t="shared" si="1"/>
        <v>Other</v>
      </c>
      <c r="E659" s="21" t="str">
        <f>IF(C659="","",C659*CONFIG!B5)</f>
        <v/>
      </c>
    </row>
    <row r="660" ht="15.75" customHeight="1">
      <c r="A660" s="22" t="str">
        <f>IF(MOV_CC_INTL!A660="","",MOV_CC_INTL!A660)</f>
        <v/>
      </c>
      <c r="B660" s="22" t="str">
        <f>IF(MOV_CC_INTL!B660="","",MOV_CC_INTL!B660)</f>
        <v/>
      </c>
      <c r="C660" s="22" t="str">
        <f>IF(MOV_CC_INTL!C660="","",MOV_CC_INTL!C660)</f>
        <v/>
      </c>
      <c r="D660" s="22" t="str">
        <f t="shared" si="1"/>
        <v>Other</v>
      </c>
      <c r="E660" s="21" t="str">
        <f>IF(C660="","",C660*CONFIG!B5)</f>
        <v/>
      </c>
    </row>
    <row r="661" ht="15.75" customHeight="1">
      <c r="A661" s="22" t="str">
        <f>IF(MOV_CC_INTL!A661="","",MOV_CC_INTL!A661)</f>
        <v/>
      </c>
      <c r="B661" s="22" t="str">
        <f>IF(MOV_CC_INTL!B661="","",MOV_CC_INTL!B661)</f>
        <v/>
      </c>
      <c r="C661" s="22" t="str">
        <f>IF(MOV_CC_INTL!C661="","",MOV_CC_INTL!C661)</f>
        <v/>
      </c>
      <c r="D661" s="22" t="str">
        <f t="shared" si="1"/>
        <v>Other</v>
      </c>
      <c r="E661" s="21" t="str">
        <f>IF(C661="","",C661*CONFIG!B5)</f>
        <v/>
      </c>
    </row>
    <row r="662" ht="15.75" customHeight="1">
      <c r="A662" s="22" t="str">
        <f>IF(MOV_CC_INTL!A662="","",MOV_CC_INTL!A662)</f>
        <v/>
      </c>
      <c r="B662" s="22" t="str">
        <f>IF(MOV_CC_INTL!B662="","",MOV_CC_INTL!B662)</f>
        <v/>
      </c>
      <c r="C662" s="22" t="str">
        <f>IF(MOV_CC_INTL!C662="","",MOV_CC_INTL!C662)</f>
        <v/>
      </c>
      <c r="D662" s="22" t="str">
        <f t="shared" si="1"/>
        <v>Other</v>
      </c>
      <c r="E662" s="21" t="str">
        <f>IF(C662="","",C662*CONFIG!B5)</f>
        <v/>
      </c>
    </row>
    <row r="663" ht="15.75" customHeight="1">
      <c r="A663" s="22" t="str">
        <f>IF(MOV_CC_INTL!A663="","",MOV_CC_INTL!A663)</f>
        <v/>
      </c>
      <c r="B663" s="22" t="str">
        <f>IF(MOV_CC_INTL!B663="","",MOV_CC_INTL!B663)</f>
        <v/>
      </c>
      <c r="C663" s="22" t="str">
        <f>IF(MOV_CC_INTL!C663="","",MOV_CC_INTL!C663)</f>
        <v/>
      </c>
      <c r="D663" s="22" t="str">
        <f t="shared" si="1"/>
        <v>Other</v>
      </c>
      <c r="E663" s="21" t="str">
        <f>IF(C663="","",C663*CONFIG!B5)</f>
        <v/>
      </c>
    </row>
    <row r="664" ht="15.75" customHeight="1">
      <c r="A664" s="22" t="str">
        <f>IF(MOV_CC_INTL!A664="","",MOV_CC_INTL!A664)</f>
        <v/>
      </c>
      <c r="B664" s="22" t="str">
        <f>IF(MOV_CC_INTL!B664="","",MOV_CC_INTL!B664)</f>
        <v/>
      </c>
      <c r="C664" s="22" t="str">
        <f>IF(MOV_CC_INTL!C664="","",MOV_CC_INTL!C664)</f>
        <v/>
      </c>
      <c r="D664" s="22" t="str">
        <f t="shared" si="1"/>
        <v>Other</v>
      </c>
      <c r="E664" s="21" t="str">
        <f>IF(C664="","",C664*CONFIG!B5)</f>
        <v/>
      </c>
    </row>
    <row r="665" ht="15.75" customHeight="1">
      <c r="A665" s="22" t="str">
        <f>IF(MOV_CC_INTL!A665="","",MOV_CC_INTL!A665)</f>
        <v/>
      </c>
      <c r="B665" s="22" t="str">
        <f>IF(MOV_CC_INTL!B665="","",MOV_CC_INTL!B665)</f>
        <v/>
      </c>
      <c r="C665" s="22" t="str">
        <f>IF(MOV_CC_INTL!C665="","",MOV_CC_INTL!C665)</f>
        <v/>
      </c>
      <c r="D665" s="22" t="str">
        <f t="shared" si="1"/>
        <v>Other</v>
      </c>
      <c r="E665" s="21" t="str">
        <f>IF(C665="","",C665*CONFIG!B5)</f>
        <v/>
      </c>
    </row>
    <row r="666" ht="15.75" customHeight="1">
      <c r="A666" s="22" t="str">
        <f>IF(MOV_CC_INTL!A666="","",MOV_CC_INTL!A666)</f>
        <v/>
      </c>
      <c r="B666" s="22" t="str">
        <f>IF(MOV_CC_INTL!B666="","",MOV_CC_INTL!B666)</f>
        <v/>
      </c>
      <c r="C666" s="22" t="str">
        <f>IF(MOV_CC_INTL!C666="","",MOV_CC_INTL!C666)</f>
        <v/>
      </c>
      <c r="D666" s="22" t="str">
        <f t="shared" si="1"/>
        <v>Other</v>
      </c>
      <c r="E666" s="21" t="str">
        <f>IF(C666="","",C666*CONFIG!B5)</f>
        <v/>
      </c>
    </row>
    <row r="667" ht="15.75" customHeight="1">
      <c r="A667" s="22" t="str">
        <f>IF(MOV_CC_INTL!A667="","",MOV_CC_INTL!A667)</f>
        <v/>
      </c>
      <c r="B667" s="22" t="str">
        <f>IF(MOV_CC_INTL!B667="","",MOV_CC_INTL!B667)</f>
        <v/>
      </c>
      <c r="C667" s="22" t="str">
        <f>IF(MOV_CC_INTL!C667="","",MOV_CC_INTL!C667)</f>
        <v/>
      </c>
      <c r="D667" s="22" t="str">
        <f t="shared" si="1"/>
        <v>Other</v>
      </c>
      <c r="E667" s="21" t="str">
        <f>IF(C667="","",C667*CONFIG!B5)</f>
        <v/>
      </c>
    </row>
    <row r="668" ht="15.75" customHeight="1">
      <c r="A668" s="22" t="str">
        <f>IF(MOV_CC_INTL!A668="","",MOV_CC_INTL!A668)</f>
        <v/>
      </c>
      <c r="B668" s="22" t="str">
        <f>IF(MOV_CC_INTL!B668="","",MOV_CC_INTL!B668)</f>
        <v/>
      </c>
      <c r="C668" s="22" t="str">
        <f>IF(MOV_CC_INTL!C668="","",MOV_CC_INTL!C668)</f>
        <v/>
      </c>
      <c r="D668" s="22" t="str">
        <f t="shared" si="1"/>
        <v>Other</v>
      </c>
      <c r="E668" s="21" t="str">
        <f>IF(C668="","",C668*CONFIG!B5)</f>
        <v/>
      </c>
    </row>
    <row r="669" ht="15.75" customHeight="1">
      <c r="A669" s="22" t="str">
        <f>IF(MOV_CC_INTL!A669="","",MOV_CC_INTL!A669)</f>
        <v/>
      </c>
      <c r="B669" s="22" t="str">
        <f>IF(MOV_CC_INTL!B669="","",MOV_CC_INTL!B669)</f>
        <v/>
      </c>
      <c r="C669" s="22" t="str">
        <f>IF(MOV_CC_INTL!C669="","",MOV_CC_INTL!C669)</f>
        <v/>
      </c>
      <c r="D669" s="22" t="str">
        <f t="shared" si="1"/>
        <v>Other</v>
      </c>
      <c r="E669" s="21" t="str">
        <f>IF(C669="","",C669*CONFIG!B5)</f>
        <v/>
      </c>
    </row>
    <row r="670" ht="15.75" customHeight="1">
      <c r="A670" s="22" t="str">
        <f>IF(MOV_CC_INTL!A670="","",MOV_CC_INTL!A670)</f>
        <v/>
      </c>
      <c r="B670" s="22" t="str">
        <f>IF(MOV_CC_INTL!B670="","",MOV_CC_INTL!B670)</f>
        <v/>
      </c>
      <c r="C670" s="22" t="str">
        <f>IF(MOV_CC_INTL!C670="","",MOV_CC_INTL!C670)</f>
        <v/>
      </c>
      <c r="D670" s="22" t="str">
        <f t="shared" si="1"/>
        <v>Other</v>
      </c>
      <c r="E670" s="21" t="str">
        <f>IF(C670="","",C670*CONFIG!B5)</f>
        <v/>
      </c>
    </row>
    <row r="671" ht="15.75" customHeight="1">
      <c r="A671" s="22" t="str">
        <f>IF(MOV_CC_INTL!A671="","",MOV_CC_INTL!A671)</f>
        <v/>
      </c>
      <c r="B671" s="22" t="str">
        <f>IF(MOV_CC_INTL!B671="","",MOV_CC_INTL!B671)</f>
        <v/>
      </c>
      <c r="C671" s="22" t="str">
        <f>IF(MOV_CC_INTL!C671="","",MOV_CC_INTL!C671)</f>
        <v/>
      </c>
      <c r="D671" s="22" t="str">
        <f t="shared" si="1"/>
        <v>Other</v>
      </c>
      <c r="E671" s="21" t="str">
        <f>IF(C671="","",C671*CONFIG!B5)</f>
        <v/>
      </c>
    </row>
    <row r="672" ht="15.75" customHeight="1">
      <c r="A672" s="22" t="str">
        <f>IF(MOV_CC_INTL!A672="","",MOV_CC_INTL!A672)</f>
        <v/>
      </c>
      <c r="B672" s="22" t="str">
        <f>IF(MOV_CC_INTL!B672="","",MOV_CC_INTL!B672)</f>
        <v/>
      </c>
      <c r="C672" s="22" t="str">
        <f>IF(MOV_CC_INTL!C672="","",MOV_CC_INTL!C672)</f>
        <v/>
      </c>
      <c r="D672" s="22" t="str">
        <f t="shared" si="1"/>
        <v>Other</v>
      </c>
      <c r="E672" s="21" t="str">
        <f>IF(C672="","",C672*CONFIG!B5)</f>
        <v/>
      </c>
    </row>
    <row r="673" ht="15.75" customHeight="1">
      <c r="A673" s="22" t="str">
        <f>IF(MOV_CC_INTL!A673="","",MOV_CC_INTL!A673)</f>
        <v/>
      </c>
      <c r="B673" s="22" t="str">
        <f>IF(MOV_CC_INTL!B673="","",MOV_CC_INTL!B673)</f>
        <v/>
      </c>
      <c r="C673" s="22" t="str">
        <f>IF(MOV_CC_INTL!C673="","",MOV_CC_INTL!C673)</f>
        <v/>
      </c>
      <c r="D673" s="22" t="str">
        <f t="shared" si="1"/>
        <v>Other</v>
      </c>
      <c r="E673" s="21" t="str">
        <f>IF(C673="","",C673*CONFIG!B5)</f>
        <v/>
      </c>
    </row>
    <row r="674" ht="15.75" customHeight="1">
      <c r="A674" s="22" t="str">
        <f>IF(MOV_CC_INTL!A674="","",MOV_CC_INTL!A674)</f>
        <v/>
      </c>
      <c r="B674" s="22" t="str">
        <f>IF(MOV_CC_INTL!B674="","",MOV_CC_INTL!B674)</f>
        <v/>
      </c>
      <c r="C674" s="22" t="str">
        <f>IF(MOV_CC_INTL!C674="","",MOV_CC_INTL!C674)</f>
        <v/>
      </c>
      <c r="D674" s="22" t="str">
        <f t="shared" si="1"/>
        <v>Other</v>
      </c>
      <c r="E674" s="21" t="str">
        <f>IF(C674="","",C674*CONFIG!B5)</f>
        <v/>
      </c>
    </row>
    <row r="675" ht="15.75" customHeight="1">
      <c r="A675" s="22" t="str">
        <f>IF(MOV_CC_INTL!A675="","",MOV_CC_INTL!A675)</f>
        <v/>
      </c>
      <c r="B675" s="22" t="str">
        <f>IF(MOV_CC_INTL!B675="","",MOV_CC_INTL!B675)</f>
        <v/>
      </c>
      <c r="C675" s="22" t="str">
        <f>IF(MOV_CC_INTL!C675="","",MOV_CC_INTL!C675)</f>
        <v/>
      </c>
      <c r="D675" s="22" t="str">
        <f t="shared" si="1"/>
        <v>Other</v>
      </c>
      <c r="E675" s="21" t="str">
        <f>IF(C675="","",C675*CONFIG!B5)</f>
        <v/>
      </c>
    </row>
    <row r="676" ht="15.75" customHeight="1">
      <c r="A676" s="22" t="str">
        <f>IF(MOV_CC_INTL!A676="","",MOV_CC_INTL!A676)</f>
        <v/>
      </c>
      <c r="B676" s="22" t="str">
        <f>IF(MOV_CC_INTL!B676="","",MOV_CC_INTL!B676)</f>
        <v/>
      </c>
      <c r="C676" s="22" t="str">
        <f>IF(MOV_CC_INTL!C676="","",MOV_CC_INTL!C676)</f>
        <v/>
      </c>
      <c r="D676" s="22" t="str">
        <f t="shared" si="1"/>
        <v>Other</v>
      </c>
      <c r="E676" s="21" t="str">
        <f>IF(C676="","",C676*CONFIG!B5)</f>
        <v/>
      </c>
    </row>
    <row r="677" ht="15.75" customHeight="1">
      <c r="A677" s="22" t="str">
        <f>IF(MOV_CC_INTL!A677="","",MOV_CC_INTL!A677)</f>
        <v/>
      </c>
      <c r="B677" s="22" t="str">
        <f>IF(MOV_CC_INTL!B677="","",MOV_CC_INTL!B677)</f>
        <v/>
      </c>
      <c r="C677" s="22" t="str">
        <f>IF(MOV_CC_INTL!C677="","",MOV_CC_INTL!C677)</f>
        <v/>
      </c>
      <c r="D677" s="22" t="str">
        <f t="shared" si="1"/>
        <v>Other</v>
      </c>
      <c r="E677" s="21" t="str">
        <f>IF(C677="","",C677*CONFIG!B5)</f>
        <v/>
      </c>
    </row>
    <row r="678" ht="15.75" customHeight="1">
      <c r="A678" s="22" t="str">
        <f>IF(MOV_CC_INTL!A678="","",MOV_CC_INTL!A678)</f>
        <v/>
      </c>
      <c r="B678" s="22" t="str">
        <f>IF(MOV_CC_INTL!B678="","",MOV_CC_INTL!B678)</f>
        <v/>
      </c>
      <c r="C678" s="22" t="str">
        <f>IF(MOV_CC_INTL!C678="","",MOV_CC_INTL!C678)</f>
        <v/>
      </c>
      <c r="D678" s="22" t="str">
        <f t="shared" si="1"/>
        <v>Other</v>
      </c>
      <c r="E678" s="21" t="str">
        <f>IF(C678="","",C678*CONFIG!B5)</f>
        <v/>
      </c>
    </row>
    <row r="679" ht="15.75" customHeight="1">
      <c r="A679" s="22" t="str">
        <f>IF(MOV_CC_INTL!A679="","",MOV_CC_INTL!A679)</f>
        <v/>
      </c>
      <c r="B679" s="22" t="str">
        <f>IF(MOV_CC_INTL!B679="","",MOV_CC_INTL!B679)</f>
        <v/>
      </c>
      <c r="C679" s="22" t="str">
        <f>IF(MOV_CC_INTL!C679="","",MOV_CC_INTL!C679)</f>
        <v/>
      </c>
      <c r="D679" s="22" t="str">
        <f t="shared" si="1"/>
        <v>Other</v>
      </c>
      <c r="E679" s="21" t="str">
        <f>IF(C679="","",C679*CONFIG!B5)</f>
        <v/>
      </c>
    </row>
    <row r="680" ht="15.75" customHeight="1">
      <c r="A680" s="22" t="str">
        <f>IF(MOV_CC_INTL!A680="","",MOV_CC_INTL!A680)</f>
        <v/>
      </c>
      <c r="B680" s="22" t="str">
        <f>IF(MOV_CC_INTL!B680="","",MOV_CC_INTL!B680)</f>
        <v/>
      </c>
      <c r="C680" s="22" t="str">
        <f>IF(MOV_CC_INTL!C680="","",MOV_CC_INTL!C680)</f>
        <v/>
      </c>
      <c r="D680" s="22" t="str">
        <f t="shared" si="1"/>
        <v>Other</v>
      </c>
      <c r="E680" s="21" t="str">
        <f>IF(C680="","",C680*CONFIG!B5)</f>
        <v/>
      </c>
    </row>
    <row r="681" ht="15.75" customHeight="1">
      <c r="A681" s="22" t="str">
        <f>IF(MOV_CC_INTL!A681="","",MOV_CC_INTL!A681)</f>
        <v/>
      </c>
      <c r="B681" s="22" t="str">
        <f>IF(MOV_CC_INTL!B681="","",MOV_CC_INTL!B681)</f>
        <v/>
      </c>
      <c r="C681" s="22" t="str">
        <f>IF(MOV_CC_INTL!C681="","",MOV_CC_INTL!C681)</f>
        <v/>
      </c>
      <c r="D681" s="22" t="str">
        <f t="shared" si="1"/>
        <v>Other</v>
      </c>
      <c r="E681" s="21" t="str">
        <f>IF(C681="","",C681*CONFIG!B5)</f>
        <v/>
      </c>
    </row>
    <row r="682" ht="15.75" customHeight="1">
      <c r="A682" s="22" t="str">
        <f>IF(MOV_CC_INTL!A682="","",MOV_CC_INTL!A682)</f>
        <v/>
      </c>
      <c r="B682" s="22" t="str">
        <f>IF(MOV_CC_INTL!B682="","",MOV_CC_INTL!B682)</f>
        <v/>
      </c>
      <c r="C682" s="22" t="str">
        <f>IF(MOV_CC_INTL!C682="","",MOV_CC_INTL!C682)</f>
        <v/>
      </c>
      <c r="D682" s="22" t="str">
        <f t="shared" si="1"/>
        <v>Other</v>
      </c>
      <c r="E682" s="21" t="str">
        <f>IF(C682="","",C682*CONFIG!B5)</f>
        <v/>
      </c>
    </row>
    <row r="683" ht="15.75" customHeight="1">
      <c r="A683" s="22" t="str">
        <f>IF(MOV_CC_INTL!A683="","",MOV_CC_INTL!A683)</f>
        <v/>
      </c>
      <c r="B683" s="22" t="str">
        <f>IF(MOV_CC_INTL!B683="","",MOV_CC_INTL!B683)</f>
        <v/>
      </c>
      <c r="C683" s="22" t="str">
        <f>IF(MOV_CC_INTL!C683="","",MOV_CC_INTL!C683)</f>
        <v/>
      </c>
      <c r="D683" s="22" t="str">
        <f t="shared" si="1"/>
        <v>Other</v>
      </c>
      <c r="E683" s="21" t="str">
        <f>IF(C683="","",C683*CONFIG!B5)</f>
        <v/>
      </c>
    </row>
    <row r="684" ht="15.75" customHeight="1">
      <c r="A684" s="22" t="str">
        <f>IF(MOV_CC_INTL!A684="","",MOV_CC_INTL!A684)</f>
        <v/>
      </c>
      <c r="B684" s="22" t="str">
        <f>IF(MOV_CC_INTL!B684="","",MOV_CC_INTL!B684)</f>
        <v/>
      </c>
      <c r="C684" s="22" t="str">
        <f>IF(MOV_CC_INTL!C684="","",MOV_CC_INTL!C684)</f>
        <v/>
      </c>
      <c r="D684" s="22" t="str">
        <f t="shared" si="1"/>
        <v>Other</v>
      </c>
      <c r="E684" s="21" t="str">
        <f>IF(C684="","",C684*CONFIG!B5)</f>
        <v/>
      </c>
    </row>
    <row r="685" ht="15.75" customHeight="1">
      <c r="A685" s="22" t="str">
        <f>IF(MOV_CC_INTL!A685="","",MOV_CC_INTL!A685)</f>
        <v/>
      </c>
      <c r="B685" s="22" t="str">
        <f>IF(MOV_CC_INTL!B685="","",MOV_CC_INTL!B685)</f>
        <v/>
      </c>
      <c r="C685" s="22" t="str">
        <f>IF(MOV_CC_INTL!C685="","",MOV_CC_INTL!C685)</f>
        <v/>
      </c>
      <c r="D685" s="22" t="str">
        <f t="shared" si="1"/>
        <v>Other</v>
      </c>
      <c r="E685" s="21" t="str">
        <f>IF(C685="","",C685*CONFIG!B5)</f>
        <v/>
      </c>
    </row>
    <row r="686" ht="15.75" customHeight="1">
      <c r="A686" s="22" t="str">
        <f>IF(MOV_CC_INTL!A686="","",MOV_CC_INTL!A686)</f>
        <v/>
      </c>
      <c r="B686" s="22" t="str">
        <f>IF(MOV_CC_INTL!B686="","",MOV_CC_INTL!B686)</f>
        <v/>
      </c>
      <c r="C686" s="22" t="str">
        <f>IF(MOV_CC_INTL!C686="","",MOV_CC_INTL!C686)</f>
        <v/>
      </c>
      <c r="D686" s="22" t="str">
        <f t="shared" si="1"/>
        <v>Other</v>
      </c>
      <c r="E686" s="21" t="str">
        <f>IF(C686="","",C686*CONFIG!B5)</f>
        <v/>
      </c>
    </row>
    <row r="687" ht="15.75" customHeight="1">
      <c r="A687" s="22" t="str">
        <f>IF(MOV_CC_INTL!A687="","",MOV_CC_INTL!A687)</f>
        <v/>
      </c>
      <c r="B687" s="22" t="str">
        <f>IF(MOV_CC_INTL!B687="","",MOV_CC_INTL!B687)</f>
        <v/>
      </c>
      <c r="C687" s="22" t="str">
        <f>IF(MOV_CC_INTL!C687="","",MOV_CC_INTL!C687)</f>
        <v/>
      </c>
      <c r="D687" s="22" t="str">
        <f t="shared" si="1"/>
        <v>Other</v>
      </c>
      <c r="E687" s="21" t="str">
        <f>IF(C687="","",C687*CONFIG!B5)</f>
        <v/>
      </c>
    </row>
    <row r="688" ht="15.75" customHeight="1">
      <c r="A688" s="22" t="str">
        <f>IF(MOV_CC_INTL!A688="","",MOV_CC_INTL!A688)</f>
        <v/>
      </c>
      <c r="B688" s="22" t="str">
        <f>IF(MOV_CC_INTL!B688="","",MOV_CC_INTL!B688)</f>
        <v/>
      </c>
      <c r="C688" s="22" t="str">
        <f>IF(MOV_CC_INTL!C688="","",MOV_CC_INTL!C688)</f>
        <v/>
      </c>
      <c r="D688" s="22" t="str">
        <f t="shared" si="1"/>
        <v>Other</v>
      </c>
      <c r="E688" s="21" t="str">
        <f>IF(C688="","",C688*CONFIG!B5)</f>
        <v/>
      </c>
    </row>
    <row r="689" ht="15.75" customHeight="1">
      <c r="A689" s="22" t="str">
        <f>IF(MOV_CC_INTL!A689="","",MOV_CC_INTL!A689)</f>
        <v/>
      </c>
      <c r="B689" s="22" t="str">
        <f>IF(MOV_CC_INTL!B689="","",MOV_CC_INTL!B689)</f>
        <v/>
      </c>
      <c r="C689" s="22" t="str">
        <f>IF(MOV_CC_INTL!C689="","",MOV_CC_INTL!C689)</f>
        <v/>
      </c>
      <c r="D689" s="22" t="str">
        <f t="shared" si="1"/>
        <v>Other</v>
      </c>
      <c r="E689" s="21" t="str">
        <f>IF(C689="","",C689*CONFIG!B5)</f>
        <v/>
      </c>
    </row>
    <row r="690" ht="15.75" customHeight="1">
      <c r="A690" s="22" t="str">
        <f>IF(MOV_CC_INTL!A690="","",MOV_CC_INTL!A690)</f>
        <v/>
      </c>
      <c r="B690" s="22" t="str">
        <f>IF(MOV_CC_INTL!B690="","",MOV_CC_INTL!B690)</f>
        <v/>
      </c>
      <c r="C690" s="22" t="str">
        <f>IF(MOV_CC_INTL!C690="","",MOV_CC_INTL!C690)</f>
        <v/>
      </c>
      <c r="D690" s="22" t="str">
        <f t="shared" si="1"/>
        <v>Other</v>
      </c>
      <c r="E690" s="21" t="str">
        <f>IF(C690="","",C690*CONFIG!B5)</f>
        <v/>
      </c>
    </row>
    <row r="691" ht="15.75" customHeight="1">
      <c r="A691" s="22" t="str">
        <f>IF(MOV_CC_INTL!A691="","",MOV_CC_INTL!A691)</f>
        <v/>
      </c>
      <c r="B691" s="22" t="str">
        <f>IF(MOV_CC_INTL!B691="","",MOV_CC_INTL!B691)</f>
        <v/>
      </c>
      <c r="C691" s="22" t="str">
        <f>IF(MOV_CC_INTL!C691="","",MOV_CC_INTL!C691)</f>
        <v/>
      </c>
      <c r="D691" s="22" t="str">
        <f t="shared" si="1"/>
        <v>Other</v>
      </c>
      <c r="E691" s="21" t="str">
        <f>IF(C691="","",C691*CONFIG!B5)</f>
        <v/>
      </c>
    </row>
    <row r="692" ht="15.75" customHeight="1">
      <c r="A692" s="22" t="str">
        <f>IF(MOV_CC_INTL!A692="","",MOV_CC_INTL!A692)</f>
        <v/>
      </c>
      <c r="B692" s="22" t="str">
        <f>IF(MOV_CC_INTL!B692="","",MOV_CC_INTL!B692)</f>
        <v/>
      </c>
      <c r="C692" s="22" t="str">
        <f>IF(MOV_CC_INTL!C692="","",MOV_CC_INTL!C692)</f>
        <v/>
      </c>
      <c r="D692" s="22" t="str">
        <f t="shared" si="1"/>
        <v>Other</v>
      </c>
      <c r="E692" s="21" t="str">
        <f>IF(C692="","",C692*CONFIG!B5)</f>
        <v/>
      </c>
    </row>
    <row r="693" ht="15.75" customHeight="1">
      <c r="A693" s="22" t="str">
        <f>IF(MOV_CC_INTL!A693="","",MOV_CC_INTL!A693)</f>
        <v/>
      </c>
      <c r="B693" s="22" t="str">
        <f>IF(MOV_CC_INTL!B693="","",MOV_CC_INTL!B693)</f>
        <v/>
      </c>
      <c r="C693" s="22" t="str">
        <f>IF(MOV_CC_INTL!C693="","",MOV_CC_INTL!C693)</f>
        <v/>
      </c>
      <c r="D693" s="22" t="str">
        <f t="shared" si="1"/>
        <v>Other</v>
      </c>
      <c r="E693" s="21" t="str">
        <f>IF(C693="","",C693*CONFIG!B5)</f>
        <v/>
      </c>
    </row>
    <row r="694" ht="15.75" customHeight="1">
      <c r="A694" s="22" t="str">
        <f>IF(MOV_CC_INTL!A694="","",MOV_CC_INTL!A694)</f>
        <v/>
      </c>
      <c r="B694" s="22" t="str">
        <f>IF(MOV_CC_INTL!B694="","",MOV_CC_INTL!B694)</f>
        <v/>
      </c>
      <c r="C694" s="22" t="str">
        <f>IF(MOV_CC_INTL!C694="","",MOV_CC_INTL!C694)</f>
        <v/>
      </c>
      <c r="D694" s="22" t="str">
        <f t="shared" si="1"/>
        <v>Other</v>
      </c>
      <c r="E694" s="21" t="str">
        <f>IF(C694="","",C694*CONFIG!B5)</f>
        <v/>
      </c>
    </row>
    <row r="695" ht="15.75" customHeight="1">
      <c r="A695" s="22" t="str">
        <f>IF(MOV_CC_INTL!A695="","",MOV_CC_INTL!A695)</f>
        <v/>
      </c>
      <c r="B695" s="22" t="str">
        <f>IF(MOV_CC_INTL!B695="","",MOV_CC_INTL!B695)</f>
        <v/>
      </c>
      <c r="C695" s="22" t="str">
        <f>IF(MOV_CC_INTL!C695="","",MOV_CC_INTL!C695)</f>
        <v/>
      </c>
      <c r="D695" s="22" t="str">
        <f t="shared" si="1"/>
        <v>Other</v>
      </c>
      <c r="E695" s="21" t="str">
        <f>IF(C695="","",C695*CONFIG!B5)</f>
        <v/>
      </c>
    </row>
    <row r="696" ht="15.75" customHeight="1">
      <c r="A696" s="22" t="str">
        <f>IF(MOV_CC_INTL!A696="","",MOV_CC_INTL!A696)</f>
        <v/>
      </c>
      <c r="B696" s="22" t="str">
        <f>IF(MOV_CC_INTL!B696="","",MOV_CC_INTL!B696)</f>
        <v/>
      </c>
      <c r="C696" s="22" t="str">
        <f>IF(MOV_CC_INTL!C696="","",MOV_CC_INTL!C696)</f>
        <v/>
      </c>
      <c r="D696" s="22" t="str">
        <f t="shared" si="1"/>
        <v>Other</v>
      </c>
      <c r="E696" s="21" t="str">
        <f>IF(C696="","",C696*CONFIG!B5)</f>
        <v/>
      </c>
    </row>
    <row r="697" ht="15.75" customHeight="1">
      <c r="A697" s="22" t="str">
        <f>IF(MOV_CC_INTL!A697="","",MOV_CC_INTL!A697)</f>
        <v/>
      </c>
      <c r="B697" s="22" t="str">
        <f>IF(MOV_CC_INTL!B697="","",MOV_CC_INTL!B697)</f>
        <v/>
      </c>
      <c r="C697" s="22" t="str">
        <f>IF(MOV_CC_INTL!C697="","",MOV_CC_INTL!C697)</f>
        <v/>
      </c>
      <c r="D697" s="22" t="str">
        <f t="shared" si="1"/>
        <v>Other</v>
      </c>
      <c r="E697" s="21" t="str">
        <f>IF(C697="","",C697*CONFIG!B5)</f>
        <v/>
      </c>
    </row>
    <row r="698" ht="15.75" customHeight="1">
      <c r="A698" s="22" t="str">
        <f>IF(MOV_CC_INTL!A698="","",MOV_CC_INTL!A698)</f>
        <v/>
      </c>
      <c r="B698" s="22" t="str">
        <f>IF(MOV_CC_INTL!B698="","",MOV_CC_INTL!B698)</f>
        <v/>
      </c>
      <c r="C698" s="22" t="str">
        <f>IF(MOV_CC_INTL!C698="","",MOV_CC_INTL!C698)</f>
        <v/>
      </c>
      <c r="D698" s="22" t="str">
        <f t="shared" si="1"/>
        <v>Other</v>
      </c>
      <c r="E698" s="21" t="str">
        <f>IF(C698="","",C698*CONFIG!B5)</f>
        <v/>
      </c>
    </row>
    <row r="699" ht="15.75" customHeight="1">
      <c r="A699" s="22" t="str">
        <f>IF(MOV_CC_INTL!A699="","",MOV_CC_INTL!A699)</f>
        <v/>
      </c>
      <c r="B699" s="22" t="str">
        <f>IF(MOV_CC_INTL!B699="","",MOV_CC_INTL!B699)</f>
        <v/>
      </c>
      <c r="C699" s="22" t="str">
        <f>IF(MOV_CC_INTL!C699="","",MOV_CC_INTL!C699)</f>
        <v/>
      </c>
      <c r="D699" s="22" t="str">
        <f t="shared" si="1"/>
        <v>Other</v>
      </c>
      <c r="E699" s="21" t="str">
        <f>IF(C699="","",C699*CONFIG!B5)</f>
        <v/>
      </c>
    </row>
    <row r="700" ht="15.75" customHeight="1">
      <c r="A700" s="22" t="str">
        <f>IF(MOV_CC_INTL!A700="","",MOV_CC_INTL!A700)</f>
        <v/>
      </c>
      <c r="B700" s="22" t="str">
        <f>IF(MOV_CC_INTL!B700="","",MOV_CC_INTL!B700)</f>
        <v/>
      </c>
      <c r="C700" s="22" t="str">
        <f>IF(MOV_CC_INTL!C700="","",MOV_CC_INTL!C700)</f>
        <v/>
      </c>
      <c r="D700" s="22" t="str">
        <f t="shared" si="1"/>
        <v>Other</v>
      </c>
      <c r="E700" s="21" t="str">
        <f>IF(C700="","",C700*CONFIG!B5)</f>
        <v/>
      </c>
    </row>
    <row r="701" ht="15.75" customHeight="1">
      <c r="A701" s="22" t="str">
        <f>IF(MOV_CC_INTL!A701="","",MOV_CC_INTL!A701)</f>
        <v/>
      </c>
      <c r="B701" s="22" t="str">
        <f>IF(MOV_CC_INTL!B701="","",MOV_CC_INTL!B701)</f>
        <v/>
      </c>
      <c r="C701" s="22" t="str">
        <f>IF(MOV_CC_INTL!C701="","",MOV_CC_INTL!C701)</f>
        <v/>
      </c>
      <c r="D701" s="22" t="str">
        <f t="shared" si="1"/>
        <v>Other</v>
      </c>
      <c r="E701" s="21" t="str">
        <f>IF(C701="","",C701*CONFIG!B5)</f>
        <v/>
      </c>
    </row>
    <row r="702" ht="15.75" customHeight="1">
      <c r="A702" s="22" t="str">
        <f>IF(MOV_CC_INTL!A702="","",MOV_CC_INTL!A702)</f>
        <v/>
      </c>
      <c r="B702" s="22" t="str">
        <f>IF(MOV_CC_INTL!B702="","",MOV_CC_INTL!B702)</f>
        <v/>
      </c>
      <c r="C702" s="22" t="str">
        <f>IF(MOV_CC_INTL!C702="","",MOV_CC_INTL!C702)</f>
        <v/>
      </c>
      <c r="D702" s="22" t="str">
        <f t="shared" si="1"/>
        <v>Other</v>
      </c>
      <c r="E702" s="21" t="str">
        <f>IF(C702="","",C702*CONFIG!B5)</f>
        <v/>
      </c>
    </row>
    <row r="703" ht="15.75" customHeight="1">
      <c r="A703" s="22" t="str">
        <f>IF(MOV_CC_INTL!A703="","",MOV_CC_INTL!A703)</f>
        <v/>
      </c>
      <c r="B703" s="22" t="str">
        <f>IF(MOV_CC_INTL!B703="","",MOV_CC_INTL!B703)</f>
        <v/>
      </c>
      <c r="C703" s="22" t="str">
        <f>IF(MOV_CC_INTL!C703="","",MOV_CC_INTL!C703)</f>
        <v/>
      </c>
      <c r="D703" s="22" t="str">
        <f t="shared" si="1"/>
        <v>Other</v>
      </c>
      <c r="E703" s="21" t="str">
        <f>IF(C703="","",C703*CONFIG!B5)</f>
        <v/>
      </c>
    </row>
    <row r="704" ht="15.75" customHeight="1">
      <c r="A704" s="22" t="str">
        <f>IF(MOV_CC_INTL!A704="","",MOV_CC_INTL!A704)</f>
        <v/>
      </c>
      <c r="B704" s="22" t="str">
        <f>IF(MOV_CC_INTL!B704="","",MOV_CC_INTL!B704)</f>
        <v/>
      </c>
      <c r="C704" s="22" t="str">
        <f>IF(MOV_CC_INTL!C704="","",MOV_CC_INTL!C704)</f>
        <v/>
      </c>
      <c r="D704" s="22" t="str">
        <f t="shared" si="1"/>
        <v>Other</v>
      </c>
      <c r="E704" s="21" t="str">
        <f>IF(C704="","",C704*CONFIG!B5)</f>
        <v/>
      </c>
    </row>
    <row r="705" ht="15.75" customHeight="1">
      <c r="A705" s="22" t="str">
        <f>IF(MOV_CC_INTL!A705="","",MOV_CC_INTL!A705)</f>
        <v/>
      </c>
      <c r="B705" s="22" t="str">
        <f>IF(MOV_CC_INTL!B705="","",MOV_CC_INTL!B705)</f>
        <v/>
      </c>
      <c r="C705" s="22" t="str">
        <f>IF(MOV_CC_INTL!C705="","",MOV_CC_INTL!C705)</f>
        <v/>
      </c>
      <c r="D705" s="22" t="str">
        <f t="shared" si="1"/>
        <v>Other</v>
      </c>
      <c r="E705" s="21" t="str">
        <f>IF(C705="","",C705*CONFIG!B5)</f>
        <v/>
      </c>
    </row>
    <row r="706" ht="15.75" customHeight="1">
      <c r="A706" s="22" t="str">
        <f>IF(MOV_CC_INTL!A706="","",MOV_CC_INTL!A706)</f>
        <v/>
      </c>
      <c r="B706" s="22" t="str">
        <f>IF(MOV_CC_INTL!B706="","",MOV_CC_INTL!B706)</f>
        <v/>
      </c>
      <c r="C706" s="22" t="str">
        <f>IF(MOV_CC_INTL!C706="","",MOV_CC_INTL!C706)</f>
        <v/>
      </c>
      <c r="D706" s="22" t="str">
        <f t="shared" si="1"/>
        <v>Other</v>
      </c>
      <c r="E706" s="21" t="str">
        <f>IF(C706="","",C706*CONFIG!B5)</f>
        <v/>
      </c>
    </row>
    <row r="707" ht="15.75" customHeight="1">
      <c r="A707" s="22" t="str">
        <f>IF(MOV_CC_INTL!A707="","",MOV_CC_INTL!A707)</f>
        <v/>
      </c>
      <c r="B707" s="22" t="str">
        <f>IF(MOV_CC_INTL!B707="","",MOV_CC_INTL!B707)</f>
        <v/>
      </c>
      <c r="C707" s="22" t="str">
        <f>IF(MOV_CC_INTL!C707="","",MOV_CC_INTL!C707)</f>
        <v/>
      </c>
      <c r="D707" s="22" t="str">
        <f t="shared" si="1"/>
        <v>Other</v>
      </c>
      <c r="E707" s="21" t="str">
        <f>IF(C707="","",C707*CONFIG!B5)</f>
        <v/>
      </c>
    </row>
    <row r="708" ht="15.75" customHeight="1">
      <c r="A708" s="22" t="str">
        <f>IF(MOV_CC_INTL!A708="","",MOV_CC_INTL!A708)</f>
        <v/>
      </c>
      <c r="B708" s="22" t="str">
        <f>IF(MOV_CC_INTL!B708="","",MOV_CC_INTL!B708)</f>
        <v/>
      </c>
      <c r="C708" s="22" t="str">
        <f>IF(MOV_CC_INTL!C708="","",MOV_CC_INTL!C708)</f>
        <v/>
      </c>
      <c r="D708" s="22" t="str">
        <f t="shared" si="1"/>
        <v>Other</v>
      </c>
      <c r="E708" s="21" t="str">
        <f>IF(C708="","",C708*CONFIG!B5)</f>
        <v/>
      </c>
    </row>
    <row r="709" ht="15.75" customHeight="1">
      <c r="A709" s="22" t="str">
        <f>IF(MOV_CC_INTL!A709="","",MOV_CC_INTL!A709)</f>
        <v/>
      </c>
      <c r="B709" s="22" t="str">
        <f>IF(MOV_CC_INTL!B709="","",MOV_CC_INTL!B709)</f>
        <v/>
      </c>
      <c r="C709" s="22" t="str">
        <f>IF(MOV_CC_INTL!C709="","",MOV_CC_INTL!C709)</f>
        <v/>
      </c>
      <c r="D709" s="22" t="str">
        <f t="shared" si="1"/>
        <v>Other</v>
      </c>
      <c r="E709" s="21" t="str">
        <f>IF(C709="","",C709*CONFIG!B5)</f>
        <v/>
      </c>
    </row>
    <row r="710" ht="15.75" customHeight="1">
      <c r="A710" s="22" t="str">
        <f>IF(MOV_CC_INTL!A710="","",MOV_CC_INTL!A710)</f>
        <v/>
      </c>
      <c r="B710" s="22" t="str">
        <f>IF(MOV_CC_INTL!B710="","",MOV_CC_INTL!B710)</f>
        <v/>
      </c>
      <c r="C710" s="22" t="str">
        <f>IF(MOV_CC_INTL!C710="","",MOV_CC_INTL!C710)</f>
        <v/>
      </c>
      <c r="D710" s="22" t="str">
        <f t="shared" si="1"/>
        <v>Other</v>
      </c>
      <c r="E710" s="21" t="str">
        <f>IF(C710="","",C710*CONFIG!B5)</f>
        <v/>
      </c>
    </row>
    <row r="711" ht="15.75" customHeight="1">
      <c r="A711" s="22" t="str">
        <f>IF(MOV_CC_INTL!A711="","",MOV_CC_INTL!A711)</f>
        <v/>
      </c>
      <c r="B711" s="22" t="str">
        <f>IF(MOV_CC_INTL!B711="","",MOV_CC_INTL!B711)</f>
        <v/>
      </c>
      <c r="C711" s="22" t="str">
        <f>IF(MOV_CC_INTL!C711="","",MOV_CC_INTL!C711)</f>
        <v/>
      </c>
      <c r="D711" s="22" t="str">
        <f t="shared" si="1"/>
        <v>Other</v>
      </c>
      <c r="E711" s="21" t="str">
        <f>IF(C711="","",C711*CONFIG!B5)</f>
        <v/>
      </c>
    </row>
    <row r="712" ht="15.75" customHeight="1">
      <c r="A712" s="22" t="str">
        <f>IF(MOV_CC_INTL!A712="","",MOV_CC_INTL!A712)</f>
        <v/>
      </c>
      <c r="B712" s="22" t="str">
        <f>IF(MOV_CC_INTL!B712="","",MOV_CC_INTL!B712)</f>
        <v/>
      </c>
      <c r="C712" s="22" t="str">
        <f>IF(MOV_CC_INTL!C712="","",MOV_CC_INTL!C712)</f>
        <v/>
      </c>
      <c r="D712" s="22" t="str">
        <f t="shared" si="1"/>
        <v>Other</v>
      </c>
      <c r="E712" s="21" t="str">
        <f>IF(C712="","",C712*CONFIG!B5)</f>
        <v/>
      </c>
    </row>
    <row r="713" ht="15.75" customHeight="1">
      <c r="A713" s="22" t="str">
        <f>IF(MOV_CC_INTL!A713="","",MOV_CC_INTL!A713)</f>
        <v/>
      </c>
      <c r="B713" s="22" t="str">
        <f>IF(MOV_CC_INTL!B713="","",MOV_CC_INTL!B713)</f>
        <v/>
      </c>
      <c r="C713" s="22" t="str">
        <f>IF(MOV_CC_INTL!C713="","",MOV_CC_INTL!C713)</f>
        <v/>
      </c>
      <c r="D713" s="22" t="str">
        <f t="shared" si="1"/>
        <v>Other</v>
      </c>
      <c r="E713" s="21" t="str">
        <f>IF(C713="","",C713*CONFIG!B5)</f>
        <v/>
      </c>
    </row>
    <row r="714" ht="15.75" customHeight="1">
      <c r="A714" s="22" t="str">
        <f>IF(MOV_CC_INTL!A714="","",MOV_CC_INTL!A714)</f>
        <v/>
      </c>
      <c r="B714" s="22" t="str">
        <f>IF(MOV_CC_INTL!B714="","",MOV_CC_INTL!B714)</f>
        <v/>
      </c>
      <c r="C714" s="22" t="str">
        <f>IF(MOV_CC_INTL!C714="","",MOV_CC_INTL!C714)</f>
        <v/>
      </c>
      <c r="D714" s="22" t="str">
        <f t="shared" si="1"/>
        <v>Other</v>
      </c>
      <c r="E714" s="21" t="str">
        <f>IF(C714="","",C714*CONFIG!B5)</f>
        <v/>
      </c>
    </row>
    <row r="715" ht="15.75" customHeight="1">
      <c r="A715" s="22" t="str">
        <f>IF(MOV_CC_INTL!A715="","",MOV_CC_INTL!A715)</f>
        <v/>
      </c>
      <c r="B715" s="22" t="str">
        <f>IF(MOV_CC_INTL!B715="","",MOV_CC_INTL!B715)</f>
        <v/>
      </c>
      <c r="C715" s="22" t="str">
        <f>IF(MOV_CC_INTL!C715="","",MOV_CC_INTL!C715)</f>
        <v/>
      </c>
      <c r="D715" s="22" t="str">
        <f t="shared" si="1"/>
        <v>Other</v>
      </c>
      <c r="E715" s="21" t="str">
        <f>IF(C715="","",C715*CONFIG!B5)</f>
        <v/>
      </c>
    </row>
    <row r="716" ht="15.75" customHeight="1">
      <c r="A716" s="22" t="str">
        <f>IF(MOV_CC_INTL!A716="","",MOV_CC_INTL!A716)</f>
        <v/>
      </c>
      <c r="B716" s="22" t="str">
        <f>IF(MOV_CC_INTL!B716="","",MOV_CC_INTL!B716)</f>
        <v/>
      </c>
      <c r="C716" s="22" t="str">
        <f>IF(MOV_CC_INTL!C716="","",MOV_CC_INTL!C716)</f>
        <v/>
      </c>
      <c r="D716" s="22" t="str">
        <f t="shared" si="1"/>
        <v>Other</v>
      </c>
      <c r="E716" s="21" t="str">
        <f>IF(C716="","",C716*CONFIG!B5)</f>
        <v/>
      </c>
    </row>
    <row r="717" ht="15.75" customHeight="1">
      <c r="A717" s="22" t="str">
        <f>IF(MOV_CC_INTL!A717="","",MOV_CC_INTL!A717)</f>
        <v/>
      </c>
      <c r="B717" s="22" t="str">
        <f>IF(MOV_CC_INTL!B717="","",MOV_CC_INTL!B717)</f>
        <v/>
      </c>
      <c r="C717" s="22" t="str">
        <f>IF(MOV_CC_INTL!C717="","",MOV_CC_INTL!C717)</f>
        <v/>
      </c>
      <c r="D717" s="22" t="str">
        <f t="shared" si="1"/>
        <v>Other</v>
      </c>
      <c r="E717" s="21" t="str">
        <f>IF(C717="","",C717*CONFIG!B5)</f>
        <v/>
      </c>
    </row>
    <row r="718" ht="15.75" customHeight="1">
      <c r="A718" s="22" t="str">
        <f>IF(MOV_CC_INTL!A718="","",MOV_CC_INTL!A718)</f>
        <v/>
      </c>
      <c r="B718" s="22" t="str">
        <f>IF(MOV_CC_INTL!B718="","",MOV_CC_INTL!B718)</f>
        <v/>
      </c>
      <c r="C718" s="22" t="str">
        <f>IF(MOV_CC_INTL!C718="","",MOV_CC_INTL!C718)</f>
        <v/>
      </c>
      <c r="D718" s="22" t="str">
        <f t="shared" si="1"/>
        <v>Other</v>
      </c>
      <c r="E718" s="21" t="str">
        <f>IF(C718="","",C718*CONFIG!B5)</f>
        <v/>
      </c>
    </row>
    <row r="719" ht="15.75" customHeight="1">
      <c r="A719" s="22" t="str">
        <f>IF(MOV_CC_INTL!A719="","",MOV_CC_INTL!A719)</f>
        <v/>
      </c>
      <c r="B719" s="22" t="str">
        <f>IF(MOV_CC_INTL!B719="","",MOV_CC_INTL!B719)</f>
        <v/>
      </c>
      <c r="C719" s="22" t="str">
        <f>IF(MOV_CC_INTL!C719="","",MOV_CC_INTL!C719)</f>
        <v/>
      </c>
      <c r="D719" s="22" t="str">
        <f t="shared" si="1"/>
        <v>Other</v>
      </c>
      <c r="E719" s="21" t="str">
        <f>IF(C719="","",C719*CONFIG!B5)</f>
        <v/>
      </c>
    </row>
    <row r="720" ht="15.75" customHeight="1">
      <c r="A720" s="22" t="str">
        <f>IF(MOV_CC_INTL!A720="","",MOV_CC_INTL!A720)</f>
        <v/>
      </c>
      <c r="B720" s="22" t="str">
        <f>IF(MOV_CC_INTL!B720="","",MOV_CC_INTL!B720)</f>
        <v/>
      </c>
      <c r="C720" s="22" t="str">
        <f>IF(MOV_CC_INTL!C720="","",MOV_CC_INTL!C720)</f>
        <v/>
      </c>
      <c r="D720" s="22" t="str">
        <f t="shared" si="1"/>
        <v>Other</v>
      </c>
      <c r="E720" s="21" t="str">
        <f>IF(C720="","",C720*CONFIG!B5)</f>
        <v/>
      </c>
    </row>
    <row r="721" ht="15.75" customHeight="1">
      <c r="A721" s="22" t="str">
        <f>IF(MOV_CC_INTL!A721="","",MOV_CC_INTL!A721)</f>
        <v/>
      </c>
      <c r="B721" s="22" t="str">
        <f>IF(MOV_CC_INTL!B721="","",MOV_CC_INTL!B721)</f>
        <v/>
      </c>
      <c r="C721" s="22" t="str">
        <f>IF(MOV_CC_INTL!C721="","",MOV_CC_INTL!C721)</f>
        <v/>
      </c>
      <c r="D721" s="22" t="str">
        <f t="shared" si="1"/>
        <v>Other</v>
      </c>
      <c r="E721" s="21" t="str">
        <f>IF(C721="","",C721*CONFIG!B5)</f>
        <v/>
      </c>
    </row>
    <row r="722" ht="15.75" customHeight="1">
      <c r="A722" s="22" t="str">
        <f>IF(MOV_CC_INTL!A722="","",MOV_CC_INTL!A722)</f>
        <v/>
      </c>
      <c r="B722" s="22" t="str">
        <f>IF(MOV_CC_INTL!B722="","",MOV_CC_INTL!B722)</f>
        <v/>
      </c>
      <c r="C722" s="22" t="str">
        <f>IF(MOV_CC_INTL!C722="","",MOV_CC_INTL!C722)</f>
        <v/>
      </c>
      <c r="D722" s="22" t="str">
        <f t="shared" si="1"/>
        <v>Other</v>
      </c>
      <c r="E722" s="21" t="str">
        <f>IF(C722="","",C722*CONFIG!B5)</f>
        <v/>
      </c>
    </row>
    <row r="723" ht="15.75" customHeight="1">
      <c r="A723" s="22" t="str">
        <f>IF(MOV_CC_INTL!A723="","",MOV_CC_INTL!A723)</f>
        <v/>
      </c>
      <c r="B723" s="22" t="str">
        <f>IF(MOV_CC_INTL!B723="","",MOV_CC_INTL!B723)</f>
        <v/>
      </c>
      <c r="C723" s="22" t="str">
        <f>IF(MOV_CC_INTL!C723="","",MOV_CC_INTL!C723)</f>
        <v/>
      </c>
      <c r="D723" s="22" t="str">
        <f t="shared" si="1"/>
        <v>Other</v>
      </c>
      <c r="E723" s="21" t="str">
        <f>IF(C723="","",C723*CONFIG!B5)</f>
        <v/>
      </c>
    </row>
    <row r="724" ht="15.75" customHeight="1">
      <c r="A724" s="22" t="str">
        <f>IF(MOV_CC_INTL!A724="","",MOV_CC_INTL!A724)</f>
        <v/>
      </c>
      <c r="B724" s="22" t="str">
        <f>IF(MOV_CC_INTL!B724="","",MOV_CC_INTL!B724)</f>
        <v/>
      </c>
      <c r="C724" s="22" t="str">
        <f>IF(MOV_CC_INTL!C724="","",MOV_CC_INTL!C724)</f>
        <v/>
      </c>
      <c r="D724" s="22" t="str">
        <f t="shared" si="1"/>
        <v>Other</v>
      </c>
      <c r="E724" s="21" t="str">
        <f>IF(C724="","",C724*CONFIG!B5)</f>
        <v/>
      </c>
    </row>
    <row r="725" ht="15.75" customHeight="1">
      <c r="A725" s="22" t="str">
        <f>IF(MOV_CC_INTL!A725="","",MOV_CC_INTL!A725)</f>
        <v/>
      </c>
      <c r="B725" s="22" t="str">
        <f>IF(MOV_CC_INTL!B725="","",MOV_CC_INTL!B725)</f>
        <v/>
      </c>
      <c r="C725" s="22" t="str">
        <f>IF(MOV_CC_INTL!C725="","",MOV_CC_INTL!C725)</f>
        <v/>
      </c>
      <c r="D725" s="22" t="str">
        <f t="shared" si="1"/>
        <v>Other</v>
      </c>
      <c r="E725" s="21" t="str">
        <f>IF(C725="","",C725*CONFIG!B5)</f>
        <v/>
      </c>
    </row>
    <row r="726" ht="15.75" customHeight="1">
      <c r="A726" s="22" t="str">
        <f>IF(MOV_CC_INTL!A726="","",MOV_CC_INTL!A726)</f>
        <v/>
      </c>
      <c r="B726" s="22" t="str">
        <f>IF(MOV_CC_INTL!B726="","",MOV_CC_INTL!B726)</f>
        <v/>
      </c>
      <c r="C726" s="22" t="str">
        <f>IF(MOV_CC_INTL!C726="","",MOV_CC_INTL!C726)</f>
        <v/>
      </c>
      <c r="D726" s="22" t="str">
        <f t="shared" si="1"/>
        <v>Other</v>
      </c>
      <c r="E726" s="21" t="str">
        <f>IF(C726="","",C726*CONFIG!B5)</f>
        <v/>
      </c>
    </row>
    <row r="727" ht="15.75" customHeight="1">
      <c r="A727" s="22" t="str">
        <f>IF(MOV_CC_INTL!A727="","",MOV_CC_INTL!A727)</f>
        <v/>
      </c>
      <c r="B727" s="22" t="str">
        <f>IF(MOV_CC_INTL!B727="","",MOV_CC_INTL!B727)</f>
        <v/>
      </c>
      <c r="C727" s="22" t="str">
        <f>IF(MOV_CC_INTL!C727="","",MOV_CC_INTL!C727)</f>
        <v/>
      </c>
      <c r="D727" s="22" t="str">
        <f t="shared" si="1"/>
        <v>Other</v>
      </c>
      <c r="E727" s="21" t="str">
        <f>IF(C727="","",C727*CONFIG!B5)</f>
        <v/>
      </c>
    </row>
    <row r="728" ht="15.75" customHeight="1">
      <c r="A728" s="22" t="str">
        <f>IF(MOV_CC_INTL!A728="","",MOV_CC_INTL!A728)</f>
        <v/>
      </c>
      <c r="B728" s="22" t="str">
        <f>IF(MOV_CC_INTL!B728="","",MOV_CC_INTL!B728)</f>
        <v/>
      </c>
      <c r="C728" s="22" t="str">
        <f>IF(MOV_CC_INTL!C728="","",MOV_CC_INTL!C728)</f>
        <v/>
      </c>
      <c r="D728" s="22" t="str">
        <f t="shared" si="1"/>
        <v>Other</v>
      </c>
      <c r="E728" s="21" t="str">
        <f>IF(C728="","",C728*CONFIG!B5)</f>
        <v/>
      </c>
    </row>
    <row r="729" ht="15.75" customHeight="1">
      <c r="A729" s="22" t="str">
        <f>IF(MOV_CC_INTL!A729="","",MOV_CC_INTL!A729)</f>
        <v/>
      </c>
      <c r="B729" s="22" t="str">
        <f>IF(MOV_CC_INTL!B729="","",MOV_CC_INTL!B729)</f>
        <v/>
      </c>
      <c r="C729" s="22" t="str">
        <f>IF(MOV_CC_INTL!C729="","",MOV_CC_INTL!C729)</f>
        <v/>
      </c>
      <c r="D729" s="22" t="str">
        <f t="shared" si="1"/>
        <v>Other</v>
      </c>
      <c r="E729" s="21" t="str">
        <f>IF(C729="","",C729*CONFIG!B5)</f>
        <v/>
      </c>
    </row>
    <row r="730" ht="15.75" customHeight="1">
      <c r="A730" s="22" t="str">
        <f>IF(MOV_CC_INTL!A730="","",MOV_CC_INTL!A730)</f>
        <v/>
      </c>
      <c r="B730" s="22" t="str">
        <f>IF(MOV_CC_INTL!B730="","",MOV_CC_INTL!B730)</f>
        <v/>
      </c>
      <c r="C730" s="22" t="str">
        <f>IF(MOV_CC_INTL!C730="","",MOV_CC_INTL!C730)</f>
        <v/>
      </c>
      <c r="D730" s="22" t="str">
        <f t="shared" si="1"/>
        <v>Other</v>
      </c>
      <c r="E730" s="21" t="str">
        <f>IF(C730="","",C730*CONFIG!B5)</f>
        <v/>
      </c>
    </row>
    <row r="731" ht="15.75" customHeight="1">
      <c r="A731" s="22" t="str">
        <f>IF(MOV_CC_INTL!A731="","",MOV_CC_INTL!A731)</f>
        <v/>
      </c>
      <c r="B731" s="22" t="str">
        <f>IF(MOV_CC_INTL!B731="","",MOV_CC_INTL!B731)</f>
        <v/>
      </c>
      <c r="C731" s="22" t="str">
        <f>IF(MOV_CC_INTL!C731="","",MOV_CC_INTL!C731)</f>
        <v/>
      </c>
      <c r="D731" s="22" t="str">
        <f t="shared" si="1"/>
        <v>Other</v>
      </c>
      <c r="E731" s="21" t="str">
        <f>IF(C731="","",C731*CONFIG!B5)</f>
        <v/>
      </c>
    </row>
    <row r="732" ht="15.75" customHeight="1">
      <c r="A732" s="22" t="str">
        <f>IF(MOV_CC_INTL!A732="","",MOV_CC_INTL!A732)</f>
        <v/>
      </c>
      <c r="B732" s="22" t="str">
        <f>IF(MOV_CC_INTL!B732="","",MOV_CC_INTL!B732)</f>
        <v/>
      </c>
      <c r="C732" s="22" t="str">
        <f>IF(MOV_CC_INTL!C732="","",MOV_CC_INTL!C732)</f>
        <v/>
      </c>
      <c r="D732" s="22" t="str">
        <f t="shared" si="1"/>
        <v>Other</v>
      </c>
      <c r="E732" s="21" t="str">
        <f>IF(C732="","",C732*CONFIG!B5)</f>
        <v/>
      </c>
    </row>
    <row r="733" ht="15.75" customHeight="1">
      <c r="A733" s="22" t="str">
        <f>IF(MOV_CC_INTL!A733="","",MOV_CC_INTL!A733)</f>
        <v/>
      </c>
      <c r="B733" s="22" t="str">
        <f>IF(MOV_CC_INTL!B733="","",MOV_CC_INTL!B733)</f>
        <v/>
      </c>
      <c r="C733" s="22" t="str">
        <f>IF(MOV_CC_INTL!C733="","",MOV_CC_INTL!C733)</f>
        <v/>
      </c>
      <c r="D733" s="22" t="str">
        <f t="shared" si="1"/>
        <v>Other</v>
      </c>
      <c r="E733" s="21" t="str">
        <f>IF(C733="","",C733*CONFIG!B5)</f>
        <v/>
      </c>
    </row>
    <row r="734" ht="15.75" customHeight="1">
      <c r="A734" s="22" t="str">
        <f>IF(MOV_CC_INTL!A734="","",MOV_CC_INTL!A734)</f>
        <v/>
      </c>
      <c r="B734" s="22" t="str">
        <f>IF(MOV_CC_INTL!B734="","",MOV_CC_INTL!B734)</f>
        <v/>
      </c>
      <c r="C734" s="22" t="str">
        <f>IF(MOV_CC_INTL!C734="","",MOV_CC_INTL!C734)</f>
        <v/>
      </c>
      <c r="D734" s="22" t="str">
        <f t="shared" si="1"/>
        <v>Other</v>
      </c>
      <c r="E734" s="21" t="str">
        <f>IF(C734="","",C734*CONFIG!B5)</f>
        <v/>
      </c>
    </row>
    <row r="735" ht="15.75" customHeight="1">
      <c r="A735" s="22" t="str">
        <f>IF(MOV_CC_INTL!A735="","",MOV_CC_INTL!A735)</f>
        <v/>
      </c>
      <c r="B735" s="22" t="str">
        <f>IF(MOV_CC_INTL!B735="","",MOV_CC_INTL!B735)</f>
        <v/>
      </c>
      <c r="C735" s="22" t="str">
        <f>IF(MOV_CC_INTL!C735="","",MOV_CC_INTL!C735)</f>
        <v/>
      </c>
      <c r="D735" s="22" t="str">
        <f t="shared" si="1"/>
        <v>Other</v>
      </c>
      <c r="E735" s="21" t="str">
        <f>IF(C735="","",C735*CONFIG!B5)</f>
        <v/>
      </c>
    </row>
    <row r="736" ht="15.75" customHeight="1">
      <c r="A736" s="22" t="str">
        <f>IF(MOV_CC_INTL!A736="","",MOV_CC_INTL!A736)</f>
        <v/>
      </c>
      <c r="B736" s="22" t="str">
        <f>IF(MOV_CC_INTL!B736="","",MOV_CC_INTL!B736)</f>
        <v/>
      </c>
      <c r="C736" s="22" t="str">
        <f>IF(MOV_CC_INTL!C736="","",MOV_CC_INTL!C736)</f>
        <v/>
      </c>
      <c r="D736" s="22" t="str">
        <f t="shared" si="1"/>
        <v>Other</v>
      </c>
      <c r="E736" s="21" t="str">
        <f>IF(C736="","",C736*CONFIG!B5)</f>
        <v/>
      </c>
    </row>
    <row r="737" ht="15.75" customHeight="1">
      <c r="A737" s="22" t="str">
        <f>IF(MOV_CC_INTL!A737="","",MOV_CC_INTL!A737)</f>
        <v/>
      </c>
      <c r="B737" s="22" t="str">
        <f>IF(MOV_CC_INTL!B737="","",MOV_CC_INTL!B737)</f>
        <v/>
      </c>
      <c r="C737" s="22" t="str">
        <f>IF(MOV_CC_INTL!C737="","",MOV_CC_INTL!C737)</f>
        <v/>
      </c>
      <c r="D737" s="22" t="str">
        <f t="shared" si="1"/>
        <v>Other</v>
      </c>
      <c r="E737" s="21" t="str">
        <f>IF(C737="","",C737*CONFIG!B5)</f>
        <v/>
      </c>
    </row>
    <row r="738" ht="15.75" customHeight="1">
      <c r="A738" s="22" t="str">
        <f>IF(MOV_CC_INTL!A738="","",MOV_CC_INTL!A738)</f>
        <v/>
      </c>
      <c r="B738" s="22" t="str">
        <f>IF(MOV_CC_INTL!B738="","",MOV_CC_INTL!B738)</f>
        <v/>
      </c>
      <c r="C738" s="22" t="str">
        <f>IF(MOV_CC_INTL!C738="","",MOV_CC_INTL!C738)</f>
        <v/>
      </c>
      <c r="D738" s="22" t="str">
        <f t="shared" si="1"/>
        <v>Other</v>
      </c>
      <c r="E738" s="21" t="str">
        <f>IF(C738="","",C738*CONFIG!B5)</f>
        <v/>
      </c>
    </row>
    <row r="739" ht="15.75" customHeight="1">
      <c r="A739" s="22" t="str">
        <f>IF(MOV_CC_INTL!A739="","",MOV_CC_INTL!A739)</f>
        <v/>
      </c>
      <c r="B739" s="22" t="str">
        <f>IF(MOV_CC_INTL!B739="","",MOV_CC_INTL!B739)</f>
        <v/>
      </c>
      <c r="C739" s="22" t="str">
        <f>IF(MOV_CC_INTL!C739="","",MOV_CC_INTL!C739)</f>
        <v/>
      </c>
      <c r="D739" s="22" t="str">
        <f t="shared" si="1"/>
        <v>Other</v>
      </c>
      <c r="E739" s="21" t="str">
        <f>IF(C739="","",C739*CONFIG!B5)</f>
        <v/>
      </c>
    </row>
    <row r="740" ht="15.75" customHeight="1">
      <c r="A740" s="22" t="str">
        <f>IF(MOV_CC_INTL!A740="","",MOV_CC_INTL!A740)</f>
        <v/>
      </c>
      <c r="B740" s="22" t="str">
        <f>IF(MOV_CC_INTL!B740="","",MOV_CC_INTL!B740)</f>
        <v/>
      </c>
      <c r="C740" s="22" t="str">
        <f>IF(MOV_CC_INTL!C740="","",MOV_CC_INTL!C740)</f>
        <v/>
      </c>
      <c r="D740" s="22" t="str">
        <f t="shared" si="1"/>
        <v>Other</v>
      </c>
      <c r="E740" s="21" t="str">
        <f>IF(C740="","",C740*CONFIG!B5)</f>
        <v/>
      </c>
    </row>
    <row r="741" ht="15.75" customHeight="1">
      <c r="A741" s="22" t="str">
        <f>IF(MOV_CC_INTL!A741="","",MOV_CC_INTL!A741)</f>
        <v/>
      </c>
      <c r="B741" s="22" t="str">
        <f>IF(MOV_CC_INTL!B741="","",MOV_CC_INTL!B741)</f>
        <v/>
      </c>
      <c r="C741" s="22" t="str">
        <f>IF(MOV_CC_INTL!C741="","",MOV_CC_INTL!C741)</f>
        <v/>
      </c>
      <c r="D741" s="22" t="str">
        <f t="shared" si="1"/>
        <v>Other</v>
      </c>
      <c r="E741" s="21" t="str">
        <f>IF(C741="","",C741*CONFIG!B5)</f>
        <v/>
      </c>
    </row>
    <row r="742" ht="15.75" customHeight="1">
      <c r="A742" s="22" t="str">
        <f>IF(MOV_CC_INTL!A742="","",MOV_CC_INTL!A742)</f>
        <v/>
      </c>
      <c r="B742" s="22" t="str">
        <f>IF(MOV_CC_INTL!B742="","",MOV_CC_INTL!B742)</f>
        <v/>
      </c>
      <c r="C742" s="22" t="str">
        <f>IF(MOV_CC_INTL!C742="","",MOV_CC_INTL!C742)</f>
        <v/>
      </c>
      <c r="D742" s="22" t="str">
        <f t="shared" si="1"/>
        <v>Other</v>
      </c>
      <c r="E742" s="21" t="str">
        <f>IF(C742="","",C742*CONFIG!B5)</f>
        <v/>
      </c>
    </row>
    <row r="743" ht="15.75" customHeight="1">
      <c r="A743" s="22" t="str">
        <f>IF(MOV_CC_INTL!A743="","",MOV_CC_INTL!A743)</f>
        <v/>
      </c>
      <c r="B743" s="22" t="str">
        <f>IF(MOV_CC_INTL!B743="","",MOV_CC_INTL!B743)</f>
        <v/>
      </c>
      <c r="C743" s="22" t="str">
        <f>IF(MOV_CC_INTL!C743="","",MOV_CC_INTL!C743)</f>
        <v/>
      </c>
      <c r="D743" s="22" t="str">
        <f t="shared" si="1"/>
        <v>Other</v>
      </c>
      <c r="E743" s="21" t="str">
        <f>IF(C743="","",C743*CONFIG!B5)</f>
        <v/>
      </c>
    </row>
    <row r="744" ht="15.75" customHeight="1">
      <c r="A744" s="22" t="str">
        <f>IF(MOV_CC_INTL!A744="","",MOV_CC_INTL!A744)</f>
        <v/>
      </c>
      <c r="B744" s="22" t="str">
        <f>IF(MOV_CC_INTL!B744="","",MOV_CC_INTL!B744)</f>
        <v/>
      </c>
      <c r="C744" s="22" t="str">
        <f>IF(MOV_CC_INTL!C744="","",MOV_CC_INTL!C744)</f>
        <v/>
      </c>
      <c r="D744" s="22" t="str">
        <f t="shared" si="1"/>
        <v>Other</v>
      </c>
      <c r="E744" s="21" t="str">
        <f>IF(C744="","",C744*CONFIG!B5)</f>
        <v/>
      </c>
    </row>
    <row r="745" ht="15.75" customHeight="1">
      <c r="A745" s="22" t="str">
        <f>IF(MOV_CC_INTL!A745="","",MOV_CC_INTL!A745)</f>
        <v/>
      </c>
      <c r="B745" s="22" t="str">
        <f>IF(MOV_CC_INTL!B745="","",MOV_CC_INTL!B745)</f>
        <v/>
      </c>
      <c r="C745" s="22" t="str">
        <f>IF(MOV_CC_INTL!C745="","",MOV_CC_INTL!C745)</f>
        <v/>
      </c>
      <c r="D745" s="22" t="str">
        <f t="shared" si="1"/>
        <v>Other</v>
      </c>
      <c r="E745" s="21" t="str">
        <f>IF(C745="","",C745*CONFIG!B5)</f>
        <v/>
      </c>
    </row>
    <row r="746" ht="15.75" customHeight="1">
      <c r="A746" s="22" t="str">
        <f>IF(MOV_CC_INTL!A746="","",MOV_CC_INTL!A746)</f>
        <v/>
      </c>
      <c r="B746" s="22" t="str">
        <f>IF(MOV_CC_INTL!B746="","",MOV_CC_INTL!B746)</f>
        <v/>
      </c>
      <c r="C746" s="22" t="str">
        <f>IF(MOV_CC_INTL!C746="","",MOV_CC_INTL!C746)</f>
        <v/>
      </c>
      <c r="D746" s="22" t="str">
        <f t="shared" si="1"/>
        <v>Other</v>
      </c>
      <c r="E746" s="21" t="str">
        <f>IF(C746="","",C746*CONFIG!B5)</f>
        <v/>
      </c>
    </row>
    <row r="747" ht="15.75" customHeight="1">
      <c r="A747" s="22" t="str">
        <f>IF(MOV_CC_INTL!A747="","",MOV_CC_INTL!A747)</f>
        <v/>
      </c>
      <c r="B747" s="22" t="str">
        <f>IF(MOV_CC_INTL!B747="","",MOV_CC_INTL!B747)</f>
        <v/>
      </c>
      <c r="C747" s="22" t="str">
        <f>IF(MOV_CC_INTL!C747="","",MOV_CC_INTL!C747)</f>
        <v/>
      </c>
      <c r="D747" s="22" t="str">
        <f t="shared" si="1"/>
        <v>Other</v>
      </c>
      <c r="E747" s="21" t="str">
        <f>IF(C747="","",C747*CONFIG!B5)</f>
        <v/>
      </c>
    </row>
    <row r="748" ht="15.75" customHeight="1">
      <c r="A748" s="22" t="str">
        <f>IF(MOV_CC_INTL!A748="","",MOV_CC_INTL!A748)</f>
        <v/>
      </c>
      <c r="B748" s="22" t="str">
        <f>IF(MOV_CC_INTL!B748="","",MOV_CC_INTL!B748)</f>
        <v/>
      </c>
      <c r="C748" s="22" t="str">
        <f>IF(MOV_CC_INTL!C748="","",MOV_CC_INTL!C748)</f>
        <v/>
      </c>
      <c r="D748" s="22" t="str">
        <f t="shared" si="1"/>
        <v>Other</v>
      </c>
      <c r="E748" s="21" t="str">
        <f>IF(C748="","",C748*CONFIG!B5)</f>
        <v/>
      </c>
    </row>
    <row r="749" ht="15.75" customHeight="1">
      <c r="A749" s="22" t="str">
        <f>IF(MOV_CC_INTL!A749="","",MOV_CC_INTL!A749)</f>
        <v/>
      </c>
      <c r="B749" s="22" t="str">
        <f>IF(MOV_CC_INTL!B749="","",MOV_CC_INTL!B749)</f>
        <v/>
      </c>
      <c r="C749" s="22" t="str">
        <f>IF(MOV_CC_INTL!C749="","",MOV_CC_INTL!C749)</f>
        <v/>
      </c>
      <c r="D749" s="22" t="str">
        <f t="shared" si="1"/>
        <v>Other</v>
      </c>
      <c r="E749" s="21" t="str">
        <f>IF(C749="","",C749*CONFIG!B5)</f>
        <v/>
      </c>
    </row>
    <row r="750" ht="15.75" customHeight="1">
      <c r="A750" s="22" t="str">
        <f>IF(MOV_CC_INTL!A750="","",MOV_CC_INTL!A750)</f>
        <v/>
      </c>
      <c r="B750" s="22" t="str">
        <f>IF(MOV_CC_INTL!B750="","",MOV_CC_INTL!B750)</f>
        <v/>
      </c>
      <c r="C750" s="22" t="str">
        <f>IF(MOV_CC_INTL!C750="","",MOV_CC_INTL!C750)</f>
        <v/>
      </c>
      <c r="D750" s="22" t="str">
        <f t="shared" si="1"/>
        <v>Other</v>
      </c>
      <c r="E750" s="21" t="str">
        <f>IF(C750="","",C750*CONFIG!B5)</f>
        <v/>
      </c>
    </row>
    <row r="751" ht="15.75" customHeight="1">
      <c r="A751" s="22" t="str">
        <f>IF(MOV_CC_INTL!A751="","",MOV_CC_INTL!A751)</f>
        <v/>
      </c>
      <c r="B751" s="22" t="str">
        <f>IF(MOV_CC_INTL!B751="","",MOV_CC_INTL!B751)</f>
        <v/>
      </c>
      <c r="C751" s="22" t="str">
        <f>IF(MOV_CC_INTL!C751="","",MOV_CC_INTL!C751)</f>
        <v/>
      </c>
      <c r="D751" s="22" t="str">
        <f t="shared" si="1"/>
        <v>Other</v>
      </c>
      <c r="E751" s="21" t="str">
        <f>IF(C751="","",C751*CONFIG!B5)</f>
        <v/>
      </c>
    </row>
    <row r="752" ht="15.75" customHeight="1">
      <c r="A752" s="22" t="str">
        <f>IF(MOV_CC_INTL!A752="","",MOV_CC_INTL!A752)</f>
        <v/>
      </c>
      <c r="B752" s="22" t="str">
        <f>IF(MOV_CC_INTL!B752="","",MOV_CC_INTL!B752)</f>
        <v/>
      </c>
      <c r="C752" s="22" t="str">
        <f>IF(MOV_CC_INTL!C752="","",MOV_CC_INTL!C752)</f>
        <v/>
      </c>
      <c r="D752" s="22" t="str">
        <f t="shared" si="1"/>
        <v>Other</v>
      </c>
      <c r="E752" s="21" t="str">
        <f>IF(C752="","",C752*CONFIG!B5)</f>
        <v/>
      </c>
    </row>
    <row r="753" ht="15.75" customHeight="1">
      <c r="A753" s="22" t="str">
        <f>IF(MOV_CC_INTL!A753="","",MOV_CC_INTL!A753)</f>
        <v/>
      </c>
      <c r="B753" s="22" t="str">
        <f>IF(MOV_CC_INTL!B753="","",MOV_CC_INTL!B753)</f>
        <v/>
      </c>
      <c r="C753" s="22" t="str">
        <f>IF(MOV_CC_INTL!C753="","",MOV_CC_INTL!C753)</f>
        <v/>
      </c>
      <c r="D753" s="22" t="str">
        <f t="shared" si="1"/>
        <v>Other</v>
      </c>
      <c r="E753" s="21" t="str">
        <f>IF(C753="","",C753*CONFIG!B5)</f>
        <v/>
      </c>
    </row>
    <row r="754" ht="15.75" customHeight="1">
      <c r="A754" s="22" t="str">
        <f>IF(MOV_CC_INTL!A754="","",MOV_CC_INTL!A754)</f>
        <v/>
      </c>
      <c r="B754" s="22" t="str">
        <f>IF(MOV_CC_INTL!B754="","",MOV_CC_INTL!B754)</f>
        <v/>
      </c>
      <c r="C754" s="22" t="str">
        <f>IF(MOV_CC_INTL!C754="","",MOV_CC_INTL!C754)</f>
        <v/>
      </c>
      <c r="D754" s="22" t="str">
        <f t="shared" si="1"/>
        <v>Other</v>
      </c>
      <c r="E754" s="21" t="str">
        <f>IF(C754="","",C754*CONFIG!B5)</f>
        <v/>
      </c>
    </row>
    <row r="755" ht="15.75" customHeight="1">
      <c r="A755" s="22" t="str">
        <f>IF(MOV_CC_INTL!A755="","",MOV_CC_INTL!A755)</f>
        <v/>
      </c>
      <c r="B755" s="22" t="str">
        <f>IF(MOV_CC_INTL!B755="","",MOV_CC_INTL!B755)</f>
        <v/>
      </c>
      <c r="C755" s="22" t="str">
        <f>IF(MOV_CC_INTL!C755="","",MOV_CC_INTL!C755)</f>
        <v/>
      </c>
      <c r="D755" s="22" t="str">
        <f t="shared" si="1"/>
        <v>Other</v>
      </c>
      <c r="E755" s="21" t="str">
        <f>IF(C755="","",C755*CONFIG!B5)</f>
        <v/>
      </c>
    </row>
    <row r="756" ht="15.75" customHeight="1">
      <c r="A756" s="22" t="str">
        <f>IF(MOV_CC_INTL!A756="","",MOV_CC_INTL!A756)</f>
        <v/>
      </c>
      <c r="B756" s="22" t="str">
        <f>IF(MOV_CC_INTL!B756="","",MOV_CC_INTL!B756)</f>
        <v/>
      </c>
      <c r="C756" s="22" t="str">
        <f>IF(MOV_CC_INTL!C756="","",MOV_CC_INTL!C756)</f>
        <v/>
      </c>
      <c r="D756" s="22" t="str">
        <f t="shared" si="1"/>
        <v>Other</v>
      </c>
      <c r="E756" s="21" t="str">
        <f>IF(C756="","",C756*CONFIG!B5)</f>
        <v/>
      </c>
    </row>
    <row r="757" ht="15.75" customHeight="1">
      <c r="A757" s="22" t="str">
        <f>IF(MOV_CC_INTL!A757="","",MOV_CC_INTL!A757)</f>
        <v/>
      </c>
      <c r="B757" s="22" t="str">
        <f>IF(MOV_CC_INTL!B757="","",MOV_CC_INTL!B757)</f>
        <v/>
      </c>
      <c r="C757" s="22" t="str">
        <f>IF(MOV_CC_INTL!C757="","",MOV_CC_INTL!C757)</f>
        <v/>
      </c>
      <c r="D757" s="22" t="str">
        <f t="shared" si="1"/>
        <v>Other</v>
      </c>
      <c r="E757" s="21" t="str">
        <f>IF(C757="","",C757*CONFIG!B5)</f>
        <v/>
      </c>
    </row>
    <row r="758" ht="15.75" customHeight="1">
      <c r="A758" s="22" t="str">
        <f>IF(MOV_CC_INTL!A758="","",MOV_CC_INTL!A758)</f>
        <v/>
      </c>
      <c r="B758" s="22" t="str">
        <f>IF(MOV_CC_INTL!B758="","",MOV_CC_INTL!B758)</f>
        <v/>
      </c>
      <c r="C758" s="22" t="str">
        <f>IF(MOV_CC_INTL!C758="","",MOV_CC_INTL!C758)</f>
        <v/>
      </c>
      <c r="D758" s="22" t="str">
        <f t="shared" si="1"/>
        <v>Other</v>
      </c>
      <c r="E758" s="21" t="str">
        <f>IF(C758="","",C758*CONFIG!B5)</f>
        <v/>
      </c>
    </row>
    <row r="759" ht="15.75" customHeight="1">
      <c r="A759" s="22" t="str">
        <f>IF(MOV_CC_INTL!A759="","",MOV_CC_INTL!A759)</f>
        <v/>
      </c>
      <c r="B759" s="22" t="str">
        <f>IF(MOV_CC_INTL!B759="","",MOV_CC_INTL!B759)</f>
        <v/>
      </c>
      <c r="C759" s="22" t="str">
        <f>IF(MOV_CC_INTL!C759="","",MOV_CC_INTL!C759)</f>
        <v/>
      </c>
      <c r="D759" s="22" t="str">
        <f t="shared" si="1"/>
        <v>Other</v>
      </c>
      <c r="E759" s="21" t="str">
        <f>IF(C759="","",C759*CONFIG!B5)</f>
        <v/>
      </c>
    </row>
    <row r="760" ht="15.75" customHeight="1">
      <c r="A760" s="22" t="str">
        <f>IF(MOV_CC_INTL!A760="","",MOV_CC_INTL!A760)</f>
        <v/>
      </c>
      <c r="B760" s="22" t="str">
        <f>IF(MOV_CC_INTL!B760="","",MOV_CC_INTL!B760)</f>
        <v/>
      </c>
      <c r="C760" s="22" t="str">
        <f>IF(MOV_CC_INTL!C760="","",MOV_CC_INTL!C760)</f>
        <v/>
      </c>
      <c r="D760" s="22" t="str">
        <f t="shared" si="1"/>
        <v>Other</v>
      </c>
      <c r="E760" s="21" t="str">
        <f>IF(C760="","",C760*CONFIG!B5)</f>
        <v/>
      </c>
    </row>
    <row r="761" ht="15.75" customHeight="1">
      <c r="A761" s="22" t="str">
        <f>IF(MOV_CC_INTL!A761="","",MOV_CC_INTL!A761)</f>
        <v/>
      </c>
      <c r="B761" s="22" t="str">
        <f>IF(MOV_CC_INTL!B761="","",MOV_CC_INTL!B761)</f>
        <v/>
      </c>
      <c r="C761" s="22" t="str">
        <f>IF(MOV_CC_INTL!C761="","",MOV_CC_INTL!C761)</f>
        <v/>
      </c>
      <c r="D761" s="22" t="str">
        <f t="shared" si="1"/>
        <v>Other</v>
      </c>
      <c r="E761" s="21" t="str">
        <f>IF(C761="","",C761*CONFIG!B5)</f>
        <v/>
      </c>
    </row>
    <row r="762" ht="15.75" customHeight="1">
      <c r="A762" s="22" t="str">
        <f>IF(MOV_CC_INTL!A762="","",MOV_CC_INTL!A762)</f>
        <v/>
      </c>
      <c r="B762" s="22" t="str">
        <f>IF(MOV_CC_INTL!B762="","",MOV_CC_INTL!B762)</f>
        <v/>
      </c>
      <c r="C762" s="22" t="str">
        <f>IF(MOV_CC_INTL!C762="","",MOV_CC_INTL!C762)</f>
        <v/>
      </c>
      <c r="D762" s="22" t="str">
        <f t="shared" si="1"/>
        <v>Other</v>
      </c>
      <c r="E762" s="21" t="str">
        <f>IF(C762="","",C762*CONFIG!B5)</f>
        <v/>
      </c>
    </row>
    <row r="763" ht="15.75" customHeight="1">
      <c r="A763" s="22" t="str">
        <f>IF(MOV_CC_INTL!A763="","",MOV_CC_INTL!A763)</f>
        <v/>
      </c>
      <c r="B763" s="22" t="str">
        <f>IF(MOV_CC_INTL!B763="","",MOV_CC_INTL!B763)</f>
        <v/>
      </c>
      <c r="C763" s="22" t="str">
        <f>IF(MOV_CC_INTL!C763="","",MOV_CC_INTL!C763)</f>
        <v/>
      </c>
      <c r="D763" s="22" t="str">
        <f t="shared" si="1"/>
        <v>Other</v>
      </c>
      <c r="E763" s="21" t="str">
        <f>IF(C763="","",C763*CONFIG!B5)</f>
        <v/>
      </c>
    </row>
    <row r="764" ht="15.75" customHeight="1">
      <c r="A764" s="22" t="str">
        <f>IF(MOV_CC_INTL!A764="","",MOV_CC_INTL!A764)</f>
        <v/>
      </c>
      <c r="B764" s="22" t="str">
        <f>IF(MOV_CC_INTL!B764="","",MOV_CC_INTL!B764)</f>
        <v/>
      </c>
      <c r="C764" s="22" t="str">
        <f>IF(MOV_CC_INTL!C764="","",MOV_CC_INTL!C764)</f>
        <v/>
      </c>
      <c r="D764" s="22" t="str">
        <f t="shared" si="1"/>
        <v>Other</v>
      </c>
      <c r="E764" s="21" t="str">
        <f>IF(C764="","",C764*CONFIG!B5)</f>
        <v/>
      </c>
    </row>
    <row r="765" ht="15.75" customHeight="1">
      <c r="A765" s="22" t="str">
        <f>IF(MOV_CC_INTL!A765="","",MOV_CC_INTL!A765)</f>
        <v/>
      </c>
      <c r="B765" s="22" t="str">
        <f>IF(MOV_CC_INTL!B765="","",MOV_CC_INTL!B765)</f>
        <v/>
      </c>
      <c r="C765" s="22" t="str">
        <f>IF(MOV_CC_INTL!C765="","",MOV_CC_INTL!C765)</f>
        <v/>
      </c>
      <c r="D765" s="22" t="str">
        <f t="shared" si="1"/>
        <v>Other</v>
      </c>
      <c r="E765" s="21" t="str">
        <f>IF(C765="","",C765*CONFIG!B5)</f>
        <v/>
      </c>
    </row>
    <row r="766" ht="15.75" customHeight="1">
      <c r="A766" s="22" t="str">
        <f>IF(MOV_CC_INTL!A766="","",MOV_CC_INTL!A766)</f>
        <v/>
      </c>
      <c r="B766" s="22" t="str">
        <f>IF(MOV_CC_INTL!B766="","",MOV_CC_INTL!B766)</f>
        <v/>
      </c>
      <c r="C766" s="22" t="str">
        <f>IF(MOV_CC_INTL!C766="","",MOV_CC_INTL!C766)</f>
        <v/>
      </c>
      <c r="D766" s="22" t="str">
        <f t="shared" si="1"/>
        <v>Other</v>
      </c>
      <c r="E766" s="21" t="str">
        <f>IF(C766="","",C766*CONFIG!B5)</f>
        <v/>
      </c>
    </row>
    <row r="767" ht="15.75" customHeight="1">
      <c r="A767" s="22" t="str">
        <f>IF(MOV_CC_INTL!A767="","",MOV_CC_INTL!A767)</f>
        <v/>
      </c>
      <c r="B767" s="22" t="str">
        <f>IF(MOV_CC_INTL!B767="","",MOV_CC_INTL!B767)</f>
        <v/>
      </c>
      <c r="C767" s="22" t="str">
        <f>IF(MOV_CC_INTL!C767="","",MOV_CC_INTL!C767)</f>
        <v/>
      </c>
      <c r="D767" s="22" t="str">
        <f t="shared" si="1"/>
        <v>Other</v>
      </c>
      <c r="E767" s="21" t="str">
        <f>IF(C767="","",C767*CONFIG!B5)</f>
        <v/>
      </c>
    </row>
    <row r="768" ht="15.75" customHeight="1">
      <c r="A768" s="22" t="str">
        <f>IF(MOV_CC_INTL!A768="","",MOV_CC_INTL!A768)</f>
        <v/>
      </c>
      <c r="B768" s="22" t="str">
        <f>IF(MOV_CC_INTL!B768="","",MOV_CC_INTL!B768)</f>
        <v/>
      </c>
      <c r="C768" s="22" t="str">
        <f>IF(MOV_CC_INTL!C768="","",MOV_CC_INTL!C768)</f>
        <v/>
      </c>
      <c r="D768" s="22" t="str">
        <f t="shared" si="1"/>
        <v>Other</v>
      </c>
      <c r="E768" s="21" t="str">
        <f>IF(C768="","",C768*CONFIG!B5)</f>
        <v/>
      </c>
    </row>
    <row r="769" ht="15.75" customHeight="1">
      <c r="A769" s="22" t="str">
        <f>IF(MOV_CC_INTL!A769="","",MOV_CC_INTL!A769)</f>
        <v/>
      </c>
      <c r="B769" s="22" t="str">
        <f>IF(MOV_CC_INTL!B769="","",MOV_CC_INTL!B769)</f>
        <v/>
      </c>
      <c r="C769" s="22" t="str">
        <f>IF(MOV_CC_INTL!C769="","",MOV_CC_INTL!C769)</f>
        <v/>
      </c>
      <c r="D769" s="22" t="str">
        <f t="shared" si="1"/>
        <v>Other</v>
      </c>
      <c r="E769" s="21" t="str">
        <f>IF(C769="","",C769*CONFIG!B5)</f>
        <v/>
      </c>
    </row>
    <row r="770" ht="15.75" customHeight="1">
      <c r="A770" s="22" t="str">
        <f>IF(MOV_CC_INTL!A770="","",MOV_CC_INTL!A770)</f>
        <v/>
      </c>
      <c r="B770" s="22" t="str">
        <f>IF(MOV_CC_INTL!B770="","",MOV_CC_INTL!B770)</f>
        <v/>
      </c>
      <c r="C770" s="22" t="str">
        <f>IF(MOV_CC_INTL!C770="","",MOV_CC_INTL!C770)</f>
        <v/>
      </c>
      <c r="D770" s="22" t="str">
        <f t="shared" si="1"/>
        <v>Other</v>
      </c>
      <c r="E770" s="21" t="str">
        <f>IF(C770="","",C770*CONFIG!B5)</f>
        <v/>
      </c>
    </row>
    <row r="771" ht="15.75" customHeight="1">
      <c r="A771" s="22" t="str">
        <f>IF(MOV_CC_INTL!A771="","",MOV_CC_INTL!A771)</f>
        <v/>
      </c>
      <c r="B771" s="22" t="str">
        <f>IF(MOV_CC_INTL!B771="","",MOV_CC_INTL!B771)</f>
        <v/>
      </c>
      <c r="C771" s="22" t="str">
        <f>IF(MOV_CC_INTL!C771="","",MOV_CC_INTL!C771)</f>
        <v/>
      </c>
      <c r="D771" s="22" t="str">
        <f t="shared" si="1"/>
        <v>Other</v>
      </c>
      <c r="E771" s="21" t="str">
        <f>IF(C771="","",C771*CONFIG!B5)</f>
        <v/>
      </c>
    </row>
    <row r="772" ht="15.75" customHeight="1">
      <c r="A772" s="22" t="str">
        <f>IF(MOV_CC_INTL!A772="","",MOV_CC_INTL!A772)</f>
        <v/>
      </c>
      <c r="B772" s="22" t="str">
        <f>IF(MOV_CC_INTL!B772="","",MOV_CC_INTL!B772)</f>
        <v/>
      </c>
      <c r="C772" s="22" t="str">
        <f>IF(MOV_CC_INTL!C772="","",MOV_CC_INTL!C772)</f>
        <v/>
      </c>
      <c r="D772" s="22" t="str">
        <f t="shared" si="1"/>
        <v>Other</v>
      </c>
      <c r="E772" s="21" t="str">
        <f>IF(C772="","",C772*CONFIG!B5)</f>
        <v/>
      </c>
    </row>
    <row r="773" ht="15.75" customHeight="1">
      <c r="A773" s="22" t="str">
        <f>IF(MOV_CC_INTL!A773="","",MOV_CC_INTL!A773)</f>
        <v/>
      </c>
      <c r="B773" s="22" t="str">
        <f>IF(MOV_CC_INTL!B773="","",MOV_CC_INTL!B773)</f>
        <v/>
      </c>
      <c r="C773" s="22" t="str">
        <f>IF(MOV_CC_INTL!C773="","",MOV_CC_INTL!C773)</f>
        <v/>
      </c>
      <c r="D773" s="22" t="str">
        <f t="shared" si="1"/>
        <v>Other</v>
      </c>
      <c r="E773" s="21" t="str">
        <f>IF(C773="","",C773*CONFIG!B5)</f>
        <v/>
      </c>
    </row>
    <row r="774" ht="15.75" customHeight="1">
      <c r="A774" s="22" t="str">
        <f>IF(MOV_CC_INTL!A774="","",MOV_CC_INTL!A774)</f>
        <v/>
      </c>
      <c r="B774" s="22" t="str">
        <f>IF(MOV_CC_INTL!B774="","",MOV_CC_INTL!B774)</f>
        <v/>
      </c>
      <c r="C774" s="22" t="str">
        <f>IF(MOV_CC_INTL!C774="","",MOV_CC_INTL!C774)</f>
        <v/>
      </c>
      <c r="D774" s="22" t="str">
        <f t="shared" si="1"/>
        <v>Other</v>
      </c>
      <c r="E774" s="21" t="str">
        <f>IF(C774="","",C774*CONFIG!B5)</f>
        <v/>
      </c>
    </row>
    <row r="775" ht="15.75" customHeight="1">
      <c r="A775" s="22" t="str">
        <f>IF(MOV_CC_INTL!A775="","",MOV_CC_INTL!A775)</f>
        <v/>
      </c>
      <c r="B775" s="22" t="str">
        <f>IF(MOV_CC_INTL!B775="","",MOV_CC_INTL!B775)</f>
        <v/>
      </c>
      <c r="C775" s="22" t="str">
        <f>IF(MOV_CC_INTL!C775="","",MOV_CC_INTL!C775)</f>
        <v/>
      </c>
      <c r="D775" s="22" t="str">
        <f t="shared" si="1"/>
        <v>Other</v>
      </c>
      <c r="E775" s="21" t="str">
        <f>IF(C775="","",C775*CONFIG!B5)</f>
        <v/>
      </c>
    </row>
    <row r="776" ht="15.75" customHeight="1">
      <c r="A776" s="22" t="str">
        <f>IF(MOV_CC_INTL!A776="","",MOV_CC_INTL!A776)</f>
        <v/>
      </c>
      <c r="B776" s="22" t="str">
        <f>IF(MOV_CC_INTL!B776="","",MOV_CC_INTL!B776)</f>
        <v/>
      </c>
      <c r="C776" s="22" t="str">
        <f>IF(MOV_CC_INTL!C776="","",MOV_CC_INTL!C776)</f>
        <v/>
      </c>
      <c r="D776" s="22" t="str">
        <f t="shared" si="1"/>
        <v>Other</v>
      </c>
      <c r="E776" s="21" t="str">
        <f>IF(C776="","",C776*CONFIG!B5)</f>
        <v/>
      </c>
    </row>
    <row r="777" ht="15.75" customHeight="1">
      <c r="A777" s="22" t="str">
        <f>IF(MOV_CC_INTL!A777="","",MOV_CC_INTL!A777)</f>
        <v/>
      </c>
      <c r="B777" s="22" t="str">
        <f>IF(MOV_CC_INTL!B777="","",MOV_CC_INTL!B777)</f>
        <v/>
      </c>
      <c r="C777" s="22" t="str">
        <f>IF(MOV_CC_INTL!C777="","",MOV_CC_INTL!C777)</f>
        <v/>
      </c>
      <c r="D777" s="22" t="str">
        <f t="shared" si="1"/>
        <v>Other</v>
      </c>
      <c r="E777" s="21" t="str">
        <f>IF(C777="","",C777*CONFIG!B5)</f>
        <v/>
      </c>
    </row>
    <row r="778" ht="15.75" customHeight="1">
      <c r="A778" s="22" t="str">
        <f>IF(MOV_CC_INTL!A778="","",MOV_CC_INTL!A778)</f>
        <v/>
      </c>
      <c r="B778" s="22" t="str">
        <f>IF(MOV_CC_INTL!B778="","",MOV_CC_INTL!B778)</f>
        <v/>
      </c>
      <c r="C778" s="22" t="str">
        <f>IF(MOV_CC_INTL!C778="","",MOV_CC_INTL!C778)</f>
        <v/>
      </c>
      <c r="D778" s="22" t="str">
        <f t="shared" si="1"/>
        <v>Other</v>
      </c>
      <c r="E778" s="21" t="str">
        <f>IF(C778="","",C778*CONFIG!B5)</f>
        <v/>
      </c>
    </row>
    <row r="779" ht="15.75" customHeight="1">
      <c r="A779" s="22" t="str">
        <f>IF(MOV_CC_INTL!A779="","",MOV_CC_INTL!A779)</f>
        <v/>
      </c>
      <c r="B779" s="22" t="str">
        <f>IF(MOV_CC_INTL!B779="","",MOV_CC_INTL!B779)</f>
        <v/>
      </c>
      <c r="C779" s="22" t="str">
        <f>IF(MOV_CC_INTL!C779="","",MOV_CC_INTL!C779)</f>
        <v/>
      </c>
      <c r="D779" s="22" t="str">
        <f t="shared" si="1"/>
        <v>Other</v>
      </c>
      <c r="E779" s="21" t="str">
        <f>IF(C779="","",C779*CONFIG!B5)</f>
        <v/>
      </c>
    </row>
    <row r="780" ht="15.75" customHeight="1">
      <c r="A780" s="22" t="str">
        <f>IF(MOV_CC_INTL!A780="","",MOV_CC_INTL!A780)</f>
        <v/>
      </c>
      <c r="B780" s="22" t="str">
        <f>IF(MOV_CC_INTL!B780="","",MOV_CC_INTL!B780)</f>
        <v/>
      </c>
      <c r="C780" s="22" t="str">
        <f>IF(MOV_CC_INTL!C780="","",MOV_CC_INTL!C780)</f>
        <v/>
      </c>
      <c r="D780" s="22" t="str">
        <f t="shared" si="1"/>
        <v>Other</v>
      </c>
      <c r="E780" s="21" t="str">
        <f>IF(C780="","",C780*CONFIG!B5)</f>
        <v/>
      </c>
    </row>
    <row r="781" ht="15.75" customHeight="1">
      <c r="A781" s="22" t="str">
        <f>IF(MOV_CC_INTL!A781="","",MOV_CC_INTL!A781)</f>
        <v/>
      </c>
      <c r="B781" s="22" t="str">
        <f>IF(MOV_CC_INTL!B781="","",MOV_CC_INTL!B781)</f>
        <v/>
      </c>
      <c r="C781" s="22" t="str">
        <f>IF(MOV_CC_INTL!C781="","",MOV_CC_INTL!C781)</f>
        <v/>
      </c>
      <c r="D781" s="22" t="str">
        <f t="shared" si="1"/>
        <v>Other</v>
      </c>
      <c r="E781" s="21" t="str">
        <f>IF(C781="","",C781*CONFIG!B5)</f>
        <v/>
      </c>
    </row>
    <row r="782" ht="15.75" customHeight="1">
      <c r="A782" s="22" t="str">
        <f>IF(MOV_CC_INTL!A782="","",MOV_CC_INTL!A782)</f>
        <v/>
      </c>
      <c r="B782" s="22" t="str">
        <f>IF(MOV_CC_INTL!B782="","",MOV_CC_INTL!B782)</f>
        <v/>
      </c>
      <c r="C782" s="22" t="str">
        <f>IF(MOV_CC_INTL!C782="","",MOV_CC_INTL!C782)</f>
        <v/>
      </c>
      <c r="D782" s="22" t="str">
        <f t="shared" si="1"/>
        <v>Other</v>
      </c>
      <c r="E782" s="21" t="str">
        <f>IF(C782="","",C782*CONFIG!B5)</f>
        <v/>
      </c>
    </row>
    <row r="783" ht="15.75" customHeight="1">
      <c r="A783" s="22" t="str">
        <f>IF(MOV_CC_INTL!A783="","",MOV_CC_INTL!A783)</f>
        <v/>
      </c>
      <c r="B783" s="22" t="str">
        <f>IF(MOV_CC_INTL!B783="","",MOV_CC_INTL!B783)</f>
        <v/>
      </c>
      <c r="C783" s="22" t="str">
        <f>IF(MOV_CC_INTL!C783="","",MOV_CC_INTL!C783)</f>
        <v/>
      </c>
      <c r="D783" s="22" t="str">
        <f t="shared" si="1"/>
        <v>Other</v>
      </c>
      <c r="E783" s="21" t="str">
        <f>IF(C783="","",C783*CONFIG!B5)</f>
        <v/>
      </c>
    </row>
    <row r="784" ht="15.75" customHeight="1">
      <c r="A784" s="22" t="str">
        <f>IF(MOV_CC_INTL!A784="","",MOV_CC_INTL!A784)</f>
        <v/>
      </c>
      <c r="B784" s="22" t="str">
        <f>IF(MOV_CC_INTL!B784="","",MOV_CC_INTL!B784)</f>
        <v/>
      </c>
      <c r="C784" s="22" t="str">
        <f>IF(MOV_CC_INTL!C784="","",MOV_CC_INTL!C784)</f>
        <v/>
      </c>
      <c r="D784" s="22" t="str">
        <f t="shared" si="1"/>
        <v>Other</v>
      </c>
      <c r="E784" s="21" t="str">
        <f>IF(C784="","",C784*CONFIG!B5)</f>
        <v/>
      </c>
    </row>
    <row r="785" ht="15.75" customHeight="1">
      <c r="A785" s="22" t="str">
        <f>IF(MOV_CC_INTL!A785="","",MOV_CC_INTL!A785)</f>
        <v/>
      </c>
      <c r="B785" s="22" t="str">
        <f>IF(MOV_CC_INTL!B785="","",MOV_CC_INTL!B785)</f>
        <v/>
      </c>
      <c r="C785" s="22" t="str">
        <f>IF(MOV_CC_INTL!C785="","",MOV_CC_INTL!C785)</f>
        <v/>
      </c>
      <c r="D785" s="22" t="str">
        <f t="shared" si="1"/>
        <v>Other</v>
      </c>
      <c r="E785" s="21" t="str">
        <f>IF(C785="","",C785*CONFIG!B5)</f>
        <v/>
      </c>
    </row>
    <row r="786" ht="15.75" customHeight="1">
      <c r="A786" s="22" t="str">
        <f>IF(MOV_CC_INTL!A786="","",MOV_CC_INTL!A786)</f>
        <v/>
      </c>
      <c r="B786" s="22" t="str">
        <f>IF(MOV_CC_INTL!B786="","",MOV_CC_INTL!B786)</f>
        <v/>
      </c>
      <c r="C786" s="22" t="str">
        <f>IF(MOV_CC_INTL!C786="","",MOV_CC_INTL!C786)</f>
        <v/>
      </c>
      <c r="D786" s="22" t="str">
        <f t="shared" si="1"/>
        <v>Other</v>
      </c>
      <c r="E786" s="21" t="str">
        <f>IF(C786="","",C786*CONFIG!B5)</f>
        <v/>
      </c>
    </row>
    <row r="787" ht="15.75" customHeight="1">
      <c r="A787" s="22" t="str">
        <f>IF(MOV_CC_INTL!A787="","",MOV_CC_INTL!A787)</f>
        <v/>
      </c>
      <c r="B787" s="22" t="str">
        <f>IF(MOV_CC_INTL!B787="","",MOV_CC_INTL!B787)</f>
        <v/>
      </c>
      <c r="C787" s="22" t="str">
        <f>IF(MOV_CC_INTL!C787="","",MOV_CC_INTL!C787)</f>
        <v/>
      </c>
      <c r="D787" s="22" t="str">
        <f t="shared" si="1"/>
        <v>Other</v>
      </c>
      <c r="E787" s="21" t="str">
        <f>IF(C787="","",C787*CONFIG!B5)</f>
        <v/>
      </c>
    </row>
    <row r="788" ht="15.75" customHeight="1">
      <c r="A788" s="22" t="str">
        <f>IF(MOV_CC_INTL!A788="","",MOV_CC_INTL!A788)</f>
        <v/>
      </c>
      <c r="B788" s="22" t="str">
        <f>IF(MOV_CC_INTL!B788="","",MOV_CC_INTL!B788)</f>
        <v/>
      </c>
      <c r="C788" s="22" t="str">
        <f>IF(MOV_CC_INTL!C788="","",MOV_CC_INTL!C788)</f>
        <v/>
      </c>
      <c r="D788" s="22" t="str">
        <f t="shared" si="1"/>
        <v>Other</v>
      </c>
      <c r="E788" s="21" t="str">
        <f>IF(C788="","",C788*CONFIG!B5)</f>
        <v/>
      </c>
    </row>
    <row r="789" ht="15.75" customHeight="1">
      <c r="A789" s="22" t="str">
        <f>IF(MOV_CC_INTL!A789="","",MOV_CC_INTL!A789)</f>
        <v/>
      </c>
      <c r="B789" s="22" t="str">
        <f>IF(MOV_CC_INTL!B789="","",MOV_CC_INTL!B789)</f>
        <v/>
      </c>
      <c r="C789" s="22" t="str">
        <f>IF(MOV_CC_INTL!C789="","",MOV_CC_INTL!C789)</f>
        <v/>
      </c>
      <c r="D789" s="22" t="str">
        <f t="shared" si="1"/>
        <v>Other</v>
      </c>
      <c r="E789" s="21" t="str">
        <f>IF(C789="","",C789*CONFIG!B5)</f>
        <v/>
      </c>
    </row>
    <row r="790" ht="15.75" customHeight="1">
      <c r="A790" s="22" t="str">
        <f>IF(MOV_CC_INTL!A790="","",MOV_CC_INTL!A790)</f>
        <v/>
      </c>
      <c r="B790" s="22" t="str">
        <f>IF(MOV_CC_INTL!B790="","",MOV_CC_INTL!B790)</f>
        <v/>
      </c>
      <c r="C790" s="22" t="str">
        <f>IF(MOV_CC_INTL!C790="","",MOV_CC_INTL!C790)</f>
        <v/>
      </c>
      <c r="D790" s="22" t="str">
        <f t="shared" si="1"/>
        <v>Other</v>
      </c>
      <c r="E790" s="21" t="str">
        <f>IF(C790="","",C790*CONFIG!B5)</f>
        <v/>
      </c>
    </row>
    <row r="791" ht="15.75" customHeight="1">
      <c r="A791" s="22" t="str">
        <f>IF(MOV_CC_INTL!A791="","",MOV_CC_INTL!A791)</f>
        <v/>
      </c>
      <c r="B791" s="22" t="str">
        <f>IF(MOV_CC_INTL!B791="","",MOV_CC_INTL!B791)</f>
        <v/>
      </c>
      <c r="C791" s="22" t="str">
        <f>IF(MOV_CC_INTL!C791="","",MOV_CC_INTL!C791)</f>
        <v/>
      </c>
      <c r="D791" s="22" t="str">
        <f t="shared" si="1"/>
        <v>Other</v>
      </c>
      <c r="E791" s="21" t="str">
        <f>IF(C791="","",C791*CONFIG!B5)</f>
        <v/>
      </c>
    </row>
    <row r="792" ht="15.75" customHeight="1">
      <c r="A792" s="22" t="str">
        <f>IF(MOV_CC_INTL!A792="","",MOV_CC_INTL!A792)</f>
        <v/>
      </c>
      <c r="B792" s="22" t="str">
        <f>IF(MOV_CC_INTL!B792="","",MOV_CC_INTL!B792)</f>
        <v/>
      </c>
      <c r="C792" s="22" t="str">
        <f>IF(MOV_CC_INTL!C792="","",MOV_CC_INTL!C792)</f>
        <v/>
      </c>
      <c r="D792" s="22" t="str">
        <f t="shared" si="1"/>
        <v>Other</v>
      </c>
      <c r="E792" s="21" t="str">
        <f>IF(C792="","",C792*CONFIG!B5)</f>
        <v/>
      </c>
    </row>
    <row r="793" ht="15.75" customHeight="1">
      <c r="A793" s="22" t="str">
        <f>IF(MOV_CC_INTL!A793="","",MOV_CC_INTL!A793)</f>
        <v/>
      </c>
      <c r="B793" s="22" t="str">
        <f>IF(MOV_CC_INTL!B793="","",MOV_CC_INTL!B793)</f>
        <v/>
      </c>
      <c r="C793" s="22" t="str">
        <f>IF(MOV_CC_INTL!C793="","",MOV_CC_INTL!C793)</f>
        <v/>
      </c>
      <c r="D793" s="22" t="str">
        <f t="shared" si="1"/>
        <v>Other</v>
      </c>
      <c r="E793" s="21" t="str">
        <f>IF(C793="","",C793*CONFIG!B5)</f>
        <v/>
      </c>
    </row>
    <row r="794" ht="15.75" customHeight="1">
      <c r="A794" s="22" t="str">
        <f>IF(MOV_CC_INTL!A794="","",MOV_CC_INTL!A794)</f>
        <v/>
      </c>
      <c r="B794" s="22" t="str">
        <f>IF(MOV_CC_INTL!B794="","",MOV_CC_INTL!B794)</f>
        <v/>
      </c>
      <c r="C794" s="22" t="str">
        <f>IF(MOV_CC_INTL!C794="","",MOV_CC_INTL!C794)</f>
        <v/>
      </c>
      <c r="D794" s="22" t="str">
        <f t="shared" si="1"/>
        <v>Other</v>
      </c>
      <c r="E794" s="21" t="str">
        <f>IF(C794="","",C794*CONFIG!B5)</f>
        <v/>
      </c>
    </row>
    <row r="795" ht="15.75" customHeight="1">
      <c r="A795" s="22" t="str">
        <f>IF(MOV_CC_INTL!A795="","",MOV_CC_INTL!A795)</f>
        <v/>
      </c>
      <c r="B795" s="22" t="str">
        <f>IF(MOV_CC_INTL!B795="","",MOV_CC_INTL!B795)</f>
        <v/>
      </c>
      <c r="C795" s="22" t="str">
        <f>IF(MOV_CC_INTL!C795="","",MOV_CC_INTL!C795)</f>
        <v/>
      </c>
      <c r="D795" s="22" t="str">
        <f t="shared" si="1"/>
        <v>Other</v>
      </c>
      <c r="E795" s="21" t="str">
        <f>IF(C795="","",C795*CONFIG!B5)</f>
        <v/>
      </c>
    </row>
    <row r="796" ht="15.75" customHeight="1">
      <c r="A796" s="22" t="str">
        <f>IF(MOV_CC_INTL!A796="","",MOV_CC_INTL!A796)</f>
        <v/>
      </c>
      <c r="B796" s="22" t="str">
        <f>IF(MOV_CC_INTL!B796="","",MOV_CC_INTL!B796)</f>
        <v/>
      </c>
      <c r="C796" s="22" t="str">
        <f>IF(MOV_CC_INTL!C796="","",MOV_CC_INTL!C796)</f>
        <v/>
      </c>
      <c r="D796" s="22" t="str">
        <f t="shared" si="1"/>
        <v>Other</v>
      </c>
      <c r="E796" s="21" t="str">
        <f>IF(C796="","",C796*CONFIG!B5)</f>
        <v/>
      </c>
    </row>
    <row r="797" ht="15.75" customHeight="1">
      <c r="A797" s="22" t="str">
        <f>IF(MOV_CC_INTL!A797="","",MOV_CC_INTL!A797)</f>
        <v/>
      </c>
      <c r="B797" s="22" t="str">
        <f>IF(MOV_CC_INTL!B797="","",MOV_CC_INTL!B797)</f>
        <v/>
      </c>
      <c r="C797" s="22" t="str">
        <f>IF(MOV_CC_INTL!C797="","",MOV_CC_INTL!C797)</f>
        <v/>
      </c>
      <c r="D797" s="22" t="str">
        <f t="shared" si="1"/>
        <v>Other</v>
      </c>
      <c r="E797" s="21" t="str">
        <f>IF(C797="","",C797*CONFIG!B5)</f>
        <v/>
      </c>
    </row>
    <row r="798" ht="15.75" customHeight="1">
      <c r="A798" s="22" t="str">
        <f>IF(MOV_CC_INTL!A798="","",MOV_CC_INTL!A798)</f>
        <v/>
      </c>
      <c r="B798" s="22" t="str">
        <f>IF(MOV_CC_INTL!B798="","",MOV_CC_INTL!B798)</f>
        <v/>
      </c>
      <c r="C798" s="22" t="str">
        <f>IF(MOV_CC_INTL!C798="","",MOV_CC_INTL!C798)</f>
        <v/>
      </c>
      <c r="D798" s="22" t="str">
        <f t="shared" si="1"/>
        <v>Other</v>
      </c>
      <c r="E798" s="21" t="str">
        <f>IF(C798="","",C798*CONFIG!B5)</f>
        <v/>
      </c>
    </row>
    <row r="799" ht="15.75" customHeight="1">
      <c r="A799" s="22" t="str">
        <f>IF(MOV_CC_INTL!A799="","",MOV_CC_INTL!A799)</f>
        <v/>
      </c>
      <c r="B799" s="22" t="str">
        <f>IF(MOV_CC_INTL!B799="","",MOV_CC_INTL!B799)</f>
        <v/>
      </c>
      <c r="C799" s="22" t="str">
        <f>IF(MOV_CC_INTL!C799="","",MOV_CC_INTL!C799)</f>
        <v/>
      </c>
      <c r="D799" s="22" t="str">
        <f t="shared" si="1"/>
        <v>Other</v>
      </c>
      <c r="E799" s="21" t="str">
        <f>IF(C799="","",C799*CONFIG!B5)</f>
        <v/>
      </c>
    </row>
    <row r="800" ht="15.75" customHeight="1">
      <c r="A800" s="22" t="str">
        <f>IF(MOV_CC_INTL!A800="","",MOV_CC_INTL!A800)</f>
        <v/>
      </c>
      <c r="B800" s="22" t="str">
        <f>IF(MOV_CC_INTL!B800="","",MOV_CC_INTL!B800)</f>
        <v/>
      </c>
      <c r="C800" s="22" t="str">
        <f>IF(MOV_CC_INTL!C800="","",MOV_CC_INTL!C800)</f>
        <v/>
      </c>
      <c r="D800" s="22" t="str">
        <f t="shared" si="1"/>
        <v>Other</v>
      </c>
      <c r="E800" s="21" t="str">
        <f>IF(C800="","",C800*CONFIG!B5)</f>
        <v/>
      </c>
    </row>
    <row r="801" ht="15.75" customHeight="1">
      <c r="A801" s="22" t="str">
        <f>IF(MOV_CC_INTL!A801="","",MOV_CC_INTL!A801)</f>
        <v/>
      </c>
      <c r="B801" s="22" t="str">
        <f>IF(MOV_CC_INTL!B801="","",MOV_CC_INTL!B801)</f>
        <v/>
      </c>
      <c r="C801" s="22" t="str">
        <f>IF(MOV_CC_INTL!C801="","",MOV_CC_INTL!C801)</f>
        <v/>
      </c>
      <c r="D801" s="22" t="str">
        <f t="shared" si="1"/>
        <v>Other</v>
      </c>
      <c r="E801" s="21" t="str">
        <f>IF(C801="","",C801*CONFIG!B5)</f>
        <v/>
      </c>
    </row>
    <row r="802" ht="15.75" customHeight="1">
      <c r="A802" s="22" t="str">
        <f>IF(MOV_CC_INTL!A802="","",MOV_CC_INTL!A802)</f>
        <v/>
      </c>
      <c r="B802" s="22" t="str">
        <f>IF(MOV_CC_INTL!B802="","",MOV_CC_INTL!B802)</f>
        <v/>
      </c>
      <c r="C802" s="22" t="str">
        <f>IF(MOV_CC_INTL!C802="","",MOV_CC_INTL!C802)</f>
        <v/>
      </c>
      <c r="D802" s="22" t="str">
        <f t="shared" si="1"/>
        <v>Other</v>
      </c>
      <c r="E802" s="21" t="str">
        <f>IF(C802="","",C802*CONFIG!B5)</f>
        <v/>
      </c>
    </row>
    <row r="803" ht="15.75" customHeight="1">
      <c r="A803" s="22" t="str">
        <f>IF(MOV_CC_INTL!A803="","",MOV_CC_INTL!A803)</f>
        <v/>
      </c>
      <c r="B803" s="22" t="str">
        <f>IF(MOV_CC_INTL!B803="","",MOV_CC_INTL!B803)</f>
        <v/>
      </c>
      <c r="C803" s="22" t="str">
        <f>IF(MOV_CC_INTL!C803="","",MOV_CC_INTL!C803)</f>
        <v/>
      </c>
      <c r="D803" s="22" t="str">
        <f t="shared" si="1"/>
        <v>Other</v>
      </c>
      <c r="E803" s="21" t="str">
        <f>IF(C803="","",C803*CONFIG!B5)</f>
        <v/>
      </c>
    </row>
    <row r="804" ht="15.75" customHeight="1">
      <c r="A804" s="22" t="str">
        <f>IF(MOV_CC_INTL!A804="","",MOV_CC_INTL!A804)</f>
        <v/>
      </c>
      <c r="B804" s="22" t="str">
        <f>IF(MOV_CC_INTL!B804="","",MOV_CC_INTL!B804)</f>
        <v/>
      </c>
      <c r="C804" s="22" t="str">
        <f>IF(MOV_CC_INTL!C804="","",MOV_CC_INTL!C804)</f>
        <v/>
      </c>
      <c r="D804" s="22" t="str">
        <f t="shared" si="1"/>
        <v>Other</v>
      </c>
      <c r="E804" s="21" t="str">
        <f>IF(C804="","",C804*CONFIG!B5)</f>
        <v/>
      </c>
    </row>
    <row r="805" ht="15.75" customHeight="1">
      <c r="A805" s="22" t="str">
        <f>IF(MOV_CC_INTL!A805="","",MOV_CC_INTL!A805)</f>
        <v/>
      </c>
      <c r="B805" s="22" t="str">
        <f>IF(MOV_CC_INTL!B805="","",MOV_CC_INTL!B805)</f>
        <v/>
      </c>
      <c r="C805" s="22" t="str">
        <f>IF(MOV_CC_INTL!C805="","",MOV_CC_INTL!C805)</f>
        <v/>
      </c>
      <c r="D805" s="22" t="str">
        <f t="shared" si="1"/>
        <v>Other</v>
      </c>
      <c r="E805" s="21" t="str">
        <f>IF(C805="","",C805*CONFIG!B5)</f>
        <v/>
      </c>
    </row>
    <row r="806" ht="15.75" customHeight="1">
      <c r="A806" s="22" t="str">
        <f>IF(MOV_CC_INTL!A806="","",MOV_CC_INTL!A806)</f>
        <v/>
      </c>
      <c r="B806" s="22" t="str">
        <f>IF(MOV_CC_INTL!B806="","",MOV_CC_INTL!B806)</f>
        <v/>
      </c>
      <c r="C806" s="22" t="str">
        <f>IF(MOV_CC_INTL!C806="","",MOV_CC_INTL!C806)</f>
        <v/>
      </c>
      <c r="D806" s="22" t="str">
        <f t="shared" si="1"/>
        <v>Other</v>
      </c>
      <c r="E806" s="21" t="str">
        <f>IF(C806="","",C806*CONFIG!B5)</f>
        <v/>
      </c>
    </row>
    <row r="807" ht="15.75" customHeight="1">
      <c r="A807" s="22" t="str">
        <f>IF(MOV_CC_INTL!A807="","",MOV_CC_INTL!A807)</f>
        <v/>
      </c>
      <c r="B807" s="22" t="str">
        <f>IF(MOV_CC_INTL!B807="","",MOV_CC_INTL!B807)</f>
        <v/>
      </c>
      <c r="C807" s="22" t="str">
        <f>IF(MOV_CC_INTL!C807="","",MOV_CC_INTL!C807)</f>
        <v/>
      </c>
      <c r="D807" s="22" t="str">
        <f t="shared" si="1"/>
        <v>Other</v>
      </c>
      <c r="E807" s="21" t="str">
        <f>IF(C807="","",C807*CONFIG!B5)</f>
        <v/>
      </c>
    </row>
    <row r="808" ht="15.75" customHeight="1">
      <c r="A808" s="22" t="str">
        <f>IF(MOV_CC_INTL!A808="","",MOV_CC_INTL!A808)</f>
        <v/>
      </c>
      <c r="B808" s="22" t="str">
        <f>IF(MOV_CC_INTL!B808="","",MOV_CC_INTL!B808)</f>
        <v/>
      </c>
      <c r="C808" s="22" t="str">
        <f>IF(MOV_CC_INTL!C808="","",MOV_CC_INTL!C808)</f>
        <v/>
      </c>
      <c r="D808" s="22" t="str">
        <f t="shared" si="1"/>
        <v>Other</v>
      </c>
      <c r="E808" s="21" t="str">
        <f>IF(C808="","",C808*CONFIG!B5)</f>
        <v/>
      </c>
    </row>
    <row r="809" ht="15.75" customHeight="1">
      <c r="A809" s="22" t="str">
        <f>IF(MOV_CC_INTL!A809="","",MOV_CC_INTL!A809)</f>
        <v/>
      </c>
      <c r="B809" s="22" t="str">
        <f>IF(MOV_CC_INTL!B809="","",MOV_CC_INTL!B809)</f>
        <v/>
      </c>
      <c r="C809" s="22" t="str">
        <f>IF(MOV_CC_INTL!C809="","",MOV_CC_INTL!C809)</f>
        <v/>
      </c>
      <c r="D809" s="22" t="str">
        <f t="shared" si="1"/>
        <v>Other</v>
      </c>
      <c r="E809" s="21" t="str">
        <f>IF(C809="","",C809*CONFIG!B5)</f>
        <v/>
      </c>
    </row>
    <row r="810" ht="15.75" customHeight="1">
      <c r="A810" s="22" t="str">
        <f>IF(MOV_CC_INTL!A810="","",MOV_CC_INTL!A810)</f>
        <v/>
      </c>
      <c r="B810" s="22" t="str">
        <f>IF(MOV_CC_INTL!B810="","",MOV_CC_INTL!B810)</f>
        <v/>
      </c>
      <c r="C810" s="22" t="str">
        <f>IF(MOV_CC_INTL!C810="","",MOV_CC_INTL!C810)</f>
        <v/>
      </c>
      <c r="D810" s="22" t="str">
        <f t="shared" si="1"/>
        <v>Other</v>
      </c>
      <c r="E810" s="21" t="str">
        <f>IF(C810="","",C810*CONFIG!B5)</f>
        <v/>
      </c>
    </row>
    <row r="811" ht="15.75" customHeight="1">
      <c r="A811" s="22" t="str">
        <f>IF(MOV_CC_INTL!A811="","",MOV_CC_INTL!A811)</f>
        <v/>
      </c>
      <c r="B811" s="22" t="str">
        <f>IF(MOV_CC_INTL!B811="","",MOV_CC_INTL!B811)</f>
        <v/>
      </c>
      <c r="C811" s="22" t="str">
        <f>IF(MOV_CC_INTL!C811="","",MOV_CC_INTL!C811)</f>
        <v/>
      </c>
      <c r="D811" s="22" t="str">
        <f t="shared" si="1"/>
        <v>Other</v>
      </c>
      <c r="E811" s="21" t="str">
        <f>IF(C811="","",C811*CONFIG!B5)</f>
        <v/>
      </c>
    </row>
    <row r="812" ht="15.75" customHeight="1">
      <c r="A812" s="22" t="str">
        <f>IF(MOV_CC_INTL!A812="","",MOV_CC_INTL!A812)</f>
        <v/>
      </c>
      <c r="B812" s="22" t="str">
        <f>IF(MOV_CC_INTL!B812="","",MOV_CC_INTL!B812)</f>
        <v/>
      </c>
      <c r="C812" s="22" t="str">
        <f>IF(MOV_CC_INTL!C812="","",MOV_CC_INTL!C812)</f>
        <v/>
      </c>
      <c r="D812" s="22" t="str">
        <f t="shared" si="1"/>
        <v>Other</v>
      </c>
      <c r="E812" s="21" t="str">
        <f>IF(C812="","",C812*CONFIG!B5)</f>
        <v/>
      </c>
    </row>
    <row r="813" ht="15.75" customHeight="1">
      <c r="A813" s="22" t="str">
        <f>IF(MOV_CC_INTL!A813="","",MOV_CC_INTL!A813)</f>
        <v/>
      </c>
      <c r="B813" s="22" t="str">
        <f>IF(MOV_CC_INTL!B813="","",MOV_CC_INTL!B813)</f>
        <v/>
      </c>
      <c r="C813" s="22" t="str">
        <f>IF(MOV_CC_INTL!C813="","",MOV_CC_INTL!C813)</f>
        <v/>
      </c>
      <c r="D813" s="22" t="str">
        <f t="shared" si="1"/>
        <v>Other</v>
      </c>
      <c r="E813" s="21" t="str">
        <f>IF(C813="","",C813*CONFIG!B5)</f>
        <v/>
      </c>
    </row>
    <row r="814" ht="15.75" customHeight="1">
      <c r="A814" s="22" t="str">
        <f>IF(MOV_CC_INTL!A814="","",MOV_CC_INTL!A814)</f>
        <v/>
      </c>
      <c r="B814" s="22" t="str">
        <f>IF(MOV_CC_INTL!B814="","",MOV_CC_INTL!B814)</f>
        <v/>
      </c>
      <c r="C814" s="22" t="str">
        <f>IF(MOV_CC_INTL!C814="","",MOV_CC_INTL!C814)</f>
        <v/>
      </c>
      <c r="D814" s="22" t="str">
        <f t="shared" si="1"/>
        <v>Other</v>
      </c>
      <c r="E814" s="21" t="str">
        <f>IF(C814="","",C814*CONFIG!B5)</f>
        <v/>
      </c>
    </row>
    <row r="815" ht="15.75" customHeight="1">
      <c r="A815" s="22" t="str">
        <f>IF(MOV_CC_INTL!A815="","",MOV_CC_INTL!A815)</f>
        <v/>
      </c>
      <c r="B815" s="22" t="str">
        <f>IF(MOV_CC_INTL!B815="","",MOV_CC_INTL!B815)</f>
        <v/>
      </c>
      <c r="C815" s="22" t="str">
        <f>IF(MOV_CC_INTL!C815="","",MOV_CC_INTL!C815)</f>
        <v/>
      </c>
      <c r="D815" s="22" t="str">
        <f t="shared" si="1"/>
        <v>Other</v>
      </c>
      <c r="E815" s="21" t="str">
        <f>IF(C815="","",C815*CONFIG!B5)</f>
        <v/>
      </c>
    </row>
    <row r="816" ht="15.75" customHeight="1">
      <c r="A816" s="22" t="str">
        <f>IF(MOV_CC_INTL!A816="","",MOV_CC_INTL!A816)</f>
        <v/>
      </c>
      <c r="B816" s="22" t="str">
        <f>IF(MOV_CC_INTL!B816="","",MOV_CC_INTL!B816)</f>
        <v/>
      </c>
      <c r="C816" s="22" t="str">
        <f>IF(MOV_CC_INTL!C816="","",MOV_CC_INTL!C816)</f>
        <v/>
      </c>
      <c r="D816" s="22" t="str">
        <f t="shared" si="1"/>
        <v>Other</v>
      </c>
      <c r="E816" s="21" t="str">
        <f>IF(C816="","",C816*CONFIG!B5)</f>
        <v/>
      </c>
    </row>
    <row r="817" ht="15.75" customHeight="1">
      <c r="A817" s="22" t="str">
        <f>IF(MOV_CC_INTL!A817="","",MOV_CC_INTL!A817)</f>
        <v/>
      </c>
      <c r="B817" s="22" t="str">
        <f>IF(MOV_CC_INTL!B817="","",MOV_CC_INTL!B817)</f>
        <v/>
      </c>
      <c r="C817" s="22" t="str">
        <f>IF(MOV_CC_INTL!C817="","",MOV_CC_INTL!C817)</f>
        <v/>
      </c>
      <c r="D817" s="22" t="str">
        <f t="shared" si="1"/>
        <v>Other</v>
      </c>
      <c r="E817" s="21" t="str">
        <f>IF(C817="","",C817*CONFIG!B5)</f>
        <v/>
      </c>
    </row>
    <row r="818" ht="15.75" customHeight="1">
      <c r="A818" s="22" t="str">
        <f>IF(MOV_CC_INTL!A818="","",MOV_CC_INTL!A818)</f>
        <v/>
      </c>
      <c r="B818" s="22" t="str">
        <f>IF(MOV_CC_INTL!B818="","",MOV_CC_INTL!B818)</f>
        <v/>
      </c>
      <c r="C818" s="22" t="str">
        <f>IF(MOV_CC_INTL!C818="","",MOV_CC_INTL!C818)</f>
        <v/>
      </c>
      <c r="D818" s="22" t="str">
        <f t="shared" si="1"/>
        <v>Other</v>
      </c>
      <c r="E818" s="21" t="str">
        <f>IF(C818="","",C818*CONFIG!B5)</f>
        <v/>
      </c>
    </row>
    <row r="819" ht="15.75" customHeight="1">
      <c r="A819" s="22" t="str">
        <f>IF(MOV_CC_INTL!A819="","",MOV_CC_INTL!A819)</f>
        <v/>
      </c>
      <c r="B819" s="22" t="str">
        <f>IF(MOV_CC_INTL!B819="","",MOV_CC_INTL!B819)</f>
        <v/>
      </c>
      <c r="C819" s="22" t="str">
        <f>IF(MOV_CC_INTL!C819="","",MOV_CC_INTL!C819)</f>
        <v/>
      </c>
      <c r="D819" s="22" t="str">
        <f t="shared" si="1"/>
        <v>Other</v>
      </c>
      <c r="E819" s="21" t="str">
        <f>IF(C819="","",C819*CONFIG!B5)</f>
        <v/>
      </c>
    </row>
    <row r="820" ht="15.75" customHeight="1">
      <c r="A820" s="22" t="str">
        <f>IF(MOV_CC_INTL!A820="","",MOV_CC_INTL!A820)</f>
        <v/>
      </c>
      <c r="B820" s="22" t="str">
        <f>IF(MOV_CC_INTL!B820="","",MOV_CC_INTL!B820)</f>
        <v/>
      </c>
      <c r="C820" s="22" t="str">
        <f>IF(MOV_CC_INTL!C820="","",MOV_CC_INTL!C820)</f>
        <v/>
      </c>
      <c r="D820" s="22" t="str">
        <f t="shared" si="1"/>
        <v>Other</v>
      </c>
      <c r="E820" s="21" t="str">
        <f>IF(C820="","",C820*CONFIG!B5)</f>
        <v/>
      </c>
    </row>
    <row r="821" ht="15.75" customHeight="1">
      <c r="A821" s="22" t="str">
        <f>IF(MOV_CC_INTL!A821="","",MOV_CC_INTL!A821)</f>
        <v/>
      </c>
      <c r="B821" s="22" t="str">
        <f>IF(MOV_CC_INTL!B821="","",MOV_CC_INTL!B821)</f>
        <v/>
      </c>
      <c r="C821" s="22" t="str">
        <f>IF(MOV_CC_INTL!C821="","",MOV_CC_INTL!C821)</f>
        <v/>
      </c>
      <c r="D821" s="22" t="str">
        <f t="shared" si="1"/>
        <v>Other</v>
      </c>
      <c r="E821" s="21" t="str">
        <f>IF(C821="","",C821*CONFIG!B5)</f>
        <v/>
      </c>
    </row>
    <row r="822" ht="15.75" customHeight="1">
      <c r="A822" s="22" t="str">
        <f>IF(MOV_CC_INTL!A822="","",MOV_CC_INTL!A822)</f>
        <v/>
      </c>
      <c r="B822" s="22" t="str">
        <f>IF(MOV_CC_INTL!B822="","",MOV_CC_INTL!B822)</f>
        <v/>
      </c>
      <c r="C822" s="22" t="str">
        <f>IF(MOV_CC_INTL!C822="","",MOV_CC_INTL!C822)</f>
        <v/>
      </c>
      <c r="D822" s="22" t="str">
        <f t="shared" si="1"/>
        <v>Other</v>
      </c>
      <c r="E822" s="21" t="str">
        <f>IF(C822="","",C822*CONFIG!B5)</f>
        <v/>
      </c>
    </row>
    <row r="823" ht="15.75" customHeight="1">
      <c r="A823" s="22" t="str">
        <f>IF(MOV_CC_INTL!A823="","",MOV_CC_INTL!A823)</f>
        <v/>
      </c>
      <c r="B823" s="22" t="str">
        <f>IF(MOV_CC_INTL!B823="","",MOV_CC_INTL!B823)</f>
        <v/>
      </c>
      <c r="C823" s="22" t="str">
        <f>IF(MOV_CC_INTL!C823="","",MOV_CC_INTL!C823)</f>
        <v/>
      </c>
      <c r="D823" s="22" t="str">
        <f t="shared" si="1"/>
        <v>Other</v>
      </c>
      <c r="E823" s="21" t="str">
        <f>IF(C823="","",C823*CONFIG!B5)</f>
        <v/>
      </c>
    </row>
    <row r="824" ht="15.75" customHeight="1">
      <c r="A824" s="22" t="str">
        <f>IF(MOV_CC_INTL!A824="","",MOV_CC_INTL!A824)</f>
        <v/>
      </c>
      <c r="B824" s="22" t="str">
        <f>IF(MOV_CC_INTL!B824="","",MOV_CC_INTL!B824)</f>
        <v/>
      </c>
      <c r="C824" s="22" t="str">
        <f>IF(MOV_CC_INTL!C824="","",MOV_CC_INTL!C824)</f>
        <v/>
      </c>
      <c r="D824" s="22" t="str">
        <f t="shared" si="1"/>
        <v>Other</v>
      </c>
      <c r="E824" s="21" t="str">
        <f>IF(C824="","",C824*CONFIG!B5)</f>
        <v/>
      </c>
    </row>
    <row r="825" ht="15.75" customHeight="1">
      <c r="A825" s="22" t="str">
        <f>IF(MOV_CC_INTL!A825="","",MOV_CC_INTL!A825)</f>
        <v/>
      </c>
      <c r="B825" s="22" t="str">
        <f>IF(MOV_CC_INTL!B825="","",MOV_CC_INTL!B825)</f>
        <v/>
      </c>
      <c r="C825" s="22" t="str">
        <f>IF(MOV_CC_INTL!C825="","",MOV_CC_INTL!C825)</f>
        <v/>
      </c>
      <c r="D825" s="22" t="str">
        <f t="shared" si="1"/>
        <v>Other</v>
      </c>
      <c r="E825" s="21" t="str">
        <f>IF(C825="","",C825*CONFIG!B5)</f>
        <v/>
      </c>
    </row>
    <row r="826" ht="15.75" customHeight="1">
      <c r="A826" s="22" t="str">
        <f>IF(MOV_CC_INTL!A826="","",MOV_CC_INTL!A826)</f>
        <v/>
      </c>
      <c r="B826" s="22" t="str">
        <f>IF(MOV_CC_INTL!B826="","",MOV_CC_INTL!B826)</f>
        <v/>
      </c>
      <c r="C826" s="22" t="str">
        <f>IF(MOV_CC_INTL!C826="","",MOV_CC_INTL!C826)</f>
        <v/>
      </c>
      <c r="D826" s="22" t="str">
        <f t="shared" si="1"/>
        <v>Other</v>
      </c>
      <c r="E826" s="21" t="str">
        <f>IF(C826="","",C826*CONFIG!B5)</f>
        <v/>
      </c>
    </row>
    <row r="827" ht="15.75" customHeight="1">
      <c r="A827" s="22" t="str">
        <f>IF(MOV_CC_INTL!A827="","",MOV_CC_INTL!A827)</f>
        <v/>
      </c>
      <c r="B827" s="22" t="str">
        <f>IF(MOV_CC_INTL!B827="","",MOV_CC_INTL!B827)</f>
        <v/>
      </c>
      <c r="C827" s="22" t="str">
        <f>IF(MOV_CC_INTL!C827="","",MOV_CC_INTL!C827)</f>
        <v/>
      </c>
      <c r="D827" s="22" t="str">
        <f t="shared" si="1"/>
        <v>Other</v>
      </c>
      <c r="E827" s="21" t="str">
        <f>IF(C827="","",C827*CONFIG!B5)</f>
        <v/>
      </c>
    </row>
    <row r="828" ht="15.75" customHeight="1">
      <c r="A828" s="22" t="str">
        <f>IF(MOV_CC_INTL!A828="","",MOV_CC_INTL!A828)</f>
        <v/>
      </c>
      <c r="B828" s="22" t="str">
        <f>IF(MOV_CC_INTL!B828="","",MOV_CC_INTL!B828)</f>
        <v/>
      </c>
      <c r="C828" s="22" t="str">
        <f>IF(MOV_CC_INTL!C828="","",MOV_CC_INTL!C828)</f>
        <v/>
      </c>
      <c r="D828" s="22" t="str">
        <f t="shared" si="1"/>
        <v>Other</v>
      </c>
      <c r="E828" s="21" t="str">
        <f>IF(C828="","",C828*CONFIG!B5)</f>
        <v/>
      </c>
    </row>
    <row r="829" ht="15.75" customHeight="1">
      <c r="A829" s="22" t="str">
        <f>IF(MOV_CC_INTL!A829="","",MOV_CC_INTL!A829)</f>
        <v/>
      </c>
      <c r="B829" s="22" t="str">
        <f>IF(MOV_CC_INTL!B829="","",MOV_CC_INTL!B829)</f>
        <v/>
      </c>
      <c r="C829" s="22" t="str">
        <f>IF(MOV_CC_INTL!C829="","",MOV_CC_INTL!C829)</f>
        <v/>
      </c>
      <c r="D829" s="22" t="str">
        <f t="shared" si="1"/>
        <v>Other</v>
      </c>
      <c r="E829" s="21" t="str">
        <f>IF(C829="","",C829*CONFIG!B5)</f>
        <v/>
      </c>
    </row>
    <row r="830" ht="15.75" customHeight="1">
      <c r="A830" s="22" t="str">
        <f>IF(MOV_CC_INTL!A830="","",MOV_CC_INTL!A830)</f>
        <v/>
      </c>
      <c r="B830" s="22" t="str">
        <f>IF(MOV_CC_INTL!B830="","",MOV_CC_INTL!B830)</f>
        <v/>
      </c>
      <c r="C830" s="22" t="str">
        <f>IF(MOV_CC_INTL!C830="","",MOV_CC_INTL!C830)</f>
        <v/>
      </c>
      <c r="D830" s="22" t="str">
        <f t="shared" si="1"/>
        <v>Other</v>
      </c>
      <c r="E830" s="21" t="str">
        <f>IF(C830="","",C830*CONFIG!B5)</f>
        <v/>
      </c>
    </row>
    <row r="831" ht="15.75" customHeight="1">
      <c r="A831" s="22" t="str">
        <f>IF(MOV_CC_INTL!A831="","",MOV_CC_INTL!A831)</f>
        <v/>
      </c>
      <c r="B831" s="22" t="str">
        <f>IF(MOV_CC_INTL!B831="","",MOV_CC_INTL!B831)</f>
        <v/>
      </c>
      <c r="C831" s="22" t="str">
        <f>IF(MOV_CC_INTL!C831="","",MOV_CC_INTL!C831)</f>
        <v/>
      </c>
      <c r="D831" s="22" t="str">
        <f t="shared" si="1"/>
        <v>Other</v>
      </c>
      <c r="E831" s="21" t="str">
        <f>IF(C831="","",C831*CONFIG!B5)</f>
        <v/>
      </c>
    </row>
    <row r="832" ht="15.75" customHeight="1">
      <c r="A832" s="22" t="str">
        <f>IF(MOV_CC_INTL!A832="","",MOV_CC_INTL!A832)</f>
        <v/>
      </c>
      <c r="B832" s="22" t="str">
        <f>IF(MOV_CC_INTL!B832="","",MOV_CC_INTL!B832)</f>
        <v/>
      </c>
      <c r="C832" s="22" t="str">
        <f>IF(MOV_CC_INTL!C832="","",MOV_CC_INTL!C832)</f>
        <v/>
      </c>
      <c r="D832" s="22" t="str">
        <f t="shared" si="1"/>
        <v>Other</v>
      </c>
      <c r="E832" s="21" t="str">
        <f>IF(C832="","",C832*CONFIG!B5)</f>
        <v/>
      </c>
    </row>
    <row r="833" ht="15.75" customHeight="1">
      <c r="A833" s="22" t="str">
        <f>IF(MOV_CC_INTL!A833="","",MOV_CC_INTL!A833)</f>
        <v/>
      </c>
      <c r="B833" s="22" t="str">
        <f>IF(MOV_CC_INTL!B833="","",MOV_CC_INTL!B833)</f>
        <v/>
      </c>
      <c r="C833" s="22" t="str">
        <f>IF(MOV_CC_INTL!C833="","",MOV_CC_INTL!C833)</f>
        <v/>
      </c>
      <c r="D833" s="22" t="str">
        <f t="shared" si="1"/>
        <v>Other</v>
      </c>
      <c r="E833" s="21" t="str">
        <f>IF(C833="","",C833*CONFIG!B5)</f>
        <v/>
      </c>
    </row>
    <row r="834" ht="15.75" customHeight="1">
      <c r="A834" s="22" t="str">
        <f>IF(MOV_CC_INTL!A834="","",MOV_CC_INTL!A834)</f>
        <v/>
      </c>
      <c r="B834" s="22" t="str">
        <f>IF(MOV_CC_INTL!B834="","",MOV_CC_INTL!B834)</f>
        <v/>
      </c>
      <c r="C834" s="22" t="str">
        <f>IF(MOV_CC_INTL!C834="","",MOV_CC_INTL!C834)</f>
        <v/>
      </c>
      <c r="D834" s="22" t="str">
        <f t="shared" si="1"/>
        <v>Other</v>
      </c>
      <c r="E834" s="21" t="str">
        <f>IF(C834="","",C834*CONFIG!B5)</f>
        <v/>
      </c>
    </row>
    <row r="835" ht="15.75" customHeight="1">
      <c r="A835" s="22" t="str">
        <f>IF(MOV_CC_INTL!A835="","",MOV_CC_INTL!A835)</f>
        <v/>
      </c>
      <c r="B835" s="22" t="str">
        <f>IF(MOV_CC_INTL!B835="","",MOV_CC_INTL!B835)</f>
        <v/>
      </c>
      <c r="C835" s="22" t="str">
        <f>IF(MOV_CC_INTL!C835="","",MOV_CC_INTL!C835)</f>
        <v/>
      </c>
      <c r="D835" s="22" t="str">
        <f t="shared" si="1"/>
        <v>Other</v>
      </c>
      <c r="E835" s="21" t="str">
        <f>IF(C835="","",C835*CONFIG!B5)</f>
        <v/>
      </c>
    </row>
    <row r="836" ht="15.75" customHeight="1">
      <c r="A836" s="22" t="str">
        <f>IF(MOV_CC_INTL!A836="","",MOV_CC_INTL!A836)</f>
        <v/>
      </c>
      <c r="B836" s="22" t="str">
        <f>IF(MOV_CC_INTL!B836="","",MOV_CC_INTL!B836)</f>
        <v/>
      </c>
      <c r="C836" s="22" t="str">
        <f>IF(MOV_CC_INTL!C836="","",MOV_CC_INTL!C836)</f>
        <v/>
      </c>
      <c r="D836" s="22" t="str">
        <f t="shared" si="1"/>
        <v>Other</v>
      </c>
      <c r="E836" s="21" t="str">
        <f>IF(C836="","",C836*CONFIG!B5)</f>
        <v/>
      </c>
    </row>
    <row r="837" ht="15.75" customHeight="1">
      <c r="A837" s="22" t="str">
        <f>IF(MOV_CC_INTL!A837="","",MOV_CC_INTL!A837)</f>
        <v/>
      </c>
      <c r="B837" s="22" t="str">
        <f>IF(MOV_CC_INTL!B837="","",MOV_CC_INTL!B837)</f>
        <v/>
      </c>
      <c r="C837" s="22" t="str">
        <f>IF(MOV_CC_INTL!C837="","",MOV_CC_INTL!C837)</f>
        <v/>
      </c>
      <c r="D837" s="22" t="str">
        <f t="shared" si="1"/>
        <v>Other</v>
      </c>
      <c r="E837" s="21" t="str">
        <f>IF(C837="","",C837*CONFIG!B5)</f>
        <v/>
      </c>
    </row>
    <row r="838" ht="15.75" customHeight="1">
      <c r="A838" s="22" t="str">
        <f>IF(MOV_CC_INTL!A838="","",MOV_CC_INTL!A838)</f>
        <v/>
      </c>
      <c r="B838" s="22" t="str">
        <f>IF(MOV_CC_INTL!B838="","",MOV_CC_INTL!B838)</f>
        <v/>
      </c>
      <c r="C838" s="22" t="str">
        <f>IF(MOV_CC_INTL!C838="","",MOV_CC_INTL!C838)</f>
        <v/>
      </c>
      <c r="D838" s="22" t="str">
        <f t="shared" si="1"/>
        <v>Other</v>
      </c>
      <c r="E838" s="21" t="str">
        <f>IF(C838="","",C838*CONFIG!B5)</f>
        <v/>
      </c>
    </row>
    <row r="839" ht="15.75" customHeight="1">
      <c r="A839" s="22" t="str">
        <f>IF(MOV_CC_INTL!A839="","",MOV_CC_INTL!A839)</f>
        <v/>
      </c>
      <c r="B839" s="22" t="str">
        <f>IF(MOV_CC_INTL!B839="","",MOV_CC_INTL!B839)</f>
        <v/>
      </c>
      <c r="C839" s="22" t="str">
        <f>IF(MOV_CC_INTL!C839="","",MOV_CC_INTL!C839)</f>
        <v/>
      </c>
      <c r="D839" s="22" t="str">
        <f t="shared" si="1"/>
        <v>Other</v>
      </c>
      <c r="E839" s="21" t="str">
        <f>IF(C839="","",C839*CONFIG!B5)</f>
        <v/>
      </c>
    </row>
    <row r="840" ht="15.75" customHeight="1">
      <c r="A840" s="22" t="str">
        <f>IF(MOV_CC_INTL!A840="","",MOV_CC_INTL!A840)</f>
        <v/>
      </c>
      <c r="B840" s="22" t="str">
        <f>IF(MOV_CC_INTL!B840="","",MOV_CC_INTL!B840)</f>
        <v/>
      </c>
      <c r="C840" s="22" t="str">
        <f>IF(MOV_CC_INTL!C840="","",MOV_CC_INTL!C840)</f>
        <v/>
      </c>
      <c r="D840" s="22" t="str">
        <f t="shared" si="1"/>
        <v>Other</v>
      </c>
      <c r="E840" s="21" t="str">
        <f>IF(C840="","",C840*CONFIG!B5)</f>
        <v/>
      </c>
    </row>
    <row r="841" ht="15.75" customHeight="1">
      <c r="A841" s="22" t="str">
        <f>IF(MOV_CC_INTL!A841="","",MOV_CC_INTL!A841)</f>
        <v/>
      </c>
      <c r="B841" s="22" t="str">
        <f>IF(MOV_CC_INTL!B841="","",MOV_CC_INTL!B841)</f>
        <v/>
      </c>
      <c r="C841" s="22" t="str">
        <f>IF(MOV_CC_INTL!C841="","",MOV_CC_INTL!C841)</f>
        <v/>
      </c>
      <c r="D841" s="22" t="str">
        <f t="shared" si="1"/>
        <v>Other</v>
      </c>
      <c r="E841" s="21" t="str">
        <f>IF(C841="","",C841*CONFIG!B5)</f>
        <v/>
      </c>
    </row>
    <row r="842" ht="15.75" customHeight="1">
      <c r="A842" s="22" t="str">
        <f>IF(MOV_CC_INTL!A842="","",MOV_CC_INTL!A842)</f>
        <v/>
      </c>
      <c r="B842" s="22" t="str">
        <f>IF(MOV_CC_INTL!B842="","",MOV_CC_INTL!B842)</f>
        <v/>
      </c>
      <c r="C842" s="22" t="str">
        <f>IF(MOV_CC_INTL!C842="","",MOV_CC_INTL!C842)</f>
        <v/>
      </c>
      <c r="D842" s="22" t="str">
        <f t="shared" si="1"/>
        <v>Other</v>
      </c>
      <c r="E842" s="21" t="str">
        <f>IF(C842="","",C842*CONFIG!B5)</f>
        <v/>
      </c>
    </row>
    <row r="843" ht="15.75" customHeight="1">
      <c r="A843" s="22" t="str">
        <f>IF(MOV_CC_INTL!A843="","",MOV_CC_INTL!A843)</f>
        <v/>
      </c>
      <c r="B843" s="22" t="str">
        <f>IF(MOV_CC_INTL!B843="","",MOV_CC_INTL!B843)</f>
        <v/>
      </c>
      <c r="C843" s="22" t="str">
        <f>IF(MOV_CC_INTL!C843="","",MOV_CC_INTL!C843)</f>
        <v/>
      </c>
      <c r="D843" s="22" t="str">
        <f t="shared" si="1"/>
        <v>Other</v>
      </c>
      <c r="E843" s="21" t="str">
        <f>IF(C843="","",C843*CONFIG!B5)</f>
        <v/>
      </c>
    </row>
    <row r="844" ht="15.75" customHeight="1">
      <c r="A844" s="22" t="str">
        <f>IF(MOV_CC_INTL!A844="","",MOV_CC_INTL!A844)</f>
        <v/>
      </c>
      <c r="B844" s="22" t="str">
        <f>IF(MOV_CC_INTL!B844="","",MOV_CC_INTL!B844)</f>
        <v/>
      </c>
      <c r="C844" s="22" t="str">
        <f>IF(MOV_CC_INTL!C844="","",MOV_CC_INTL!C844)</f>
        <v/>
      </c>
      <c r="D844" s="22" t="str">
        <f t="shared" si="1"/>
        <v>Other</v>
      </c>
      <c r="E844" s="21" t="str">
        <f>IF(C844="","",C844*CONFIG!B5)</f>
        <v/>
      </c>
    </row>
    <row r="845" ht="15.75" customHeight="1">
      <c r="A845" s="22" t="str">
        <f>IF(MOV_CC_INTL!A845="","",MOV_CC_INTL!A845)</f>
        <v/>
      </c>
      <c r="B845" s="22" t="str">
        <f>IF(MOV_CC_INTL!B845="","",MOV_CC_INTL!B845)</f>
        <v/>
      </c>
      <c r="C845" s="22" t="str">
        <f>IF(MOV_CC_INTL!C845="","",MOV_CC_INTL!C845)</f>
        <v/>
      </c>
      <c r="D845" s="22" t="str">
        <f t="shared" si="1"/>
        <v>Other</v>
      </c>
      <c r="E845" s="21" t="str">
        <f>IF(C845="","",C845*CONFIG!B5)</f>
        <v/>
      </c>
    </row>
    <row r="846" ht="15.75" customHeight="1">
      <c r="A846" s="22" t="str">
        <f>IF(MOV_CC_INTL!A846="","",MOV_CC_INTL!A846)</f>
        <v/>
      </c>
      <c r="B846" s="22" t="str">
        <f>IF(MOV_CC_INTL!B846="","",MOV_CC_INTL!B846)</f>
        <v/>
      </c>
      <c r="C846" s="22" t="str">
        <f>IF(MOV_CC_INTL!C846="","",MOV_CC_INTL!C846)</f>
        <v/>
      </c>
      <c r="D846" s="22" t="str">
        <f t="shared" si="1"/>
        <v>Other</v>
      </c>
      <c r="E846" s="21" t="str">
        <f>IF(C846="","",C846*CONFIG!B5)</f>
        <v/>
      </c>
    </row>
    <row r="847" ht="15.75" customHeight="1">
      <c r="A847" s="22" t="str">
        <f>IF(MOV_CC_INTL!A847="","",MOV_CC_INTL!A847)</f>
        <v/>
      </c>
      <c r="B847" s="22" t="str">
        <f>IF(MOV_CC_INTL!B847="","",MOV_CC_INTL!B847)</f>
        <v/>
      </c>
      <c r="C847" s="22" t="str">
        <f>IF(MOV_CC_INTL!C847="","",MOV_CC_INTL!C847)</f>
        <v/>
      </c>
      <c r="D847" s="22" t="str">
        <f t="shared" si="1"/>
        <v>Other</v>
      </c>
      <c r="E847" s="21" t="str">
        <f>IF(C847="","",C847*CONFIG!B5)</f>
        <v/>
      </c>
    </row>
    <row r="848" ht="15.75" customHeight="1">
      <c r="A848" s="22" t="str">
        <f>IF(MOV_CC_INTL!A848="","",MOV_CC_INTL!A848)</f>
        <v/>
      </c>
      <c r="B848" s="22" t="str">
        <f>IF(MOV_CC_INTL!B848="","",MOV_CC_INTL!B848)</f>
        <v/>
      </c>
      <c r="C848" s="22" t="str">
        <f>IF(MOV_CC_INTL!C848="","",MOV_CC_INTL!C848)</f>
        <v/>
      </c>
      <c r="D848" s="22" t="str">
        <f t="shared" si="1"/>
        <v>Other</v>
      </c>
      <c r="E848" s="21" t="str">
        <f>IF(C848="","",C848*CONFIG!B5)</f>
        <v/>
      </c>
    </row>
    <row r="849" ht="15.75" customHeight="1">
      <c r="A849" s="22" t="str">
        <f>IF(MOV_CC_INTL!A849="","",MOV_CC_INTL!A849)</f>
        <v/>
      </c>
      <c r="B849" s="22" t="str">
        <f>IF(MOV_CC_INTL!B849="","",MOV_CC_INTL!B849)</f>
        <v/>
      </c>
      <c r="C849" s="22" t="str">
        <f>IF(MOV_CC_INTL!C849="","",MOV_CC_INTL!C849)</f>
        <v/>
      </c>
      <c r="D849" s="22" t="str">
        <f t="shared" si="1"/>
        <v>Other</v>
      </c>
      <c r="E849" s="21" t="str">
        <f>IF(C849="","",C849*CONFIG!B5)</f>
        <v/>
      </c>
    </row>
    <row r="850" ht="15.75" customHeight="1">
      <c r="A850" s="22" t="str">
        <f>IF(MOV_CC_INTL!A850="","",MOV_CC_INTL!A850)</f>
        <v/>
      </c>
      <c r="B850" s="22" t="str">
        <f>IF(MOV_CC_INTL!B850="","",MOV_CC_INTL!B850)</f>
        <v/>
      </c>
      <c r="C850" s="22" t="str">
        <f>IF(MOV_CC_INTL!C850="","",MOV_CC_INTL!C850)</f>
        <v/>
      </c>
      <c r="D850" s="22" t="str">
        <f t="shared" si="1"/>
        <v>Other</v>
      </c>
      <c r="E850" s="21" t="str">
        <f>IF(C850="","",C850*CONFIG!B5)</f>
        <v/>
      </c>
    </row>
    <row r="851" ht="15.75" customHeight="1">
      <c r="A851" s="22" t="str">
        <f>IF(MOV_CC_INTL!A851="","",MOV_CC_INTL!A851)</f>
        <v/>
      </c>
      <c r="B851" s="22" t="str">
        <f>IF(MOV_CC_INTL!B851="","",MOV_CC_INTL!B851)</f>
        <v/>
      </c>
      <c r="C851" s="22" t="str">
        <f>IF(MOV_CC_INTL!C851="","",MOV_CC_INTL!C851)</f>
        <v/>
      </c>
      <c r="D851" s="22" t="str">
        <f t="shared" si="1"/>
        <v>Other</v>
      </c>
      <c r="E851" s="21" t="str">
        <f>IF(C851="","",C851*CONFIG!B5)</f>
        <v/>
      </c>
    </row>
    <row r="852" ht="15.75" customHeight="1">
      <c r="A852" s="22" t="str">
        <f>IF(MOV_CC_INTL!A852="","",MOV_CC_INTL!A852)</f>
        <v/>
      </c>
      <c r="B852" s="22" t="str">
        <f>IF(MOV_CC_INTL!B852="","",MOV_CC_INTL!B852)</f>
        <v/>
      </c>
      <c r="C852" s="22" t="str">
        <f>IF(MOV_CC_INTL!C852="","",MOV_CC_INTL!C852)</f>
        <v/>
      </c>
      <c r="D852" s="22" t="str">
        <f t="shared" si="1"/>
        <v>Other</v>
      </c>
      <c r="E852" s="21" t="str">
        <f>IF(C852="","",C852*CONFIG!B5)</f>
        <v/>
      </c>
    </row>
    <row r="853" ht="15.75" customHeight="1">
      <c r="A853" s="22" t="str">
        <f>IF(MOV_CC_INTL!A853="","",MOV_CC_INTL!A853)</f>
        <v/>
      </c>
      <c r="B853" s="22" t="str">
        <f>IF(MOV_CC_INTL!B853="","",MOV_CC_INTL!B853)</f>
        <v/>
      </c>
      <c r="C853" s="22" t="str">
        <f>IF(MOV_CC_INTL!C853="","",MOV_CC_INTL!C853)</f>
        <v/>
      </c>
      <c r="D853" s="22" t="str">
        <f t="shared" si="1"/>
        <v>Other</v>
      </c>
      <c r="E853" s="21" t="str">
        <f>IF(C853="","",C853*CONFIG!B5)</f>
        <v/>
      </c>
    </row>
    <row r="854" ht="15.75" customHeight="1">
      <c r="A854" s="22" t="str">
        <f>IF(MOV_CC_INTL!A854="","",MOV_CC_INTL!A854)</f>
        <v/>
      </c>
      <c r="B854" s="22" t="str">
        <f>IF(MOV_CC_INTL!B854="","",MOV_CC_INTL!B854)</f>
        <v/>
      </c>
      <c r="C854" s="22" t="str">
        <f>IF(MOV_CC_INTL!C854="","",MOV_CC_INTL!C854)</f>
        <v/>
      </c>
      <c r="D854" s="22" t="str">
        <f t="shared" si="1"/>
        <v>Other</v>
      </c>
      <c r="E854" s="21" t="str">
        <f>IF(C854="","",C854*CONFIG!B5)</f>
        <v/>
      </c>
    </row>
    <row r="855" ht="15.75" customHeight="1">
      <c r="A855" s="22" t="str">
        <f>IF(MOV_CC_INTL!A855="","",MOV_CC_INTL!A855)</f>
        <v/>
      </c>
      <c r="B855" s="22" t="str">
        <f>IF(MOV_CC_INTL!B855="","",MOV_CC_INTL!B855)</f>
        <v/>
      </c>
      <c r="C855" s="22" t="str">
        <f>IF(MOV_CC_INTL!C855="","",MOV_CC_INTL!C855)</f>
        <v/>
      </c>
      <c r="D855" s="22" t="str">
        <f t="shared" si="1"/>
        <v>Other</v>
      </c>
      <c r="E855" s="21" t="str">
        <f>IF(C855="","",C855*CONFIG!B5)</f>
        <v/>
      </c>
    </row>
    <row r="856" ht="15.75" customHeight="1">
      <c r="A856" s="22" t="str">
        <f>IF(MOV_CC_INTL!A856="","",MOV_CC_INTL!A856)</f>
        <v/>
      </c>
      <c r="B856" s="22" t="str">
        <f>IF(MOV_CC_INTL!B856="","",MOV_CC_INTL!B856)</f>
        <v/>
      </c>
      <c r="C856" s="22" t="str">
        <f>IF(MOV_CC_INTL!C856="","",MOV_CC_INTL!C856)</f>
        <v/>
      </c>
      <c r="D856" s="22" t="str">
        <f t="shared" si="1"/>
        <v>Other</v>
      </c>
      <c r="E856" s="21" t="str">
        <f>IF(C856="","",C856*CONFIG!B5)</f>
        <v/>
      </c>
    </row>
    <row r="857" ht="15.75" customHeight="1">
      <c r="A857" s="22" t="str">
        <f>IF(MOV_CC_INTL!A857="","",MOV_CC_INTL!A857)</f>
        <v/>
      </c>
      <c r="B857" s="22" t="str">
        <f>IF(MOV_CC_INTL!B857="","",MOV_CC_INTL!B857)</f>
        <v/>
      </c>
      <c r="C857" s="22" t="str">
        <f>IF(MOV_CC_INTL!C857="","",MOV_CC_INTL!C857)</f>
        <v/>
      </c>
      <c r="D857" s="22" t="str">
        <f t="shared" si="1"/>
        <v>Other</v>
      </c>
      <c r="E857" s="21" t="str">
        <f>IF(C857="","",C857*CONFIG!B5)</f>
        <v/>
      </c>
    </row>
    <row r="858" ht="15.75" customHeight="1">
      <c r="A858" s="22" t="str">
        <f>IF(MOV_CC_INTL!A858="","",MOV_CC_INTL!A858)</f>
        <v/>
      </c>
      <c r="B858" s="22" t="str">
        <f>IF(MOV_CC_INTL!B858="","",MOV_CC_INTL!B858)</f>
        <v/>
      </c>
      <c r="C858" s="22" t="str">
        <f>IF(MOV_CC_INTL!C858="","",MOV_CC_INTL!C858)</f>
        <v/>
      </c>
      <c r="D858" s="22" t="str">
        <f t="shared" si="1"/>
        <v>Other</v>
      </c>
      <c r="E858" s="21" t="str">
        <f>IF(C858="","",C858*CONFIG!B5)</f>
        <v/>
      </c>
    </row>
    <row r="859" ht="15.75" customHeight="1">
      <c r="A859" s="22" t="str">
        <f>IF(MOV_CC_INTL!A859="","",MOV_CC_INTL!A859)</f>
        <v/>
      </c>
      <c r="B859" s="22" t="str">
        <f>IF(MOV_CC_INTL!B859="","",MOV_CC_INTL!B859)</f>
        <v/>
      </c>
      <c r="C859" s="22" t="str">
        <f>IF(MOV_CC_INTL!C859="","",MOV_CC_INTL!C859)</f>
        <v/>
      </c>
      <c r="D859" s="22" t="str">
        <f t="shared" si="1"/>
        <v>Other</v>
      </c>
      <c r="E859" s="21" t="str">
        <f>IF(C859="","",C859*CONFIG!B5)</f>
        <v/>
      </c>
    </row>
    <row r="860" ht="15.75" customHeight="1">
      <c r="A860" s="22" t="str">
        <f>IF(MOV_CC_INTL!A860="","",MOV_CC_INTL!A860)</f>
        <v/>
      </c>
      <c r="B860" s="22" t="str">
        <f>IF(MOV_CC_INTL!B860="","",MOV_CC_INTL!B860)</f>
        <v/>
      </c>
      <c r="C860" s="22" t="str">
        <f>IF(MOV_CC_INTL!C860="","",MOV_CC_INTL!C860)</f>
        <v/>
      </c>
      <c r="D860" s="22" t="str">
        <f t="shared" si="1"/>
        <v>Other</v>
      </c>
      <c r="E860" s="21" t="str">
        <f>IF(C860="","",C860*CONFIG!B5)</f>
        <v/>
      </c>
    </row>
    <row r="861" ht="15.75" customHeight="1">
      <c r="A861" s="22" t="str">
        <f>IF(MOV_CC_INTL!A861="","",MOV_CC_INTL!A861)</f>
        <v/>
      </c>
      <c r="B861" s="22" t="str">
        <f>IF(MOV_CC_INTL!B861="","",MOV_CC_INTL!B861)</f>
        <v/>
      </c>
      <c r="C861" s="22" t="str">
        <f>IF(MOV_CC_INTL!C861="","",MOV_CC_INTL!C861)</f>
        <v/>
      </c>
      <c r="D861" s="22" t="str">
        <f t="shared" si="1"/>
        <v>Other</v>
      </c>
      <c r="E861" s="21" t="str">
        <f>IF(C861="","",C861*CONFIG!B5)</f>
        <v/>
      </c>
    </row>
    <row r="862" ht="15.75" customHeight="1">
      <c r="A862" s="22" t="str">
        <f>IF(MOV_CC_INTL!A862="","",MOV_CC_INTL!A862)</f>
        <v/>
      </c>
      <c r="B862" s="22" t="str">
        <f>IF(MOV_CC_INTL!B862="","",MOV_CC_INTL!B862)</f>
        <v/>
      </c>
      <c r="C862" s="22" t="str">
        <f>IF(MOV_CC_INTL!C862="","",MOV_CC_INTL!C862)</f>
        <v/>
      </c>
      <c r="D862" s="22" t="str">
        <f t="shared" si="1"/>
        <v>Other</v>
      </c>
      <c r="E862" s="21" t="str">
        <f>IF(C862="","",C862*CONFIG!B5)</f>
        <v/>
      </c>
    </row>
    <row r="863" ht="15.75" customHeight="1">
      <c r="A863" s="22" t="str">
        <f>IF(MOV_CC_INTL!A863="","",MOV_CC_INTL!A863)</f>
        <v/>
      </c>
      <c r="B863" s="22" t="str">
        <f>IF(MOV_CC_INTL!B863="","",MOV_CC_INTL!B863)</f>
        <v/>
      </c>
      <c r="C863" s="22" t="str">
        <f>IF(MOV_CC_INTL!C863="","",MOV_CC_INTL!C863)</f>
        <v/>
      </c>
      <c r="D863" s="22" t="str">
        <f t="shared" si="1"/>
        <v>Other</v>
      </c>
      <c r="E863" s="21" t="str">
        <f>IF(C863="","",C863*CONFIG!B5)</f>
        <v/>
      </c>
    </row>
    <row r="864" ht="15.75" customHeight="1">
      <c r="A864" s="22" t="str">
        <f>IF(MOV_CC_INTL!A864="","",MOV_CC_INTL!A864)</f>
        <v/>
      </c>
      <c r="B864" s="22" t="str">
        <f>IF(MOV_CC_INTL!B864="","",MOV_CC_INTL!B864)</f>
        <v/>
      </c>
      <c r="C864" s="22" t="str">
        <f>IF(MOV_CC_INTL!C864="","",MOV_CC_INTL!C864)</f>
        <v/>
      </c>
      <c r="D864" s="22" t="str">
        <f t="shared" si="1"/>
        <v>Other</v>
      </c>
      <c r="E864" s="21" t="str">
        <f>IF(C864="","",C864*CONFIG!B5)</f>
        <v/>
      </c>
    </row>
    <row r="865" ht="15.75" customHeight="1">
      <c r="A865" s="22" t="str">
        <f>IF(MOV_CC_INTL!A865="","",MOV_CC_INTL!A865)</f>
        <v/>
      </c>
      <c r="B865" s="22" t="str">
        <f>IF(MOV_CC_INTL!B865="","",MOV_CC_INTL!B865)</f>
        <v/>
      </c>
      <c r="C865" s="22" t="str">
        <f>IF(MOV_CC_INTL!C865="","",MOV_CC_INTL!C865)</f>
        <v/>
      </c>
      <c r="D865" s="22" t="str">
        <f t="shared" si="1"/>
        <v>Other</v>
      </c>
      <c r="E865" s="21" t="str">
        <f>IF(C865="","",C865*CONFIG!B5)</f>
        <v/>
      </c>
    </row>
    <row r="866" ht="15.75" customHeight="1">
      <c r="A866" s="22" t="str">
        <f>IF(MOV_CC_INTL!A866="","",MOV_CC_INTL!A866)</f>
        <v/>
      </c>
      <c r="B866" s="22" t="str">
        <f>IF(MOV_CC_INTL!B866="","",MOV_CC_INTL!B866)</f>
        <v/>
      </c>
      <c r="C866" s="22" t="str">
        <f>IF(MOV_CC_INTL!C866="","",MOV_CC_INTL!C866)</f>
        <v/>
      </c>
      <c r="D866" s="22" t="str">
        <f t="shared" si="1"/>
        <v>Other</v>
      </c>
      <c r="E866" s="21" t="str">
        <f>IF(C866="","",C866*CONFIG!B5)</f>
        <v/>
      </c>
    </row>
    <row r="867" ht="15.75" customHeight="1">
      <c r="A867" s="22" t="str">
        <f>IF(MOV_CC_INTL!A867="","",MOV_CC_INTL!A867)</f>
        <v/>
      </c>
      <c r="B867" s="22" t="str">
        <f>IF(MOV_CC_INTL!B867="","",MOV_CC_INTL!B867)</f>
        <v/>
      </c>
      <c r="C867" s="22" t="str">
        <f>IF(MOV_CC_INTL!C867="","",MOV_CC_INTL!C867)</f>
        <v/>
      </c>
      <c r="D867" s="22" t="str">
        <f t="shared" si="1"/>
        <v>Other</v>
      </c>
      <c r="E867" s="21" t="str">
        <f>IF(C867="","",C867*CONFIG!B5)</f>
        <v/>
      </c>
    </row>
    <row r="868" ht="15.75" customHeight="1">
      <c r="A868" s="22" t="str">
        <f>IF(MOV_CC_INTL!A868="","",MOV_CC_INTL!A868)</f>
        <v/>
      </c>
      <c r="B868" s="22" t="str">
        <f>IF(MOV_CC_INTL!B868="","",MOV_CC_INTL!B868)</f>
        <v/>
      </c>
      <c r="C868" s="22" t="str">
        <f>IF(MOV_CC_INTL!C868="","",MOV_CC_INTL!C868)</f>
        <v/>
      </c>
      <c r="D868" s="22" t="str">
        <f t="shared" si="1"/>
        <v>Other</v>
      </c>
      <c r="E868" s="21" t="str">
        <f>IF(C868="","",C868*CONFIG!B5)</f>
        <v/>
      </c>
    </row>
    <row r="869" ht="15.75" customHeight="1">
      <c r="A869" s="22" t="str">
        <f>IF(MOV_CC_INTL!A869="","",MOV_CC_INTL!A869)</f>
        <v/>
      </c>
      <c r="B869" s="22" t="str">
        <f>IF(MOV_CC_INTL!B869="","",MOV_CC_INTL!B869)</f>
        <v/>
      </c>
      <c r="C869" s="22" t="str">
        <f>IF(MOV_CC_INTL!C869="","",MOV_CC_INTL!C869)</f>
        <v/>
      </c>
      <c r="D869" s="22" t="str">
        <f t="shared" si="1"/>
        <v>Other</v>
      </c>
      <c r="E869" s="21" t="str">
        <f>IF(C869="","",C869*CONFIG!B5)</f>
        <v/>
      </c>
    </row>
    <row r="870" ht="15.75" customHeight="1">
      <c r="A870" s="22" t="str">
        <f>IF(MOV_CC_INTL!A870="","",MOV_CC_INTL!A870)</f>
        <v/>
      </c>
      <c r="B870" s="22" t="str">
        <f>IF(MOV_CC_INTL!B870="","",MOV_CC_INTL!B870)</f>
        <v/>
      </c>
      <c r="C870" s="22" t="str">
        <f>IF(MOV_CC_INTL!C870="","",MOV_CC_INTL!C870)</f>
        <v/>
      </c>
      <c r="D870" s="22" t="str">
        <f t="shared" si="1"/>
        <v>Other</v>
      </c>
      <c r="E870" s="21" t="str">
        <f>IF(C870="","",C870*CONFIG!B5)</f>
        <v/>
      </c>
    </row>
    <row r="871" ht="15.75" customHeight="1">
      <c r="A871" s="22" t="str">
        <f>IF(MOV_CC_INTL!A871="","",MOV_CC_INTL!A871)</f>
        <v/>
      </c>
      <c r="B871" s="22" t="str">
        <f>IF(MOV_CC_INTL!B871="","",MOV_CC_INTL!B871)</f>
        <v/>
      </c>
      <c r="C871" s="22" t="str">
        <f>IF(MOV_CC_INTL!C871="","",MOV_CC_INTL!C871)</f>
        <v/>
      </c>
      <c r="D871" s="22" t="str">
        <f t="shared" si="1"/>
        <v>Other</v>
      </c>
      <c r="E871" s="21" t="str">
        <f>IF(C871="","",C871*CONFIG!B5)</f>
        <v/>
      </c>
    </row>
    <row r="872" ht="15.75" customHeight="1">
      <c r="A872" s="22" t="str">
        <f>IF(MOV_CC_INTL!A872="","",MOV_CC_INTL!A872)</f>
        <v/>
      </c>
      <c r="B872" s="22" t="str">
        <f>IF(MOV_CC_INTL!B872="","",MOV_CC_INTL!B872)</f>
        <v/>
      </c>
      <c r="C872" s="22" t="str">
        <f>IF(MOV_CC_INTL!C872="","",MOV_CC_INTL!C872)</f>
        <v/>
      </c>
      <c r="D872" s="22" t="str">
        <f t="shared" si="1"/>
        <v>Other</v>
      </c>
      <c r="E872" s="21" t="str">
        <f>IF(C872="","",C872*CONFIG!B5)</f>
        <v/>
      </c>
    </row>
    <row r="873" ht="15.75" customHeight="1">
      <c r="A873" s="22" t="str">
        <f>IF(MOV_CC_INTL!A873="","",MOV_CC_INTL!A873)</f>
        <v/>
      </c>
      <c r="B873" s="22" t="str">
        <f>IF(MOV_CC_INTL!B873="","",MOV_CC_INTL!B873)</f>
        <v/>
      </c>
      <c r="C873" s="22" t="str">
        <f>IF(MOV_CC_INTL!C873="","",MOV_CC_INTL!C873)</f>
        <v/>
      </c>
      <c r="D873" s="22" t="str">
        <f t="shared" si="1"/>
        <v>Other</v>
      </c>
      <c r="E873" s="21" t="str">
        <f>IF(C873="","",C873*CONFIG!B5)</f>
        <v/>
      </c>
    </row>
    <row r="874" ht="15.75" customHeight="1">
      <c r="A874" s="22" t="str">
        <f>IF(MOV_CC_INTL!A874="","",MOV_CC_INTL!A874)</f>
        <v/>
      </c>
      <c r="B874" s="22" t="str">
        <f>IF(MOV_CC_INTL!B874="","",MOV_CC_INTL!B874)</f>
        <v/>
      </c>
      <c r="C874" s="22" t="str">
        <f>IF(MOV_CC_INTL!C874="","",MOV_CC_INTL!C874)</f>
        <v/>
      </c>
      <c r="D874" s="22" t="str">
        <f t="shared" si="1"/>
        <v>Other</v>
      </c>
      <c r="E874" s="21" t="str">
        <f>IF(C874="","",C874*CONFIG!B5)</f>
        <v/>
      </c>
    </row>
    <row r="875" ht="15.75" customHeight="1">
      <c r="A875" s="22" t="str">
        <f>IF(MOV_CC_INTL!A875="","",MOV_CC_INTL!A875)</f>
        <v/>
      </c>
      <c r="B875" s="22" t="str">
        <f>IF(MOV_CC_INTL!B875="","",MOV_CC_INTL!B875)</f>
        <v/>
      </c>
      <c r="C875" s="22" t="str">
        <f>IF(MOV_CC_INTL!C875="","",MOV_CC_INTL!C875)</f>
        <v/>
      </c>
      <c r="D875" s="22" t="str">
        <f t="shared" si="1"/>
        <v>Other</v>
      </c>
      <c r="E875" s="21" t="str">
        <f>IF(C875="","",C875*CONFIG!B5)</f>
        <v/>
      </c>
    </row>
    <row r="876" ht="15.75" customHeight="1">
      <c r="A876" s="22" t="str">
        <f>IF(MOV_CC_INTL!A876="","",MOV_CC_INTL!A876)</f>
        <v/>
      </c>
      <c r="B876" s="22" t="str">
        <f>IF(MOV_CC_INTL!B876="","",MOV_CC_INTL!B876)</f>
        <v/>
      </c>
      <c r="C876" s="22" t="str">
        <f>IF(MOV_CC_INTL!C876="","",MOV_CC_INTL!C876)</f>
        <v/>
      </c>
      <c r="D876" s="22" t="str">
        <f t="shared" si="1"/>
        <v>Other</v>
      </c>
      <c r="E876" s="21" t="str">
        <f>IF(C876="","",C876*CONFIG!B5)</f>
        <v/>
      </c>
    </row>
    <row r="877" ht="15.75" customHeight="1">
      <c r="A877" s="22" t="str">
        <f>IF(MOV_CC_INTL!A877="","",MOV_CC_INTL!A877)</f>
        <v/>
      </c>
      <c r="B877" s="22" t="str">
        <f>IF(MOV_CC_INTL!B877="","",MOV_CC_INTL!B877)</f>
        <v/>
      </c>
      <c r="C877" s="22" t="str">
        <f>IF(MOV_CC_INTL!C877="","",MOV_CC_INTL!C877)</f>
        <v/>
      </c>
      <c r="D877" s="22" t="str">
        <f t="shared" si="1"/>
        <v>Other</v>
      </c>
      <c r="E877" s="21" t="str">
        <f>IF(C877="","",C877*CONFIG!B5)</f>
        <v/>
      </c>
    </row>
    <row r="878" ht="15.75" customHeight="1">
      <c r="A878" s="22" t="str">
        <f>IF(MOV_CC_INTL!A878="","",MOV_CC_INTL!A878)</f>
        <v/>
      </c>
      <c r="B878" s="22" t="str">
        <f>IF(MOV_CC_INTL!B878="","",MOV_CC_INTL!B878)</f>
        <v/>
      </c>
      <c r="C878" s="22" t="str">
        <f>IF(MOV_CC_INTL!C878="","",MOV_CC_INTL!C878)</f>
        <v/>
      </c>
      <c r="D878" s="22" t="str">
        <f t="shared" si="1"/>
        <v>Other</v>
      </c>
      <c r="E878" s="21" t="str">
        <f>IF(C878="","",C878*CONFIG!B5)</f>
        <v/>
      </c>
    </row>
    <row r="879" ht="15.75" customHeight="1">
      <c r="A879" s="22" t="str">
        <f>IF(MOV_CC_INTL!A879="","",MOV_CC_INTL!A879)</f>
        <v/>
      </c>
      <c r="B879" s="22" t="str">
        <f>IF(MOV_CC_INTL!B879="","",MOV_CC_INTL!B879)</f>
        <v/>
      </c>
      <c r="C879" s="22" t="str">
        <f>IF(MOV_CC_INTL!C879="","",MOV_CC_INTL!C879)</f>
        <v/>
      </c>
      <c r="D879" s="22" t="str">
        <f t="shared" si="1"/>
        <v>Other</v>
      </c>
      <c r="E879" s="21" t="str">
        <f>IF(C879="","",C879*CONFIG!B5)</f>
        <v/>
      </c>
    </row>
    <row r="880" ht="15.75" customHeight="1">
      <c r="A880" s="22" t="str">
        <f>IF(MOV_CC_INTL!A880="","",MOV_CC_INTL!A880)</f>
        <v/>
      </c>
      <c r="B880" s="22" t="str">
        <f>IF(MOV_CC_INTL!B880="","",MOV_CC_INTL!B880)</f>
        <v/>
      </c>
      <c r="C880" s="22" t="str">
        <f>IF(MOV_CC_INTL!C880="","",MOV_CC_INTL!C880)</f>
        <v/>
      </c>
      <c r="D880" s="22" t="str">
        <f t="shared" si="1"/>
        <v>Other</v>
      </c>
      <c r="E880" s="21" t="str">
        <f>IF(C880="","",C880*CONFIG!B5)</f>
        <v/>
      </c>
    </row>
    <row r="881" ht="15.75" customHeight="1">
      <c r="A881" s="22" t="str">
        <f>IF(MOV_CC_INTL!A881="","",MOV_CC_INTL!A881)</f>
        <v/>
      </c>
      <c r="B881" s="22" t="str">
        <f>IF(MOV_CC_INTL!B881="","",MOV_CC_INTL!B881)</f>
        <v/>
      </c>
      <c r="C881" s="22" t="str">
        <f>IF(MOV_CC_INTL!C881="","",MOV_CC_INTL!C881)</f>
        <v/>
      </c>
      <c r="D881" s="22" t="str">
        <f t="shared" si="1"/>
        <v>Other</v>
      </c>
      <c r="E881" s="21" t="str">
        <f>IF(C881="","",C881*CONFIG!B5)</f>
        <v/>
      </c>
    </row>
    <row r="882" ht="15.75" customHeight="1">
      <c r="A882" s="22" t="str">
        <f>IF(MOV_CC_INTL!A882="","",MOV_CC_INTL!A882)</f>
        <v/>
      </c>
      <c r="B882" s="22" t="str">
        <f>IF(MOV_CC_INTL!B882="","",MOV_CC_INTL!B882)</f>
        <v/>
      </c>
      <c r="C882" s="22" t="str">
        <f>IF(MOV_CC_INTL!C882="","",MOV_CC_INTL!C882)</f>
        <v/>
      </c>
      <c r="D882" s="22" t="str">
        <f t="shared" si="1"/>
        <v>Other</v>
      </c>
      <c r="E882" s="21" t="str">
        <f>IF(C882="","",C882*CONFIG!B5)</f>
        <v/>
      </c>
    </row>
    <row r="883" ht="15.75" customHeight="1">
      <c r="A883" s="22" t="str">
        <f>IF(MOV_CC_INTL!A883="","",MOV_CC_INTL!A883)</f>
        <v/>
      </c>
      <c r="B883" s="22" t="str">
        <f>IF(MOV_CC_INTL!B883="","",MOV_CC_INTL!B883)</f>
        <v/>
      </c>
      <c r="C883" s="22" t="str">
        <f>IF(MOV_CC_INTL!C883="","",MOV_CC_INTL!C883)</f>
        <v/>
      </c>
      <c r="D883" s="22" t="str">
        <f t="shared" si="1"/>
        <v>Other</v>
      </c>
      <c r="E883" s="21" t="str">
        <f>IF(C883="","",C883*CONFIG!B5)</f>
        <v/>
      </c>
    </row>
    <row r="884" ht="15.75" customHeight="1">
      <c r="A884" s="22" t="str">
        <f>IF(MOV_CC_INTL!A884="","",MOV_CC_INTL!A884)</f>
        <v/>
      </c>
      <c r="B884" s="22" t="str">
        <f>IF(MOV_CC_INTL!B884="","",MOV_CC_INTL!B884)</f>
        <v/>
      </c>
      <c r="C884" s="22" t="str">
        <f>IF(MOV_CC_INTL!C884="","",MOV_CC_INTL!C884)</f>
        <v/>
      </c>
      <c r="D884" s="22" t="str">
        <f t="shared" si="1"/>
        <v>Other</v>
      </c>
      <c r="E884" s="21" t="str">
        <f>IF(C884="","",C884*CONFIG!B5)</f>
        <v/>
      </c>
    </row>
    <row r="885" ht="15.75" customHeight="1">
      <c r="A885" s="22" t="str">
        <f>IF(MOV_CC_INTL!A885="","",MOV_CC_INTL!A885)</f>
        <v/>
      </c>
      <c r="B885" s="22" t="str">
        <f>IF(MOV_CC_INTL!B885="","",MOV_CC_INTL!B885)</f>
        <v/>
      </c>
      <c r="C885" s="22" t="str">
        <f>IF(MOV_CC_INTL!C885="","",MOV_CC_INTL!C885)</f>
        <v/>
      </c>
      <c r="D885" s="22" t="str">
        <f t="shared" si="1"/>
        <v>Other</v>
      </c>
      <c r="E885" s="21" t="str">
        <f>IF(C885="","",C885*CONFIG!B5)</f>
        <v/>
      </c>
    </row>
    <row r="886" ht="15.75" customHeight="1">
      <c r="A886" s="22" t="str">
        <f>IF(MOV_CC_INTL!A886="","",MOV_CC_INTL!A886)</f>
        <v/>
      </c>
      <c r="B886" s="22" t="str">
        <f>IF(MOV_CC_INTL!B886="","",MOV_CC_INTL!B886)</f>
        <v/>
      </c>
      <c r="C886" s="22" t="str">
        <f>IF(MOV_CC_INTL!C886="","",MOV_CC_INTL!C886)</f>
        <v/>
      </c>
      <c r="D886" s="22" t="str">
        <f t="shared" si="1"/>
        <v>Other</v>
      </c>
      <c r="E886" s="21" t="str">
        <f>IF(C886="","",C886*CONFIG!B5)</f>
        <v/>
      </c>
    </row>
    <row r="887" ht="15.75" customHeight="1">
      <c r="A887" s="22" t="str">
        <f>IF(MOV_CC_INTL!A887="","",MOV_CC_INTL!A887)</f>
        <v/>
      </c>
      <c r="B887" s="22" t="str">
        <f>IF(MOV_CC_INTL!B887="","",MOV_CC_INTL!B887)</f>
        <v/>
      </c>
      <c r="C887" s="22" t="str">
        <f>IF(MOV_CC_INTL!C887="","",MOV_CC_INTL!C887)</f>
        <v/>
      </c>
      <c r="D887" s="22" t="str">
        <f t="shared" si="1"/>
        <v>Other</v>
      </c>
      <c r="E887" s="21" t="str">
        <f>IF(C887="","",C887*CONFIG!B5)</f>
        <v/>
      </c>
    </row>
    <row r="888" ht="15.75" customHeight="1">
      <c r="A888" s="22" t="str">
        <f>IF(MOV_CC_INTL!A888="","",MOV_CC_INTL!A888)</f>
        <v/>
      </c>
      <c r="B888" s="22" t="str">
        <f>IF(MOV_CC_INTL!B888="","",MOV_CC_INTL!B888)</f>
        <v/>
      </c>
      <c r="C888" s="22" t="str">
        <f>IF(MOV_CC_INTL!C888="","",MOV_CC_INTL!C888)</f>
        <v/>
      </c>
      <c r="D888" s="22" t="str">
        <f t="shared" si="1"/>
        <v>Other</v>
      </c>
      <c r="E888" s="21" t="str">
        <f>IF(C888="","",C888*CONFIG!B5)</f>
        <v/>
      </c>
    </row>
    <row r="889" ht="15.75" customHeight="1">
      <c r="A889" s="22" t="str">
        <f>IF(MOV_CC_INTL!A889="","",MOV_CC_INTL!A889)</f>
        <v/>
      </c>
      <c r="B889" s="22" t="str">
        <f>IF(MOV_CC_INTL!B889="","",MOV_CC_INTL!B889)</f>
        <v/>
      </c>
      <c r="C889" s="22" t="str">
        <f>IF(MOV_CC_INTL!C889="","",MOV_CC_INTL!C889)</f>
        <v/>
      </c>
      <c r="D889" s="22" t="str">
        <f t="shared" si="1"/>
        <v>Other</v>
      </c>
      <c r="E889" s="21" t="str">
        <f>IF(C889="","",C889*CONFIG!B5)</f>
        <v/>
      </c>
    </row>
    <row r="890" ht="15.75" customHeight="1">
      <c r="A890" s="22" t="str">
        <f>IF(MOV_CC_INTL!A890="","",MOV_CC_INTL!A890)</f>
        <v/>
      </c>
      <c r="B890" s="22" t="str">
        <f>IF(MOV_CC_INTL!B890="","",MOV_CC_INTL!B890)</f>
        <v/>
      </c>
      <c r="C890" s="22" t="str">
        <f>IF(MOV_CC_INTL!C890="","",MOV_CC_INTL!C890)</f>
        <v/>
      </c>
      <c r="D890" s="22" t="str">
        <f t="shared" si="1"/>
        <v>Other</v>
      </c>
      <c r="E890" s="21" t="str">
        <f>IF(C890="","",C890*CONFIG!B5)</f>
        <v/>
      </c>
    </row>
    <row r="891" ht="15.75" customHeight="1">
      <c r="A891" s="22" t="str">
        <f>IF(MOV_CC_INTL!A891="","",MOV_CC_INTL!A891)</f>
        <v/>
      </c>
      <c r="B891" s="22" t="str">
        <f>IF(MOV_CC_INTL!B891="","",MOV_CC_INTL!B891)</f>
        <v/>
      </c>
      <c r="C891" s="22" t="str">
        <f>IF(MOV_CC_INTL!C891="","",MOV_CC_INTL!C891)</f>
        <v/>
      </c>
      <c r="D891" s="22" t="str">
        <f t="shared" si="1"/>
        <v>Other</v>
      </c>
      <c r="E891" s="21" t="str">
        <f>IF(C891="","",C891*CONFIG!B5)</f>
        <v/>
      </c>
    </row>
    <row r="892" ht="15.75" customHeight="1">
      <c r="A892" s="22" t="str">
        <f>IF(MOV_CC_INTL!A892="","",MOV_CC_INTL!A892)</f>
        <v/>
      </c>
      <c r="B892" s="22" t="str">
        <f>IF(MOV_CC_INTL!B892="","",MOV_CC_INTL!B892)</f>
        <v/>
      </c>
      <c r="C892" s="22" t="str">
        <f>IF(MOV_CC_INTL!C892="","",MOV_CC_INTL!C892)</f>
        <v/>
      </c>
      <c r="D892" s="22" t="str">
        <f t="shared" si="1"/>
        <v>Other</v>
      </c>
      <c r="E892" s="21" t="str">
        <f>IF(C892="","",C892*CONFIG!B5)</f>
        <v/>
      </c>
    </row>
    <row r="893" ht="15.75" customHeight="1">
      <c r="A893" s="22" t="str">
        <f>IF(MOV_CC_INTL!A893="","",MOV_CC_INTL!A893)</f>
        <v/>
      </c>
      <c r="B893" s="22" t="str">
        <f>IF(MOV_CC_INTL!B893="","",MOV_CC_INTL!B893)</f>
        <v/>
      </c>
      <c r="C893" s="22" t="str">
        <f>IF(MOV_CC_INTL!C893="","",MOV_CC_INTL!C893)</f>
        <v/>
      </c>
      <c r="D893" s="22" t="str">
        <f t="shared" si="1"/>
        <v>Other</v>
      </c>
      <c r="E893" s="21" t="str">
        <f>IF(C893="","",C893*CONFIG!B5)</f>
        <v/>
      </c>
    </row>
    <row r="894" ht="15.75" customHeight="1">
      <c r="A894" s="22" t="str">
        <f>IF(MOV_CC_INTL!A894="","",MOV_CC_INTL!A894)</f>
        <v/>
      </c>
      <c r="B894" s="22" t="str">
        <f>IF(MOV_CC_INTL!B894="","",MOV_CC_INTL!B894)</f>
        <v/>
      </c>
      <c r="C894" s="22" t="str">
        <f>IF(MOV_CC_INTL!C894="","",MOV_CC_INTL!C894)</f>
        <v/>
      </c>
      <c r="D894" s="22" t="str">
        <f t="shared" si="1"/>
        <v>Other</v>
      </c>
      <c r="E894" s="21" t="str">
        <f>IF(C894="","",C894*CONFIG!B5)</f>
        <v/>
      </c>
    </row>
    <row r="895" ht="15.75" customHeight="1">
      <c r="A895" s="22" t="str">
        <f>IF(MOV_CC_INTL!A895="","",MOV_CC_INTL!A895)</f>
        <v/>
      </c>
      <c r="B895" s="22" t="str">
        <f>IF(MOV_CC_INTL!B895="","",MOV_CC_INTL!B895)</f>
        <v/>
      </c>
      <c r="C895" s="22" t="str">
        <f>IF(MOV_CC_INTL!C895="","",MOV_CC_INTL!C895)</f>
        <v/>
      </c>
      <c r="D895" s="22" t="str">
        <f t="shared" si="1"/>
        <v>Other</v>
      </c>
      <c r="E895" s="21" t="str">
        <f>IF(C895="","",C895*CONFIG!B5)</f>
        <v/>
      </c>
    </row>
    <row r="896" ht="15.75" customHeight="1">
      <c r="A896" s="22" t="str">
        <f>IF(MOV_CC_INTL!A896="","",MOV_CC_INTL!A896)</f>
        <v/>
      </c>
      <c r="B896" s="22" t="str">
        <f>IF(MOV_CC_INTL!B896="","",MOV_CC_INTL!B896)</f>
        <v/>
      </c>
      <c r="C896" s="22" t="str">
        <f>IF(MOV_CC_INTL!C896="","",MOV_CC_INTL!C896)</f>
        <v/>
      </c>
      <c r="D896" s="22" t="str">
        <f t="shared" si="1"/>
        <v>Other</v>
      </c>
      <c r="E896" s="21" t="str">
        <f>IF(C896="","",C896*CONFIG!B5)</f>
        <v/>
      </c>
    </row>
    <row r="897" ht="15.75" customHeight="1">
      <c r="A897" s="22" t="str">
        <f>IF(MOV_CC_INTL!A897="","",MOV_CC_INTL!A897)</f>
        <v/>
      </c>
      <c r="B897" s="22" t="str">
        <f>IF(MOV_CC_INTL!B897="","",MOV_CC_INTL!B897)</f>
        <v/>
      </c>
      <c r="C897" s="22" t="str">
        <f>IF(MOV_CC_INTL!C897="","",MOV_CC_INTL!C897)</f>
        <v/>
      </c>
      <c r="D897" s="22" t="str">
        <f t="shared" si="1"/>
        <v>Other</v>
      </c>
      <c r="E897" s="21" t="str">
        <f>IF(C897="","",C897*CONFIG!B5)</f>
        <v/>
      </c>
    </row>
    <row r="898" ht="15.75" customHeight="1">
      <c r="A898" s="22" t="str">
        <f>IF(MOV_CC_INTL!A898="","",MOV_CC_INTL!A898)</f>
        <v/>
      </c>
      <c r="B898" s="22" t="str">
        <f>IF(MOV_CC_INTL!B898="","",MOV_CC_INTL!B898)</f>
        <v/>
      </c>
      <c r="C898" s="22" t="str">
        <f>IF(MOV_CC_INTL!C898="","",MOV_CC_INTL!C898)</f>
        <v/>
      </c>
      <c r="D898" s="22" t="str">
        <f t="shared" si="1"/>
        <v>Other</v>
      </c>
      <c r="E898" s="21" t="str">
        <f>IF(C898="","",C898*CONFIG!B5)</f>
        <v/>
      </c>
    </row>
    <row r="899" ht="15.75" customHeight="1">
      <c r="A899" s="22" t="str">
        <f>IF(MOV_CC_INTL!A899="","",MOV_CC_INTL!A899)</f>
        <v/>
      </c>
      <c r="B899" s="22" t="str">
        <f>IF(MOV_CC_INTL!B899="","",MOV_CC_INTL!B899)</f>
        <v/>
      </c>
      <c r="C899" s="22" t="str">
        <f>IF(MOV_CC_INTL!C899="","",MOV_CC_INTL!C899)</f>
        <v/>
      </c>
      <c r="D899" s="22" t="str">
        <f t="shared" si="1"/>
        <v>Other</v>
      </c>
      <c r="E899" s="21" t="str">
        <f>IF(C899="","",C899*CONFIG!B5)</f>
        <v/>
      </c>
    </row>
    <row r="900" ht="15.75" customHeight="1">
      <c r="A900" s="22" t="str">
        <f>IF(MOV_CC_INTL!A900="","",MOV_CC_INTL!A900)</f>
        <v/>
      </c>
      <c r="B900" s="22" t="str">
        <f>IF(MOV_CC_INTL!B900="","",MOV_CC_INTL!B900)</f>
        <v/>
      </c>
      <c r="C900" s="22" t="str">
        <f>IF(MOV_CC_INTL!C900="","",MOV_CC_INTL!C900)</f>
        <v/>
      </c>
      <c r="D900" s="22" t="str">
        <f t="shared" si="1"/>
        <v>Other</v>
      </c>
      <c r="E900" s="21" t="str">
        <f>IF(C900="","",C900*CONFIG!B5)</f>
        <v/>
      </c>
    </row>
    <row r="901" ht="15.75" customHeight="1">
      <c r="A901" s="22" t="str">
        <f>IF(MOV_CC_INTL!A901="","",MOV_CC_INTL!A901)</f>
        <v/>
      </c>
      <c r="B901" s="22" t="str">
        <f>IF(MOV_CC_INTL!B901="","",MOV_CC_INTL!B901)</f>
        <v/>
      </c>
      <c r="C901" s="22" t="str">
        <f>IF(MOV_CC_INTL!C901="","",MOV_CC_INTL!C901)</f>
        <v/>
      </c>
      <c r="D901" s="22" t="str">
        <f t="shared" si="1"/>
        <v>Other</v>
      </c>
      <c r="E901" s="21" t="str">
        <f>IF(C901="","",C901*CONFIG!B5)</f>
        <v/>
      </c>
    </row>
    <row r="902" ht="15.75" customHeight="1">
      <c r="A902" s="22" t="str">
        <f>IF(MOV_CC_INTL!A902="","",MOV_CC_INTL!A902)</f>
        <v/>
      </c>
      <c r="B902" s="22" t="str">
        <f>IF(MOV_CC_INTL!B902="","",MOV_CC_INTL!B902)</f>
        <v/>
      </c>
      <c r="C902" s="22" t="str">
        <f>IF(MOV_CC_INTL!C902="","",MOV_CC_INTL!C902)</f>
        <v/>
      </c>
      <c r="D902" s="22" t="str">
        <f t="shared" si="1"/>
        <v>Other</v>
      </c>
      <c r="E902" s="21" t="str">
        <f>IF(C902="","",C902*CONFIG!B5)</f>
        <v/>
      </c>
    </row>
    <row r="903" ht="15.75" customHeight="1">
      <c r="A903" s="22" t="str">
        <f>IF(MOV_CC_INTL!A903="","",MOV_CC_INTL!A903)</f>
        <v/>
      </c>
      <c r="B903" s="22" t="str">
        <f>IF(MOV_CC_INTL!B903="","",MOV_CC_INTL!B903)</f>
        <v/>
      </c>
      <c r="C903" s="22" t="str">
        <f>IF(MOV_CC_INTL!C903="","",MOV_CC_INTL!C903)</f>
        <v/>
      </c>
      <c r="D903" s="22" t="str">
        <f t="shared" si="1"/>
        <v>Other</v>
      </c>
      <c r="E903" s="21" t="str">
        <f>IF(C903="","",C903*CONFIG!B5)</f>
        <v/>
      </c>
    </row>
    <row r="904" ht="15.75" customHeight="1">
      <c r="A904" s="22" t="str">
        <f>IF(MOV_CC_INTL!A904="","",MOV_CC_INTL!A904)</f>
        <v/>
      </c>
      <c r="B904" s="22" t="str">
        <f>IF(MOV_CC_INTL!B904="","",MOV_CC_INTL!B904)</f>
        <v/>
      </c>
      <c r="C904" s="22" t="str">
        <f>IF(MOV_CC_INTL!C904="","",MOV_CC_INTL!C904)</f>
        <v/>
      </c>
      <c r="D904" s="22" t="str">
        <f t="shared" si="1"/>
        <v>Other</v>
      </c>
      <c r="E904" s="21" t="str">
        <f>IF(C904="","",C904*CONFIG!B5)</f>
        <v/>
      </c>
    </row>
    <row r="905" ht="15.75" customHeight="1">
      <c r="A905" s="22" t="str">
        <f>IF(MOV_CC_INTL!A905="","",MOV_CC_INTL!A905)</f>
        <v/>
      </c>
      <c r="B905" s="22" t="str">
        <f>IF(MOV_CC_INTL!B905="","",MOV_CC_INTL!B905)</f>
        <v/>
      </c>
      <c r="C905" s="22" t="str">
        <f>IF(MOV_CC_INTL!C905="","",MOV_CC_INTL!C905)</f>
        <v/>
      </c>
      <c r="D905" s="22" t="str">
        <f t="shared" si="1"/>
        <v>Other</v>
      </c>
      <c r="E905" s="21" t="str">
        <f>IF(C905="","",C905*CONFIG!B5)</f>
        <v/>
      </c>
    </row>
    <row r="906" ht="15.75" customHeight="1">
      <c r="A906" s="22" t="str">
        <f>IF(MOV_CC_INTL!A906="","",MOV_CC_INTL!A906)</f>
        <v/>
      </c>
      <c r="B906" s="22" t="str">
        <f>IF(MOV_CC_INTL!B906="","",MOV_CC_INTL!B906)</f>
        <v/>
      </c>
      <c r="C906" s="22" t="str">
        <f>IF(MOV_CC_INTL!C906="","",MOV_CC_INTL!C906)</f>
        <v/>
      </c>
      <c r="D906" s="22" t="str">
        <f t="shared" si="1"/>
        <v>Other</v>
      </c>
      <c r="E906" s="21" t="str">
        <f>IF(C906="","",C906*CONFIG!B5)</f>
        <v/>
      </c>
    </row>
    <row r="907" ht="15.75" customHeight="1">
      <c r="A907" s="22" t="str">
        <f>IF(MOV_CC_INTL!A907="","",MOV_CC_INTL!A907)</f>
        <v/>
      </c>
      <c r="B907" s="22" t="str">
        <f>IF(MOV_CC_INTL!B907="","",MOV_CC_INTL!B907)</f>
        <v/>
      </c>
      <c r="C907" s="22" t="str">
        <f>IF(MOV_CC_INTL!C907="","",MOV_CC_INTL!C907)</f>
        <v/>
      </c>
      <c r="D907" s="22" t="str">
        <f t="shared" si="1"/>
        <v>Other</v>
      </c>
      <c r="E907" s="21" t="str">
        <f>IF(C907="","",C907*CONFIG!B5)</f>
        <v/>
      </c>
    </row>
    <row r="908" ht="15.75" customHeight="1">
      <c r="A908" s="22" t="str">
        <f>IF(MOV_CC_INTL!A908="","",MOV_CC_INTL!A908)</f>
        <v/>
      </c>
      <c r="B908" s="22" t="str">
        <f>IF(MOV_CC_INTL!B908="","",MOV_CC_INTL!B908)</f>
        <v/>
      </c>
      <c r="C908" s="22" t="str">
        <f>IF(MOV_CC_INTL!C908="","",MOV_CC_INTL!C908)</f>
        <v/>
      </c>
      <c r="D908" s="22" t="str">
        <f t="shared" si="1"/>
        <v>Other</v>
      </c>
      <c r="E908" s="21" t="str">
        <f>IF(C908="","",C908*CONFIG!B5)</f>
        <v/>
      </c>
    </row>
    <row r="909" ht="15.75" customHeight="1">
      <c r="A909" s="22" t="str">
        <f>IF(MOV_CC_INTL!A909="","",MOV_CC_INTL!A909)</f>
        <v/>
      </c>
      <c r="B909" s="22" t="str">
        <f>IF(MOV_CC_INTL!B909="","",MOV_CC_INTL!B909)</f>
        <v/>
      </c>
      <c r="C909" s="22" t="str">
        <f>IF(MOV_CC_INTL!C909="","",MOV_CC_INTL!C909)</f>
        <v/>
      </c>
      <c r="D909" s="22" t="str">
        <f t="shared" si="1"/>
        <v>Other</v>
      </c>
      <c r="E909" s="21" t="str">
        <f>IF(C909="","",C909*CONFIG!B5)</f>
        <v/>
      </c>
    </row>
    <row r="910" ht="15.75" customHeight="1">
      <c r="A910" s="22" t="str">
        <f>IF(MOV_CC_INTL!A910="","",MOV_CC_INTL!A910)</f>
        <v/>
      </c>
      <c r="B910" s="22" t="str">
        <f>IF(MOV_CC_INTL!B910="","",MOV_CC_INTL!B910)</f>
        <v/>
      </c>
      <c r="C910" s="22" t="str">
        <f>IF(MOV_CC_INTL!C910="","",MOV_CC_INTL!C910)</f>
        <v/>
      </c>
      <c r="D910" s="22" t="str">
        <f t="shared" si="1"/>
        <v>Other</v>
      </c>
      <c r="E910" s="21" t="str">
        <f>IF(C910="","",C910*CONFIG!B5)</f>
        <v/>
      </c>
    </row>
    <row r="911" ht="15.75" customHeight="1">
      <c r="A911" s="22" t="str">
        <f>IF(MOV_CC_INTL!A911="","",MOV_CC_INTL!A911)</f>
        <v/>
      </c>
      <c r="B911" s="22" t="str">
        <f>IF(MOV_CC_INTL!B911="","",MOV_CC_INTL!B911)</f>
        <v/>
      </c>
      <c r="C911" s="22" t="str">
        <f>IF(MOV_CC_INTL!C911="","",MOV_CC_INTL!C911)</f>
        <v/>
      </c>
      <c r="D911" s="22" t="str">
        <f t="shared" si="1"/>
        <v>Other</v>
      </c>
      <c r="E911" s="21" t="str">
        <f>IF(C911="","",C911*CONFIG!B5)</f>
        <v/>
      </c>
    </row>
    <row r="912" ht="15.75" customHeight="1">
      <c r="A912" s="22" t="str">
        <f>IF(MOV_CC_INTL!A912="","",MOV_CC_INTL!A912)</f>
        <v/>
      </c>
      <c r="B912" s="22" t="str">
        <f>IF(MOV_CC_INTL!B912="","",MOV_CC_INTL!B912)</f>
        <v/>
      </c>
      <c r="C912" s="22" t="str">
        <f>IF(MOV_CC_INTL!C912="","",MOV_CC_INTL!C912)</f>
        <v/>
      </c>
      <c r="D912" s="22" t="str">
        <f t="shared" si="1"/>
        <v>Other</v>
      </c>
      <c r="E912" s="21" t="str">
        <f>IF(C912="","",C912*CONFIG!B5)</f>
        <v/>
      </c>
    </row>
    <row r="913" ht="15.75" customHeight="1">
      <c r="A913" s="22" t="str">
        <f>IF(MOV_CC_INTL!A913="","",MOV_CC_INTL!A913)</f>
        <v/>
      </c>
      <c r="B913" s="22" t="str">
        <f>IF(MOV_CC_INTL!B913="","",MOV_CC_INTL!B913)</f>
        <v/>
      </c>
      <c r="C913" s="22" t="str">
        <f>IF(MOV_CC_INTL!C913="","",MOV_CC_INTL!C913)</f>
        <v/>
      </c>
      <c r="D913" s="22" t="str">
        <f t="shared" si="1"/>
        <v>Other</v>
      </c>
      <c r="E913" s="21" t="str">
        <f>IF(C913="","",C913*CONFIG!B5)</f>
        <v/>
      </c>
    </row>
    <row r="914" ht="15.75" customHeight="1">
      <c r="A914" s="22" t="str">
        <f>IF(MOV_CC_INTL!A914="","",MOV_CC_INTL!A914)</f>
        <v/>
      </c>
      <c r="B914" s="22" t="str">
        <f>IF(MOV_CC_INTL!B914="","",MOV_CC_INTL!B914)</f>
        <v/>
      </c>
      <c r="C914" s="22" t="str">
        <f>IF(MOV_CC_INTL!C914="","",MOV_CC_INTL!C914)</f>
        <v/>
      </c>
      <c r="D914" s="22" t="str">
        <f t="shared" si="1"/>
        <v>Other</v>
      </c>
      <c r="E914" s="21" t="str">
        <f>IF(C914="","",C914*CONFIG!B5)</f>
        <v/>
      </c>
    </row>
    <row r="915" ht="15.75" customHeight="1">
      <c r="A915" s="22" t="str">
        <f>IF(MOV_CC_INTL!A915="","",MOV_CC_INTL!A915)</f>
        <v/>
      </c>
      <c r="B915" s="22" t="str">
        <f>IF(MOV_CC_INTL!B915="","",MOV_CC_INTL!B915)</f>
        <v/>
      </c>
      <c r="C915" s="22" t="str">
        <f>IF(MOV_CC_INTL!C915="","",MOV_CC_INTL!C915)</f>
        <v/>
      </c>
      <c r="D915" s="22" t="str">
        <f t="shared" si="1"/>
        <v>Other</v>
      </c>
      <c r="E915" s="21" t="str">
        <f>IF(C915="","",C915*CONFIG!B5)</f>
        <v/>
      </c>
    </row>
    <row r="916" ht="15.75" customHeight="1">
      <c r="A916" s="22" t="str">
        <f>IF(MOV_CC_INTL!A916="","",MOV_CC_INTL!A916)</f>
        <v/>
      </c>
      <c r="B916" s="22" t="str">
        <f>IF(MOV_CC_INTL!B916="","",MOV_CC_INTL!B916)</f>
        <v/>
      </c>
      <c r="C916" s="22" t="str">
        <f>IF(MOV_CC_INTL!C916="","",MOV_CC_INTL!C916)</f>
        <v/>
      </c>
      <c r="D916" s="22" t="str">
        <f t="shared" si="1"/>
        <v>Other</v>
      </c>
      <c r="E916" s="21" t="str">
        <f>IF(C916="","",C916*CONFIG!B5)</f>
        <v/>
      </c>
    </row>
    <row r="917" ht="15.75" customHeight="1">
      <c r="A917" s="22" t="str">
        <f>IF(MOV_CC_INTL!A917="","",MOV_CC_INTL!A917)</f>
        <v/>
      </c>
      <c r="B917" s="22" t="str">
        <f>IF(MOV_CC_INTL!B917="","",MOV_CC_INTL!B917)</f>
        <v/>
      </c>
      <c r="C917" s="22" t="str">
        <f>IF(MOV_CC_INTL!C917="","",MOV_CC_INTL!C917)</f>
        <v/>
      </c>
      <c r="D917" s="22" t="str">
        <f t="shared" si="1"/>
        <v>Other</v>
      </c>
      <c r="E917" s="21" t="str">
        <f>IF(C917="","",C917*CONFIG!B5)</f>
        <v/>
      </c>
    </row>
    <row r="918" ht="15.75" customHeight="1">
      <c r="A918" s="22" t="str">
        <f>IF(MOV_CC_INTL!A918="","",MOV_CC_INTL!A918)</f>
        <v/>
      </c>
      <c r="B918" s="22" t="str">
        <f>IF(MOV_CC_INTL!B918="","",MOV_CC_INTL!B918)</f>
        <v/>
      </c>
      <c r="C918" s="22" t="str">
        <f>IF(MOV_CC_INTL!C918="","",MOV_CC_INTL!C918)</f>
        <v/>
      </c>
      <c r="D918" s="22" t="str">
        <f t="shared" si="1"/>
        <v>Other</v>
      </c>
      <c r="E918" s="21" t="str">
        <f>IF(C918="","",C918*CONFIG!B5)</f>
        <v/>
      </c>
    </row>
    <row r="919" ht="15.75" customHeight="1">
      <c r="A919" s="22" t="str">
        <f>IF(MOV_CC_INTL!A919="","",MOV_CC_INTL!A919)</f>
        <v/>
      </c>
      <c r="B919" s="22" t="str">
        <f>IF(MOV_CC_INTL!B919="","",MOV_CC_INTL!B919)</f>
        <v/>
      </c>
      <c r="C919" s="22" t="str">
        <f>IF(MOV_CC_INTL!C919="","",MOV_CC_INTL!C919)</f>
        <v/>
      </c>
      <c r="D919" s="22" t="str">
        <f t="shared" si="1"/>
        <v>Other</v>
      </c>
      <c r="E919" s="21" t="str">
        <f>IF(C919="","",C919*CONFIG!B5)</f>
        <v/>
      </c>
    </row>
    <row r="920" ht="15.75" customHeight="1">
      <c r="A920" s="22" t="str">
        <f>IF(MOV_CC_INTL!A920="","",MOV_CC_INTL!A920)</f>
        <v/>
      </c>
      <c r="B920" s="22" t="str">
        <f>IF(MOV_CC_INTL!B920="","",MOV_CC_INTL!B920)</f>
        <v/>
      </c>
      <c r="C920" s="22" t="str">
        <f>IF(MOV_CC_INTL!C920="","",MOV_CC_INTL!C920)</f>
        <v/>
      </c>
      <c r="D920" s="22" t="str">
        <f t="shared" si="1"/>
        <v>Other</v>
      </c>
      <c r="E920" s="21" t="str">
        <f>IF(C920="","",C920*CONFIG!B5)</f>
        <v/>
      </c>
    </row>
    <row r="921" ht="15.75" customHeight="1">
      <c r="A921" s="22" t="str">
        <f>IF(MOV_CC_INTL!A921="","",MOV_CC_INTL!A921)</f>
        <v/>
      </c>
      <c r="B921" s="22" t="str">
        <f>IF(MOV_CC_INTL!B921="","",MOV_CC_INTL!B921)</f>
        <v/>
      </c>
      <c r="C921" s="22" t="str">
        <f>IF(MOV_CC_INTL!C921="","",MOV_CC_INTL!C921)</f>
        <v/>
      </c>
      <c r="D921" s="22" t="str">
        <f t="shared" si="1"/>
        <v>Other</v>
      </c>
      <c r="E921" s="21" t="str">
        <f>IF(C921="","",C921*CONFIG!B5)</f>
        <v/>
      </c>
    </row>
    <row r="922" ht="15.75" customHeight="1">
      <c r="A922" s="22" t="str">
        <f>IF(MOV_CC_INTL!A922="","",MOV_CC_INTL!A922)</f>
        <v/>
      </c>
      <c r="B922" s="22" t="str">
        <f>IF(MOV_CC_INTL!B922="","",MOV_CC_INTL!B922)</f>
        <v/>
      </c>
      <c r="C922" s="22" t="str">
        <f>IF(MOV_CC_INTL!C922="","",MOV_CC_INTL!C922)</f>
        <v/>
      </c>
      <c r="D922" s="22" t="str">
        <f t="shared" si="1"/>
        <v>Other</v>
      </c>
      <c r="E922" s="21" t="str">
        <f>IF(C922="","",C922*CONFIG!B5)</f>
        <v/>
      </c>
    </row>
    <row r="923" ht="15.75" customHeight="1">
      <c r="A923" s="22" t="str">
        <f>IF(MOV_CC_INTL!A923="","",MOV_CC_INTL!A923)</f>
        <v/>
      </c>
      <c r="B923" s="22" t="str">
        <f>IF(MOV_CC_INTL!B923="","",MOV_CC_INTL!B923)</f>
        <v/>
      </c>
      <c r="C923" s="22" t="str">
        <f>IF(MOV_CC_INTL!C923="","",MOV_CC_INTL!C923)</f>
        <v/>
      </c>
      <c r="D923" s="22" t="str">
        <f t="shared" si="1"/>
        <v>Other</v>
      </c>
      <c r="E923" s="21" t="str">
        <f>IF(C923="","",C923*CONFIG!B5)</f>
        <v/>
      </c>
    </row>
    <row r="924" ht="15.75" customHeight="1">
      <c r="A924" s="22" t="str">
        <f>IF(MOV_CC_INTL!A924="","",MOV_CC_INTL!A924)</f>
        <v/>
      </c>
      <c r="B924" s="22" t="str">
        <f>IF(MOV_CC_INTL!B924="","",MOV_CC_INTL!B924)</f>
        <v/>
      </c>
      <c r="C924" s="22" t="str">
        <f>IF(MOV_CC_INTL!C924="","",MOV_CC_INTL!C924)</f>
        <v/>
      </c>
      <c r="D924" s="22" t="str">
        <f t="shared" si="1"/>
        <v>Other</v>
      </c>
      <c r="E924" s="21" t="str">
        <f>IF(C924="","",C924*CONFIG!B5)</f>
        <v/>
      </c>
    </row>
    <row r="925" ht="15.75" customHeight="1">
      <c r="A925" s="22" t="str">
        <f>IF(MOV_CC_INTL!A925="","",MOV_CC_INTL!A925)</f>
        <v/>
      </c>
      <c r="B925" s="22" t="str">
        <f>IF(MOV_CC_INTL!B925="","",MOV_CC_INTL!B925)</f>
        <v/>
      </c>
      <c r="C925" s="22" t="str">
        <f>IF(MOV_CC_INTL!C925="","",MOV_CC_INTL!C925)</f>
        <v/>
      </c>
      <c r="D925" s="22" t="str">
        <f t="shared" si="1"/>
        <v>Other</v>
      </c>
      <c r="E925" s="21" t="str">
        <f>IF(C925="","",C925*CONFIG!B5)</f>
        <v/>
      </c>
    </row>
    <row r="926" ht="15.75" customHeight="1">
      <c r="A926" s="22" t="str">
        <f>IF(MOV_CC_INTL!A926="","",MOV_CC_INTL!A926)</f>
        <v/>
      </c>
      <c r="B926" s="22" t="str">
        <f>IF(MOV_CC_INTL!B926="","",MOV_CC_INTL!B926)</f>
        <v/>
      </c>
      <c r="C926" s="22" t="str">
        <f>IF(MOV_CC_INTL!C926="","",MOV_CC_INTL!C926)</f>
        <v/>
      </c>
      <c r="D926" s="22" t="str">
        <f t="shared" si="1"/>
        <v>Other</v>
      </c>
      <c r="E926" s="21" t="str">
        <f>IF(C926="","",C926*CONFIG!B5)</f>
        <v/>
      </c>
    </row>
    <row r="927" ht="15.75" customHeight="1">
      <c r="A927" s="22" t="str">
        <f>IF(MOV_CC_INTL!A927="","",MOV_CC_INTL!A927)</f>
        <v/>
      </c>
      <c r="B927" s="22" t="str">
        <f>IF(MOV_CC_INTL!B927="","",MOV_CC_INTL!B927)</f>
        <v/>
      </c>
      <c r="C927" s="22" t="str">
        <f>IF(MOV_CC_INTL!C927="","",MOV_CC_INTL!C927)</f>
        <v/>
      </c>
      <c r="D927" s="22" t="str">
        <f t="shared" si="1"/>
        <v>Other</v>
      </c>
      <c r="E927" s="21" t="str">
        <f>IF(C927="","",C927*CONFIG!B5)</f>
        <v/>
      </c>
    </row>
    <row r="928" ht="15.75" customHeight="1">
      <c r="A928" s="22" t="str">
        <f>IF(MOV_CC_INTL!A928="","",MOV_CC_INTL!A928)</f>
        <v/>
      </c>
      <c r="B928" s="22" t="str">
        <f>IF(MOV_CC_INTL!B928="","",MOV_CC_INTL!B928)</f>
        <v/>
      </c>
      <c r="C928" s="22" t="str">
        <f>IF(MOV_CC_INTL!C928="","",MOV_CC_INTL!C928)</f>
        <v/>
      </c>
      <c r="D928" s="22" t="str">
        <f t="shared" si="1"/>
        <v>Other</v>
      </c>
      <c r="E928" s="21" t="str">
        <f>IF(C928="","",C928*CONFIG!B5)</f>
        <v/>
      </c>
    </row>
    <row r="929" ht="15.75" customHeight="1">
      <c r="A929" s="22" t="str">
        <f>IF(MOV_CC_INTL!A929="","",MOV_CC_INTL!A929)</f>
        <v/>
      </c>
      <c r="B929" s="22" t="str">
        <f>IF(MOV_CC_INTL!B929="","",MOV_CC_INTL!B929)</f>
        <v/>
      </c>
      <c r="C929" s="22" t="str">
        <f>IF(MOV_CC_INTL!C929="","",MOV_CC_INTL!C929)</f>
        <v/>
      </c>
      <c r="D929" s="22" t="str">
        <f t="shared" si="1"/>
        <v>Other</v>
      </c>
      <c r="E929" s="21" t="str">
        <f>IF(C929="","",C929*CONFIG!B5)</f>
        <v/>
      </c>
    </row>
    <row r="930" ht="15.75" customHeight="1">
      <c r="A930" s="22" t="str">
        <f>IF(MOV_CC_INTL!A930="","",MOV_CC_INTL!A930)</f>
        <v/>
      </c>
      <c r="B930" s="22" t="str">
        <f>IF(MOV_CC_INTL!B930="","",MOV_CC_INTL!B930)</f>
        <v/>
      </c>
      <c r="C930" s="22" t="str">
        <f>IF(MOV_CC_INTL!C930="","",MOV_CC_INTL!C930)</f>
        <v/>
      </c>
      <c r="D930" s="22" t="str">
        <f t="shared" si="1"/>
        <v>Other</v>
      </c>
      <c r="E930" s="21" t="str">
        <f>IF(C930="","",C930*CONFIG!B5)</f>
        <v/>
      </c>
    </row>
    <row r="931" ht="15.75" customHeight="1">
      <c r="A931" s="22" t="str">
        <f>IF(MOV_CC_INTL!A931="","",MOV_CC_INTL!A931)</f>
        <v/>
      </c>
      <c r="B931" s="22" t="str">
        <f>IF(MOV_CC_INTL!B931="","",MOV_CC_INTL!B931)</f>
        <v/>
      </c>
      <c r="C931" s="22" t="str">
        <f>IF(MOV_CC_INTL!C931="","",MOV_CC_INTL!C931)</f>
        <v/>
      </c>
      <c r="D931" s="22" t="str">
        <f t="shared" si="1"/>
        <v>Other</v>
      </c>
      <c r="E931" s="21" t="str">
        <f>IF(C931="","",C931*CONFIG!B5)</f>
        <v/>
      </c>
    </row>
    <row r="932" ht="15.75" customHeight="1">
      <c r="A932" s="22" t="str">
        <f>IF(MOV_CC_INTL!A932="","",MOV_CC_INTL!A932)</f>
        <v/>
      </c>
      <c r="B932" s="22" t="str">
        <f>IF(MOV_CC_INTL!B932="","",MOV_CC_INTL!B932)</f>
        <v/>
      </c>
      <c r="C932" s="22" t="str">
        <f>IF(MOV_CC_INTL!C932="","",MOV_CC_INTL!C932)</f>
        <v/>
      </c>
      <c r="D932" s="22" t="str">
        <f t="shared" si="1"/>
        <v>Other</v>
      </c>
      <c r="E932" s="21" t="str">
        <f>IF(C932="","",C932*CONFIG!B5)</f>
        <v/>
      </c>
    </row>
    <row r="933" ht="15.75" customHeight="1">
      <c r="A933" s="22" t="str">
        <f>IF(MOV_CC_INTL!A933="","",MOV_CC_INTL!A933)</f>
        <v/>
      </c>
      <c r="B933" s="22" t="str">
        <f>IF(MOV_CC_INTL!B933="","",MOV_CC_INTL!B933)</f>
        <v/>
      </c>
      <c r="C933" s="22" t="str">
        <f>IF(MOV_CC_INTL!C933="","",MOV_CC_INTL!C933)</f>
        <v/>
      </c>
      <c r="D933" s="22" t="str">
        <f t="shared" si="1"/>
        <v>Other</v>
      </c>
      <c r="E933" s="21" t="str">
        <f>IF(C933="","",C933*CONFIG!B5)</f>
        <v/>
      </c>
    </row>
    <row r="934" ht="15.75" customHeight="1">
      <c r="A934" s="22" t="str">
        <f>IF(MOV_CC_INTL!A934="","",MOV_CC_INTL!A934)</f>
        <v/>
      </c>
      <c r="B934" s="22" t="str">
        <f>IF(MOV_CC_INTL!B934="","",MOV_CC_INTL!B934)</f>
        <v/>
      </c>
      <c r="C934" s="22" t="str">
        <f>IF(MOV_CC_INTL!C934="","",MOV_CC_INTL!C934)</f>
        <v/>
      </c>
      <c r="D934" s="22" t="str">
        <f t="shared" si="1"/>
        <v>Other</v>
      </c>
      <c r="E934" s="21" t="str">
        <f>IF(C934="","",C934*CONFIG!B5)</f>
        <v/>
      </c>
    </row>
    <row r="935" ht="15.75" customHeight="1">
      <c r="A935" s="22" t="str">
        <f>IF(MOV_CC_INTL!A935="","",MOV_CC_INTL!A935)</f>
        <v/>
      </c>
      <c r="B935" s="22" t="str">
        <f>IF(MOV_CC_INTL!B935="","",MOV_CC_INTL!B935)</f>
        <v/>
      </c>
      <c r="C935" s="22" t="str">
        <f>IF(MOV_CC_INTL!C935="","",MOV_CC_INTL!C935)</f>
        <v/>
      </c>
      <c r="D935" s="22" t="str">
        <f t="shared" si="1"/>
        <v>Other</v>
      </c>
      <c r="E935" s="21" t="str">
        <f>IF(C935="","",C935*CONFIG!B5)</f>
        <v/>
      </c>
    </row>
    <row r="936" ht="15.75" customHeight="1">
      <c r="A936" s="22" t="str">
        <f>IF(MOV_CC_INTL!A936="","",MOV_CC_INTL!A936)</f>
        <v/>
      </c>
      <c r="B936" s="22" t="str">
        <f>IF(MOV_CC_INTL!B936="","",MOV_CC_INTL!B936)</f>
        <v/>
      </c>
      <c r="C936" s="22" t="str">
        <f>IF(MOV_CC_INTL!C936="","",MOV_CC_INTL!C936)</f>
        <v/>
      </c>
      <c r="D936" s="22" t="str">
        <f t="shared" si="1"/>
        <v>Other</v>
      </c>
      <c r="E936" s="21" t="str">
        <f>IF(C936="","",C936*CONFIG!B5)</f>
        <v/>
      </c>
    </row>
    <row r="937" ht="15.75" customHeight="1">
      <c r="A937" s="22" t="str">
        <f>IF(MOV_CC_INTL!A937="","",MOV_CC_INTL!A937)</f>
        <v/>
      </c>
      <c r="B937" s="22" t="str">
        <f>IF(MOV_CC_INTL!B937="","",MOV_CC_INTL!B937)</f>
        <v/>
      </c>
      <c r="C937" s="22" t="str">
        <f>IF(MOV_CC_INTL!C937="","",MOV_CC_INTL!C937)</f>
        <v/>
      </c>
      <c r="D937" s="22" t="str">
        <f t="shared" si="1"/>
        <v>Other</v>
      </c>
      <c r="E937" s="21" t="str">
        <f>IF(C937="","",C937*CONFIG!B5)</f>
        <v/>
      </c>
    </row>
    <row r="938" ht="15.75" customHeight="1">
      <c r="A938" s="22" t="str">
        <f>IF(MOV_CC_INTL!A938="","",MOV_CC_INTL!A938)</f>
        <v/>
      </c>
      <c r="B938" s="22" t="str">
        <f>IF(MOV_CC_INTL!B938="","",MOV_CC_INTL!B938)</f>
        <v/>
      </c>
      <c r="C938" s="22" t="str">
        <f>IF(MOV_CC_INTL!C938="","",MOV_CC_INTL!C938)</f>
        <v/>
      </c>
      <c r="D938" s="22" t="str">
        <f t="shared" si="1"/>
        <v>Other</v>
      </c>
      <c r="E938" s="21" t="str">
        <f>IF(C938="","",C938*CONFIG!B5)</f>
        <v/>
      </c>
    </row>
    <row r="939" ht="15.75" customHeight="1">
      <c r="A939" s="22" t="str">
        <f>IF(MOV_CC_INTL!A939="","",MOV_CC_INTL!A939)</f>
        <v/>
      </c>
      <c r="B939" s="22" t="str">
        <f>IF(MOV_CC_INTL!B939="","",MOV_CC_INTL!B939)</f>
        <v/>
      </c>
      <c r="C939" s="22" t="str">
        <f>IF(MOV_CC_INTL!C939="","",MOV_CC_INTL!C939)</f>
        <v/>
      </c>
      <c r="D939" s="22" t="str">
        <f t="shared" si="1"/>
        <v>Other</v>
      </c>
      <c r="E939" s="21" t="str">
        <f>IF(C939="","",C939*CONFIG!B5)</f>
        <v/>
      </c>
    </row>
    <row r="940" ht="15.75" customHeight="1">
      <c r="A940" s="22" t="str">
        <f>IF(MOV_CC_INTL!A940="","",MOV_CC_INTL!A940)</f>
        <v/>
      </c>
      <c r="B940" s="22" t="str">
        <f>IF(MOV_CC_INTL!B940="","",MOV_CC_INTL!B940)</f>
        <v/>
      </c>
      <c r="C940" s="22" t="str">
        <f>IF(MOV_CC_INTL!C940="","",MOV_CC_INTL!C940)</f>
        <v/>
      </c>
      <c r="D940" s="22" t="str">
        <f t="shared" si="1"/>
        <v>Other</v>
      </c>
      <c r="E940" s="21" t="str">
        <f>IF(C940="","",C940*CONFIG!B5)</f>
        <v/>
      </c>
    </row>
    <row r="941" ht="15.75" customHeight="1">
      <c r="A941" s="22" t="str">
        <f>IF(MOV_CC_INTL!A941="","",MOV_CC_INTL!A941)</f>
        <v/>
      </c>
      <c r="B941" s="22" t="str">
        <f>IF(MOV_CC_INTL!B941="","",MOV_CC_INTL!B941)</f>
        <v/>
      </c>
      <c r="C941" s="22" t="str">
        <f>IF(MOV_CC_INTL!C941="","",MOV_CC_INTL!C941)</f>
        <v/>
      </c>
      <c r="D941" s="22" t="str">
        <f t="shared" si="1"/>
        <v>Other</v>
      </c>
      <c r="E941" s="21" t="str">
        <f>IF(C941="","",C941*CONFIG!B5)</f>
        <v/>
      </c>
    </row>
    <row r="942" ht="15.75" customHeight="1">
      <c r="A942" s="22" t="str">
        <f>IF(MOV_CC_INTL!A942="","",MOV_CC_INTL!A942)</f>
        <v/>
      </c>
      <c r="B942" s="22" t="str">
        <f>IF(MOV_CC_INTL!B942="","",MOV_CC_INTL!B942)</f>
        <v/>
      </c>
      <c r="C942" s="22" t="str">
        <f>IF(MOV_CC_INTL!C942="","",MOV_CC_INTL!C942)</f>
        <v/>
      </c>
      <c r="D942" s="22" t="str">
        <f t="shared" si="1"/>
        <v>Other</v>
      </c>
      <c r="E942" s="21" t="str">
        <f>IF(C942="","",C942*CONFIG!B5)</f>
        <v/>
      </c>
    </row>
    <row r="943" ht="15.75" customHeight="1">
      <c r="A943" s="22" t="str">
        <f>IF(MOV_CC_INTL!A943="","",MOV_CC_INTL!A943)</f>
        <v/>
      </c>
      <c r="B943" s="22" t="str">
        <f>IF(MOV_CC_INTL!B943="","",MOV_CC_INTL!B943)</f>
        <v/>
      </c>
      <c r="C943" s="22" t="str">
        <f>IF(MOV_CC_INTL!C943="","",MOV_CC_INTL!C943)</f>
        <v/>
      </c>
      <c r="D943" s="22" t="str">
        <f t="shared" si="1"/>
        <v>Other</v>
      </c>
      <c r="E943" s="21" t="str">
        <f>IF(C943="","",C943*CONFIG!B5)</f>
        <v/>
      </c>
    </row>
    <row r="944" ht="15.75" customHeight="1">
      <c r="A944" s="22" t="str">
        <f>IF(MOV_CC_INTL!A944="","",MOV_CC_INTL!A944)</f>
        <v/>
      </c>
      <c r="B944" s="22" t="str">
        <f>IF(MOV_CC_INTL!B944="","",MOV_CC_INTL!B944)</f>
        <v/>
      </c>
      <c r="C944" s="22" t="str">
        <f>IF(MOV_CC_INTL!C944="","",MOV_CC_INTL!C944)</f>
        <v/>
      </c>
      <c r="D944" s="22" t="str">
        <f t="shared" si="1"/>
        <v>Other</v>
      </c>
      <c r="E944" s="21" t="str">
        <f>IF(C944="","",C944*CONFIG!B5)</f>
        <v/>
      </c>
    </row>
    <row r="945" ht="15.75" customHeight="1">
      <c r="A945" s="22" t="str">
        <f>IF(MOV_CC_INTL!A945="","",MOV_CC_INTL!A945)</f>
        <v/>
      </c>
      <c r="B945" s="22" t="str">
        <f>IF(MOV_CC_INTL!B945="","",MOV_CC_INTL!B945)</f>
        <v/>
      </c>
      <c r="C945" s="22" t="str">
        <f>IF(MOV_CC_INTL!C945="","",MOV_CC_INTL!C945)</f>
        <v/>
      </c>
      <c r="D945" s="22" t="str">
        <f t="shared" si="1"/>
        <v>Other</v>
      </c>
      <c r="E945" s="21" t="str">
        <f>IF(C945="","",C945*CONFIG!B5)</f>
        <v/>
      </c>
    </row>
    <row r="946" ht="15.75" customHeight="1">
      <c r="A946" s="22" t="str">
        <f>IF(MOV_CC_INTL!A946="","",MOV_CC_INTL!A946)</f>
        <v/>
      </c>
      <c r="B946" s="22" t="str">
        <f>IF(MOV_CC_INTL!B946="","",MOV_CC_INTL!B946)</f>
        <v/>
      </c>
      <c r="C946" s="22" t="str">
        <f>IF(MOV_CC_INTL!C946="","",MOV_CC_INTL!C946)</f>
        <v/>
      </c>
      <c r="D946" s="22" t="str">
        <f t="shared" si="1"/>
        <v>Other</v>
      </c>
      <c r="E946" s="21" t="str">
        <f>IF(C946="","",C946*CONFIG!B5)</f>
        <v/>
      </c>
    </row>
    <row r="947" ht="15.75" customHeight="1">
      <c r="A947" s="22" t="str">
        <f>IF(MOV_CC_INTL!A947="","",MOV_CC_INTL!A947)</f>
        <v/>
      </c>
      <c r="B947" s="22" t="str">
        <f>IF(MOV_CC_INTL!B947="","",MOV_CC_INTL!B947)</f>
        <v/>
      </c>
      <c r="C947" s="22" t="str">
        <f>IF(MOV_CC_INTL!C947="","",MOV_CC_INTL!C947)</f>
        <v/>
      </c>
      <c r="D947" s="22" t="str">
        <f t="shared" si="1"/>
        <v>Other</v>
      </c>
      <c r="E947" s="21" t="str">
        <f>IF(C947="","",C947*CONFIG!B5)</f>
        <v/>
      </c>
    </row>
    <row r="948" ht="15.75" customHeight="1">
      <c r="A948" s="22" t="str">
        <f>IF(MOV_CC_INTL!A948="","",MOV_CC_INTL!A948)</f>
        <v/>
      </c>
      <c r="B948" s="22" t="str">
        <f>IF(MOV_CC_INTL!B948="","",MOV_CC_INTL!B948)</f>
        <v/>
      </c>
      <c r="C948" s="22" t="str">
        <f>IF(MOV_CC_INTL!C948="","",MOV_CC_INTL!C948)</f>
        <v/>
      </c>
      <c r="D948" s="22" t="str">
        <f t="shared" si="1"/>
        <v>Other</v>
      </c>
      <c r="E948" s="21" t="str">
        <f>IF(C948="","",C948*CONFIG!B5)</f>
        <v/>
      </c>
    </row>
    <row r="949" ht="15.75" customHeight="1">
      <c r="A949" s="22" t="str">
        <f>IF(MOV_CC_INTL!A949="","",MOV_CC_INTL!A949)</f>
        <v/>
      </c>
      <c r="B949" s="22" t="str">
        <f>IF(MOV_CC_INTL!B949="","",MOV_CC_INTL!B949)</f>
        <v/>
      </c>
      <c r="C949" s="22" t="str">
        <f>IF(MOV_CC_INTL!C949="","",MOV_CC_INTL!C949)</f>
        <v/>
      </c>
      <c r="D949" s="22" t="str">
        <f t="shared" si="1"/>
        <v>Other</v>
      </c>
      <c r="E949" s="21" t="str">
        <f>IF(C949="","",C949*CONFIG!B5)</f>
        <v/>
      </c>
    </row>
    <row r="950" ht="15.75" customHeight="1">
      <c r="A950" s="22" t="str">
        <f>IF(MOV_CC_INTL!A950="","",MOV_CC_INTL!A950)</f>
        <v/>
      </c>
      <c r="B950" s="22" t="str">
        <f>IF(MOV_CC_INTL!B950="","",MOV_CC_INTL!B950)</f>
        <v/>
      </c>
      <c r="C950" s="22" t="str">
        <f>IF(MOV_CC_INTL!C950="","",MOV_CC_INTL!C950)</f>
        <v/>
      </c>
      <c r="D950" s="22" t="str">
        <f t="shared" si="1"/>
        <v>Other</v>
      </c>
      <c r="E950" s="21" t="str">
        <f>IF(C950="","",C950*CONFIG!B5)</f>
        <v/>
      </c>
    </row>
    <row r="951" ht="15.75" customHeight="1">
      <c r="A951" s="22" t="str">
        <f>IF(MOV_CC_INTL!A951="","",MOV_CC_INTL!A951)</f>
        <v/>
      </c>
      <c r="B951" s="22" t="str">
        <f>IF(MOV_CC_INTL!B951="","",MOV_CC_INTL!B951)</f>
        <v/>
      </c>
      <c r="C951" s="22" t="str">
        <f>IF(MOV_CC_INTL!C951="","",MOV_CC_INTL!C951)</f>
        <v/>
      </c>
      <c r="D951" s="22" t="str">
        <f t="shared" si="1"/>
        <v>Other</v>
      </c>
      <c r="E951" s="21" t="str">
        <f>IF(C951="","",C951*CONFIG!B5)</f>
        <v/>
      </c>
    </row>
    <row r="952" ht="15.75" customHeight="1">
      <c r="A952" s="22" t="str">
        <f>IF(MOV_CC_INTL!A952="","",MOV_CC_INTL!A952)</f>
        <v/>
      </c>
      <c r="B952" s="22" t="str">
        <f>IF(MOV_CC_INTL!B952="","",MOV_CC_INTL!B952)</f>
        <v/>
      </c>
      <c r="C952" s="22" t="str">
        <f>IF(MOV_CC_INTL!C952="","",MOV_CC_INTL!C952)</f>
        <v/>
      </c>
      <c r="D952" s="22" t="str">
        <f t="shared" si="1"/>
        <v>Other</v>
      </c>
      <c r="E952" s="21" t="str">
        <f>IF(C952="","",C952*CONFIG!B5)</f>
        <v/>
      </c>
    </row>
    <row r="953" ht="15.75" customHeight="1">
      <c r="A953" s="22" t="str">
        <f>IF(MOV_CC_INTL!A953="","",MOV_CC_INTL!A953)</f>
        <v/>
      </c>
      <c r="B953" s="22" t="str">
        <f>IF(MOV_CC_INTL!B953="","",MOV_CC_INTL!B953)</f>
        <v/>
      </c>
      <c r="C953" s="22" t="str">
        <f>IF(MOV_CC_INTL!C953="","",MOV_CC_INTL!C953)</f>
        <v/>
      </c>
      <c r="D953" s="22" t="str">
        <f t="shared" si="1"/>
        <v>Other</v>
      </c>
      <c r="E953" s="21" t="str">
        <f>IF(C953="","",C953*CONFIG!B5)</f>
        <v/>
      </c>
    </row>
    <row r="954" ht="15.75" customHeight="1">
      <c r="A954" s="22" t="str">
        <f>IF(MOV_CC_INTL!A954="","",MOV_CC_INTL!A954)</f>
        <v/>
      </c>
      <c r="B954" s="22" t="str">
        <f>IF(MOV_CC_INTL!B954="","",MOV_CC_INTL!B954)</f>
        <v/>
      </c>
      <c r="C954" s="22" t="str">
        <f>IF(MOV_CC_INTL!C954="","",MOV_CC_INTL!C954)</f>
        <v/>
      </c>
      <c r="D954" s="22" t="str">
        <f t="shared" si="1"/>
        <v>Other</v>
      </c>
      <c r="E954" s="21" t="str">
        <f>IF(C954="","",C954*CONFIG!B5)</f>
        <v/>
      </c>
    </row>
    <row r="955" ht="15.75" customHeight="1">
      <c r="A955" s="22" t="str">
        <f>IF(MOV_CC_INTL!A955="","",MOV_CC_INTL!A955)</f>
        <v/>
      </c>
      <c r="B955" s="22" t="str">
        <f>IF(MOV_CC_INTL!B955="","",MOV_CC_INTL!B955)</f>
        <v/>
      </c>
      <c r="C955" s="22" t="str">
        <f>IF(MOV_CC_INTL!C955="","",MOV_CC_INTL!C955)</f>
        <v/>
      </c>
      <c r="D955" s="22" t="str">
        <f t="shared" si="1"/>
        <v>Other</v>
      </c>
      <c r="E955" s="21" t="str">
        <f>IF(C955="","",C955*CONFIG!B5)</f>
        <v/>
      </c>
    </row>
    <row r="956" ht="15.75" customHeight="1">
      <c r="A956" s="22" t="str">
        <f>IF(MOV_CC_INTL!A956="","",MOV_CC_INTL!A956)</f>
        <v/>
      </c>
      <c r="B956" s="22" t="str">
        <f>IF(MOV_CC_INTL!B956="","",MOV_CC_INTL!B956)</f>
        <v/>
      </c>
      <c r="C956" s="22" t="str">
        <f>IF(MOV_CC_INTL!C956="","",MOV_CC_INTL!C956)</f>
        <v/>
      </c>
      <c r="D956" s="22" t="str">
        <f t="shared" si="1"/>
        <v>Other</v>
      </c>
      <c r="E956" s="21" t="str">
        <f>IF(C956="","",C956*CONFIG!B5)</f>
        <v/>
      </c>
    </row>
    <row r="957" ht="15.75" customHeight="1">
      <c r="A957" s="22" t="str">
        <f>IF(MOV_CC_INTL!A957="","",MOV_CC_INTL!A957)</f>
        <v/>
      </c>
      <c r="B957" s="22" t="str">
        <f>IF(MOV_CC_INTL!B957="","",MOV_CC_INTL!B957)</f>
        <v/>
      </c>
      <c r="C957" s="22" t="str">
        <f>IF(MOV_CC_INTL!C957="","",MOV_CC_INTL!C957)</f>
        <v/>
      </c>
      <c r="D957" s="22" t="str">
        <f t="shared" si="1"/>
        <v>Other</v>
      </c>
      <c r="E957" s="21" t="str">
        <f>IF(C957="","",C957*CONFIG!B5)</f>
        <v/>
      </c>
    </row>
    <row r="958" ht="15.75" customHeight="1">
      <c r="A958" s="22" t="str">
        <f>IF(MOV_CC_INTL!A958="","",MOV_CC_INTL!A958)</f>
        <v/>
      </c>
      <c r="B958" s="22" t="str">
        <f>IF(MOV_CC_INTL!B958="","",MOV_CC_INTL!B958)</f>
        <v/>
      </c>
      <c r="C958" s="22" t="str">
        <f>IF(MOV_CC_INTL!C958="","",MOV_CC_INTL!C958)</f>
        <v/>
      </c>
      <c r="D958" s="22" t="str">
        <f t="shared" si="1"/>
        <v>Other</v>
      </c>
      <c r="E958" s="21" t="str">
        <f>IF(C958="","",C958*CONFIG!B5)</f>
        <v/>
      </c>
    </row>
    <row r="959" ht="15.75" customHeight="1">
      <c r="A959" s="22" t="str">
        <f>IF(MOV_CC_INTL!A959="","",MOV_CC_INTL!A959)</f>
        <v/>
      </c>
      <c r="B959" s="22" t="str">
        <f>IF(MOV_CC_INTL!B959="","",MOV_CC_INTL!B959)</f>
        <v/>
      </c>
      <c r="C959" s="22" t="str">
        <f>IF(MOV_CC_INTL!C959="","",MOV_CC_INTL!C959)</f>
        <v/>
      </c>
      <c r="D959" s="22" t="str">
        <f t="shared" si="1"/>
        <v>Other</v>
      </c>
      <c r="E959" s="21" t="str">
        <f>IF(C959="","",C959*CONFIG!B5)</f>
        <v/>
      </c>
    </row>
    <row r="960" ht="15.75" customHeight="1">
      <c r="A960" s="22" t="str">
        <f>IF(MOV_CC_INTL!A960="","",MOV_CC_INTL!A960)</f>
        <v/>
      </c>
      <c r="B960" s="22" t="str">
        <f>IF(MOV_CC_INTL!B960="","",MOV_CC_INTL!B960)</f>
        <v/>
      </c>
      <c r="C960" s="22" t="str">
        <f>IF(MOV_CC_INTL!C960="","",MOV_CC_INTL!C960)</f>
        <v/>
      </c>
      <c r="D960" s="22" t="str">
        <f t="shared" si="1"/>
        <v>Other</v>
      </c>
      <c r="E960" s="21" t="str">
        <f>IF(C960="","",C960*CONFIG!B5)</f>
        <v/>
      </c>
    </row>
    <row r="961" ht="15.75" customHeight="1">
      <c r="A961" s="22" t="str">
        <f>IF(MOV_CC_INTL!A961="","",MOV_CC_INTL!A961)</f>
        <v/>
      </c>
      <c r="B961" s="22" t="str">
        <f>IF(MOV_CC_INTL!B961="","",MOV_CC_INTL!B961)</f>
        <v/>
      </c>
      <c r="C961" s="22" t="str">
        <f>IF(MOV_CC_INTL!C961="","",MOV_CC_INTL!C961)</f>
        <v/>
      </c>
      <c r="D961" s="22" t="str">
        <f t="shared" si="1"/>
        <v>Other</v>
      </c>
      <c r="E961" s="21" t="str">
        <f>IF(C961="","",C961*CONFIG!B5)</f>
        <v/>
      </c>
    </row>
    <row r="962" ht="15.75" customHeight="1">
      <c r="A962" s="22" t="str">
        <f>IF(MOV_CC_INTL!A962="","",MOV_CC_INTL!A962)</f>
        <v/>
      </c>
      <c r="B962" s="22" t="str">
        <f>IF(MOV_CC_INTL!B962="","",MOV_CC_INTL!B962)</f>
        <v/>
      </c>
      <c r="C962" s="22" t="str">
        <f>IF(MOV_CC_INTL!C962="","",MOV_CC_INTL!C962)</f>
        <v/>
      </c>
      <c r="D962" s="22" t="str">
        <f t="shared" si="1"/>
        <v>Other</v>
      </c>
      <c r="E962" s="21" t="str">
        <f>IF(C962="","",C962*CONFIG!B5)</f>
        <v/>
      </c>
    </row>
    <row r="963" ht="15.75" customHeight="1">
      <c r="A963" s="22" t="str">
        <f>IF(MOV_CC_INTL!A963="","",MOV_CC_INTL!A963)</f>
        <v/>
      </c>
      <c r="B963" s="22" t="str">
        <f>IF(MOV_CC_INTL!B963="","",MOV_CC_INTL!B963)</f>
        <v/>
      </c>
      <c r="C963" s="22" t="str">
        <f>IF(MOV_CC_INTL!C963="","",MOV_CC_INTL!C963)</f>
        <v/>
      </c>
      <c r="D963" s="22" t="str">
        <f t="shared" si="1"/>
        <v>Other</v>
      </c>
      <c r="E963" s="21" t="str">
        <f>IF(C963="","",C963*CONFIG!B5)</f>
        <v/>
      </c>
    </row>
    <row r="964" ht="15.75" customHeight="1">
      <c r="A964" s="22" t="str">
        <f>IF(MOV_CC_INTL!A964="","",MOV_CC_INTL!A964)</f>
        <v/>
      </c>
      <c r="B964" s="22" t="str">
        <f>IF(MOV_CC_INTL!B964="","",MOV_CC_INTL!B964)</f>
        <v/>
      </c>
      <c r="C964" s="22" t="str">
        <f>IF(MOV_CC_INTL!C964="","",MOV_CC_INTL!C964)</f>
        <v/>
      </c>
      <c r="D964" s="22" t="str">
        <f t="shared" si="1"/>
        <v>Other</v>
      </c>
      <c r="E964" s="21" t="str">
        <f>IF(C964="","",C964*CONFIG!B5)</f>
        <v/>
      </c>
    </row>
    <row r="965" ht="15.75" customHeight="1">
      <c r="A965" s="22" t="str">
        <f>IF(MOV_CC_INTL!A965="","",MOV_CC_INTL!A965)</f>
        <v/>
      </c>
      <c r="B965" s="22" t="str">
        <f>IF(MOV_CC_INTL!B965="","",MOV_CC_INTL!B965)</f>
        <v/>
      </c>
      <c r="C965" s="22" t="str">
        <f>IF(MOV_CC_INTL!C965="","",MOV_CC_INTL!C965)</f>
        <v/>
      </c>
      <c r="D965" s="22" t="str">
        <f t="shared" si="1"/>
        <v>Other</v>
      </c>
      <c r="E965" s="21" t="str">
        <f>IF(C965="","",C965*CONFIG!B5)</f>
        <v/>
      </c>
    </row>
    <row r="966" ht="15.75" customHeight="1">
      <c r="A966" s="22" t="str">
        <f>IF(MOV_CC_INTL!A966="","",MOV_CC_INTL!A966)</f>
        <v/>
      </c>
      <c r="B966" s="22" t="str">
        <f>IF(MOV_CC_INTL!B966="","",MOV_CC_INTL!B966)</f>
        <v/>
      </c>
      <c r="C966" s="22" t="str">
        <f>IF(MOV_CC_INTL!C966="","",MOV_CC_INTL!C966)</f>
        <v/>
      </c>
      <c r="D966" s="22" t="str">
        <f t="shared" si="1"/>
        <v>Other</v>
      </c>
      <c r="E966" s="21" t="str">
        <f>IF(C966="","",C966*CONFIG!B5)</f>
        <v/>
      </c>
    </row>
    <row r="967" ht="15.75" customHeight="1">
      <c r="A967" s="22" t="str">
        <f>IF(MOV_CC_INTL!A967="","",MOV_CC_INTL!A967)</f>
        <v/>
      </c>
      <c r="B967" s="22" t="str">
        <f>IF(MOV_CC_INTL!B967="","",MOV_CC_INTL!B967)</f>
        <v/>
      </c>
      <c r="C967" s="22" t="str">
        <f>IF(MOV_CC_INTL!C967="","",MOV_CC_INTL!C967)</f>
        <v/>
      </c>
      <c r="D967" s="22" t="str">
        <f t="shared" si="1"/>
        <v>Other</v>
      </c>
      <c r="E967" s="21" t="str">
        <f>IF(C967="","",C967*CONFIG!B5)</f>
        <v/>
      </c>
    </row>
    <row r="968" ht="15.75" customHeight="1">
      <c r="A968" s="22" t="str">
        <f>IF(MOV_CC_INTL!A968="","",MOV_CC_INTL!A968)</f>
        <v/>
      </c>
      <c r="B968" s="22" t="str">
        <f>IF(MOV_CC_INTL!B968="","",MOV_CC_INTL!B968)</f>
        <v/>
      </c>
      <c r="C968" s="22" t="str">
        <f>IF(MOV_CC_INTL!C968="","",MOV_CC_INTL!C968)</f>
        <v/>
      </c>
      <c r="D968" s="22" t="str">
        <f t="shared" si="1"/>
        <v>Other</v>
      </c>
      <c r="E968" s="21" t="str">
        <f>IF(C968="","",C968*CONFIG!B5)</f>
        <v/>
      </c>
    </row>
    <row r="969" ht="15.75" customHeight="1">
      <c r="A969" s="22" t="str">
        <f>IF(MOV_CC_INTL!A969="","",MOV_CC_INTL!A969)</f>
        <v/>
      </c>
      <c r="B969" s="22" t="str">
        <f>IF(MOV_CC_INTL!B969="","",MOV_CC_INTL!B969)</f>
        <v/>
      </c>
      <c r="C969" s="22" t="str">
        <f>IF(MOV_CC_INTL!C969="","",MOV_CC_INTL!C969)</f>
        <v/>
      </c>
      <c r="D969" s="22" t="str">
        <f t="shared" si="1"/>
        <v>Other</v>
      </c>
      <c r="E969" s="21" t="str">
        <f>IF(C969="","",C969*CONFIG!B5)</f>
        <v/>
      </c>
    </row>
    <row r="970" ht="15.75" customHeight="1">
      <c r="A970" s="22" t="str">
        <f>IF(MOV_CC_INTL!A970="","",MOV_CC_INTL!A970)</f>
        <v/>
      </c>
      <c r="B970" s="22" t="str">
        <f>IF(MOV_CC_INTL!B970="","",MOV_CC_INTL!B970)</f>
        <v/>
      </c>
      <c r="C970" s="22" t="str">
        <f>IF(MOV_CC_INTL!C970="","",MOV_CC_INTL!C970)</f>
        <v/>
      </c>
      <c r="D970" s="22" t="str">
        <f t="shared" si="1"/>
        <v>Other</v>
      </c>
      <c r="E970" s="21" t="str">
        <f>IF(C970="","",C970*CONFIG!B5)</f>
        <v/>
      </c>
    </row>
    <row r="971" ht="15.75" customHeight="1">
      <c r="A971" s="22" t="str">
        <f>IF(MOV_CC_INTL!A971="","",MOV_CC_INTL!A971)</f>
        <v/>
      </c>
      <c r="B971" s="22" t="str">
        <f>IF(MOV_CC_INTL!B971="","",MOV_CC_INTL!B971)</f>
        <v/>
      </c>
      <c r="C971" s="22" t="str">
        <f>IF(MOV_CC_INTL!C971="","",MOV_CC_INTL!C971)</f>
        <v/>
      </c>
      <c r="D971" s="22" t="str">
        <f t="shared" si="1"/>
        <v>Other</v>
      </c>
      <c r="E971" s="21" t="str">
        <f>IF(C971="","",C971*CONFIG!B5)</f>
        <v/>
      </c>
    </row>
    <row r="972" ht="15.75" customHeight="1">
      <c r="A972" s="22" t="str">
        <f>IF(MOV_CC_INTL!A972="","",MOV_CC_INTL!A972)</f>
        <v/>
      </c>
      <c r="B972" s="22" t="str">
        <f>IF(MOV_CC_INTL!B972="","",MOV_CC_INTL!B972)</f>
        <v/>
      </c>
      <c r="C972" s="22" t="str">
        <f>IF(MOV_CC_INTL!C972="","",MOV_CC_INTL!C972)</f>
        <v/>
      </c>
      <c r="D972" s="22" t="str">
        <f t="shared" si="1"/>
        <v>Other</v>
      </c>
      <c r="E972" s="21" t="str">
        <f>IF(C972="","",C972*CONFIG!B5)</f>
        <v/>
      </c>
    </row>
    <row r="973" ht="15.75" customHeight="1">
      <c r="A973" s="22" t="str">
        <f>IF(MOV_CC_INTL!A973="","",MOV_CC_INTL!A973)</f>
        <v/>
      </c>
      <c r="B973" s="22" t="str">
        <f>IF(MOV_CC_INTL!B973="","",MOV_CC_INTL!B973)</f>
        <v/>
      </c>
      <c r="C973" s="22" t="str">
        <f>IF(MOV_CC_INTL!C973="","",MOV_CC_INTL!C973)</f>
        <v/>
      </c>
      <c r="D973" s="22" t="str">
        <f t="shared" si="1"/>
        <v>Other</v>
      </c>
      <c r="E973" s="21" t="str">
        <f>IF(C973="","",C973*CONFIG!B5)</f>
        <v/>
      </c>
    </row>
    <row r="974" ht="15.75" customHeight="1">
      <c r="A974" s="22" t="str">
        <f>IF(MOV_CC_INTL!A974="","",MOV_CC_INTL!A974)</f>
        <v/>
      </c>
      <c r="B974" s="22" t="str">
        <f>IF(MOV_CC_INTL!B974="","",MOV_CC_INTL!B974)</f>
        <v/>
      </c>
      <c r="C974" s="22" t="str">
        <f>IF(MOV_CC_INTL!C974="","",MOV_CC_INTL!C974)</f>
        <v/>
      </c>
      <c r="D974" s="22" t="str">
        <f t="shared" si="1"/>
        <v>Other</v>
      </c>
      <c r="E974" s="21" t="str">
        <f>IF(C974="","",C974*CONFIG!B5)</f>
        <v/>
      </c>
    </row>
    <row r="975" ht="15.75" customHeight="1">
      <c r="A975" s="22" t="str">
        <f>IF(MOV_CC_INTL!A975="","",MOV_CC_INTL!A975)</f>
        <v/>
      </c>
      <c r="B975" s="22" t="str">
        <f>IF(MOV_CC_INTL!B975="","",MOV_CC_INTL!B975)</f>
        <v/>
      </c>
      <c r="C975" s="22" t="str">
        <f>IF(MOV_CC_INTL!C975="","",MOV_CC_INTL!C975)</f>
        <v/>
      </c>
      <c r="D975" s="22" t="str">
        <f t="shared" si="1"/>
        <v>Other</v>
      </c>
      <c r="E975" s="21" t="str">
        <f>IF(C975="","",C975*CONFIG!B5)</f>
        <v/>
      </c>
    </row>
    <row r="976" ht="15.75" customHeight="1">
      <c r="A976" s="22" t="str">
        <f>IF(MOV_CC_INTL!A976="","",MOV_CC_INTL!A976)</f>
        <v/>
      </c>
      <c r="B976" s="22" t="str">
        <f>IF(MOV_CC_INTL!B976="","",MOV_CC_INTL!B976)</f>
        <v/>
      </c>
      <c r="C976" s="22" t="str">
        <f>IF(MOV_CC_INTL!C976="","",MOV_CC_INTL!C976)</f>
        <v/>
      </c>
      <c r="D976" s="22" t="str">
        <f t="shared" si="1"/>
        <v>Other</v>
      </c>
      <c r="E976" s="21" t="str">
        <f>IF(C976="","",C976*CONFIG!B5)</f>
        <v/>
      </c>
    </row>
    <row r="977" ht="15.75" customHeight="1">
      <c r="A977" s="22" t="str">
        <f>IF(MOV_CC_INTL!A977="","",MOV_CC_INTL!A977)</f>
        <v/>
      </c>
      <c r="B977" s="22" t="str">
        <f>IF(MOV_CC_INTL!B977="","",MOV_CC_INTL!B977)</f>
        <v/>
      </c>
      <c r="C977" s="22" t="str">
        <f>IF(MOV_CC_INTL!C977="","",MOV_CC_INTL!C977)</f>
        <v/>
      </c>
      <c r="D977" s="22" t="str">
        <f t="shared" si="1"/>
        <v>Other</v>
      </c>
      <c r="E977" s="21" t="str">
        <f>IF(C977="","",C977*CONFIG!B5)</f>
        <v/>
      </c>
    </row>
    <row r="978" ht="15.75" customHeight="1">
      <c r="A978" s="22" t="str">
        <f>IF(MOV_CC_INTL!A978="","",MOV_CC_INTL!A978)</f>
        <v/>
      </c>
      <c r="B978" s="22" t="str">
        <f>IF(MOV_CC_INTL!B978="","",MOV_CC_INTL!B978)</f>
        <v/>
      </c>
      <c r="C978" s="22" t="str">
        <f>IF(MOV_CC_INTL!C978="","",MOV_CC_INTL!C978)</f>
        <v/>
      </c>
      <c r="D978" s="22" t="str">
        <f t="shared" si="1"/>
        <v>Other</v>
      </c>
      <c r="E978" s="21" t="str">
        <f>IF(C978="","",C978*CONFIG!B5)</f>
        <v/>
      </c>
    </row>
    <row r="979" ht="15.75" customHeight="1">
      <c r="A979" s="22" t="str">
        <f>IF(MOV_CC_INTL!A979="","",MOV_CC_INTL!A979)</f>
        <v/>
      </c>
      <c r="B979" s="22" t="str">
        <f>IF(MOV_CC_INTL!B979="","",MOV_CC_INTL!B979)</f>
        <v/>
      </c>
      <c r="C979" s="22" t="str">
        <f>IF(MOV_CC_INTL!C979="","",MOV_CC_INTL!C979)</f>
        <v/>
      </c>
      <c r="D979" s="22" t="str">
        <f t="shared" si="1"/>
        <v>Other</v>
      </c>
      <c r="E979" s="21" t="str">
        <f>IF(C979="","",C979*CONFIG!B5)</f>
        <v/>
      </c>
    </row>
    <row r="980" ht="15.75" customHeight="1">
      <c r="A980" s="22" t="str">
        <f>IF(MOV_CC_INTL!A980="","",MOV_CC_INTL!A980)</f>
        <v/>
      </c>
      <c r="B980" s="22" t="str">
        <f>IF(MOV_CC_INTL!B980="","",MOV_CC_INTL!B980)</f>
        <v/>
      </c>
      <c r="C980" s="22" t="str">
        <f>IF(MOV_CC_INTL!C980="","",MOV_CC_INTL!C980)</f>
        <v/>
      </c>
      <c r="D980" s="22" t="str">
        <f t="shared" si="1"/>
        <v>Other</v>
      </c>
      <c r="E980" s="21" t="str">
        <f>IF(C980="","",C980*CONFIG!B5)</f>
        <v/>
      </c>
    </row>
    <row r="981" ht="15.75" customHeight="1">
      <c r="A981" s="22" t="str">
        <f>IF(MOV_CC_INTL!A981="","",MOV_CC_INTL!A981)</f>
        <v/>
      </c>
      <c r="B981" s="22" t="str">
        <f>IF(MOV_CC_INTL!B981="","",MOV_CC_INTL!B981)</f>
        <v/>
      </c>
      <c r="C981" s="22" t="str">
        <f>IF(MOV_CC_INTL!C981="","",MOV_CC_INTL!C981)</f>
        <v/>
      </c>
      <c r="D981" s="22" t="str">
        <f t="shared" si="1"/>
        <v>Other</v>
      </c>
      <c r="E981" s="21" t="str">
        <f>IF(C981="","",C981*CONFIG!B5)</f>
        <v/>
      </c>
    </row>
    <row r="982" ht="15.75" customHeight="1">
      <c r="A982" s="22" t="str">
        <f>IF(MOV_CC_INTL!A982="","",MOV_CC_INTL!A982)</f>
        <v/>
      </c>
      <c r="B982" s="22" t="str">
        <f>IF(MOV_CC_INTL!B982="","",MOV_CC_INTL!B982)</f>
        <v/>
      </c>
      <c r="C982" s="22" t="str">
        <f>IF(MOV_CC_INTL!C982="","",MOV_CC_INTL!C982)</f>
        <v/>
      </c>
      <c r="D982" s="22" t="str">
        <f t="shared" si="1"/>
        <v>Other</v>
      </c>
      <c r="E982" s="21" t="str">
        <f>IF(C982="","",C982*CONFIG!B5)</f>
        <v/>
      </c>
    </row>
    <row r="983" ht="15.75" customHeight="1">
      <c r="A983" s="22" t="str">
        <f>IF(MOV_CC_INTL!A983="","",MOV_CC_INTL!A983)</f>
        <v/>
      </c>
      <c r="B983" s="22" t="str">
        <f>IF(MOV_CC_INTL!B983="","",MOV_CC_INTL!B983)</f>
        <v/>
      </c>
      <c r="C983" s="22" t="str">
        <f>IF(MOV_CC_INTL!C983="","",MOV_CC_INTL!C983)</f>
        <v/>
      </c>
      <c r="D983" s="22" t="str">
        <f t="shared" si="1"/>
        <v>Other</v>
      </c>
      <c r="E983" s="21" t="str">
        <f>IF(C983="","",C983*CONFIG!B5)</f>
        <v/>
      </c>
    </row>
    <row r="984" ht="15.75" customHeight="1">
      <c r="A984" s="22" t="str">
        <f>IF(MOV_CC_INTL!A984="","",MOV_CC_INTL!A984)</f>
        <v/>
      </c>
      <c r="B984" s="22" t="str">
        <f>IF(MOV_CC_INTL!B984="","",MOV_CC_INTL!B984)</f>
        <v/>
      </c>
      <c r="C984" s="22" t="str">
        <f>IF(MOV_CC_INTL!C984="","",MOV_CC_INTL!C984)</f>
        <v/>
      </c>
      <c r="D984" s="22" t="str">
        <f t="shared" si="1"/>
        <v>Other</v>
      </c>
      <c r="E984" s="21" t="str">
        <f>IF(C984="","",C984*CONFIG!B5)</f>
        <v/>
      </c>
    </row>
    <row r="985" ht="15.75" customHeight="1">
      <c r="A985" s="22" t="str">
        <f>IF(MOV_CC_INTL!A985="","",MOV_CC_INTL!A985)</f>
        <v/>
      </c>
      <c r="B985" s="22" t="str">
        <f>IF(MOV_CC_INTL!B985="","",MOV_CC_INTL!B985)</f>
        <v/>
      </c>
      <c r="C985" s="22" t="str">
        <f>IF(MOV_CC_INTL!C985="","",MOV_CC_INTL!C985)</f>
        <v/>
      </c>
      <c r="D985" s="22" t="str">
        <f t="shared" si="1"/>
        <v>Other</v>
      </c>
      <c r="E985" s="21" t="str">
        <f>IF(C985="","",C985*CONFIG!B5)</f>
        <v/>
      </c>
    </row>
    <row r="986" ht="15.75" customHeight="1">
      <c r="A986" s="22" t="str">
        <f>IF(MOV_CC_INTL!A986="","",MOV_CC_INTL!A986)</f>
        <v/>
      </c>
      <c r="B986" s="22" t="str">
        <f>IF(MOV_CC_INTL!B986="","",MOV_CC_INTL!B986)</f>
        <v/>
      </c>
      <c r="C986" s="22" t="str">
        <f>IF(MOV_CC_INTL!C986="","",MOV_CC_INTL!C986)</f>
        <v/>
      </c>
      <c r="D986" s="22" t="str">
        <f t="shared" si="1"/>
        <v>Other</v>
      </c>
      <c r="E986" s="21" t="str">
        <f>IF(C986="","",C986*CONFIG!B5)</f>
        <v/>
      </c>
    </row>
    <row r="987" ht="15.75" customHeight="1">
      <c r="A987" s="22" t="str">
        <f>IF(MOV_CC_INTL!A987="","",MOV_CC_INTL!A987)</f>
        <v/>
      </c>
      <c r="B987" s="22" t="str">
        <f>IF(MOV_CC_INTL!B987="","",MOV_CC_INTL!B987)</f>
        <v/>
      </c>
      <c r="C987" s="22" t="str">
        <f>IF(MOV_CC_INTL!C987="","",MOV_CC_INTL!C987)</f>
        <v/>
      </c>
      <c r="D987" s="22" t="str">
        <f t="shared" si="1"/>
        <v>Other</v>
      </c>
      <c r="E987" s="21" t="str">
        <f>IF(C987="","",C987*CONFIG!B5)</f>
        <v/>
      </c>
    </row>
    <row r="988" ht="15.75" customHeight="1">
      <c r="A988" s="22" t="str">
        <f>IF(MOV_CC_INTL!A988="","",MOV_CC_INTL!A988)</f>
        <v/>
      </c>
      <c r="B988" s="22" t="str">
        <f>IF(MOV_CC_INTL!B988="","",MOV_CC_INTL!B988)</f>
        <v/>
      </c>
      <c r="C988" s="22" t="str">
        <f>IF(MOV_CC_INTL!C988="","",MOV_CC_INTL!C988)</f>
        <v/>
      </c>
      <c r="D988" s="22" t="str">
        <f t="shared" si="1"/>
        <v>Other</v>
      </c>
      <c r="E988" s="21" t="str">
        <f>IF(C988="","",C988*CONFIG!B5)</f>
        <v/>
      </c>
    </row>
    <row r="989" ht="15.75" customHeight="1">
      <c r="A989" s="22" t="str">
        <f>IF(MOV_CC_INTL!A989="","",MOV_CC_INTL!A989)</f>
        <v/>
      </c>
      <c r="B989" s="22" t="str">
        <f>IF(MOV_CC_INTL!B989="","",MOV_CC_INTL!B989)</f>
        <v/>
      </c>
      <c r="C989" s="22" t="str">
        <f>IF(MOV_CC_INTL!C989="","",MOV_CC_INTL!C989)</f>
        <v/>
      </c>
      <c r="D989" s="22" t="str">
        <f t="shared" si="1"/>
        <v>Other</v>
      </c>
      <c r="E989" s="21" t="str">
        <f>IF(C989="","",C989*CONFIG!B5)</f>
        <v/>
      </c>
    </row>
    <row r="990" ht="15.75" customHeight="1">
      <c r="A990" s="22" t="str">
        <f>IF(MOV_CC_INTL!A990="","",MOV_CC_INTL!A990)</f>
        <v/>
      </c>
      <c r="B990" s="22" t="str">
        <f>IF(MOV_CC_INTL!B990="","",MOV_CC_INTL!B990)</f>
        <v/>
      </c>
      <c r="C990" s="22" t="str">
        <f>IF(MOV_CC_INTL!C990="","",MOV_CC_INTL!C990)</f>
        <v/>
      </c>
      <c r="D990" s="22" t="str">
        <f t="shared" si="1"/>
        <v>Other</v>
      </c>
      <c r="E990" s="21" t="str">
        <f>IF(C990="","",C990*CONFIG!B5)</f>
        <v/>
      </c>
    </row>
    <row r="991" ht="15.75" customHeight="1">
      <c r="A991" s="22" t="str">
        <f>IF(MOV_CC_INTL!A991="","",MOV_CC_INTL!A991)</f>
        <v/>
      </c>
      <c r="B991" s="22" t="str">
        <f>IF(MOV_CC_INTL!B991="","",MOV_CC_INTL!B991)</f>
        <v/>
      </c>
      <c r="C991" s="22" t="str">
        <f>IF(MOV_CC_INTL!C991="","",MOV_CC_INTL!C991)</f>
        <v/>
      </c>
      <c r="D991" s="22" t="str">
        <f t="shared" si="1"/>
        <v>Other</v>
      </c>
      <c r="E991" s="21" t="str">
        <f>IF(C991="","",C991*CONFIG!B5)</f>
        <v/>
      </c>
    </row>
    <row r="992" ht="15.75" customHeight="1">
      <c r="A992" s="22" t="str">
        <f>IF(MOV_CC_INTL!A992="","",MOV_CC_INTL!A992)</f>
        <v/>
      </c>
      <c r="B992" s="22" t="str">
        <f>IF(MOV_CC_INTL!B992="","",MOV_CC_INTL!B992)</f>
        <v/>
      </c>
      <c r="C992" s="22" t="str">
        <f>IF(MOV_CC_INTL!C992="","",MOV_CC_INTL!C992)</f>
        <v/>
      </c>
      <c r="D992" s="22" t="str">
        <f t="shared" si="1"/>
        <v>Other</v>
      </c>
      <c r="E992" s="21" t="str">
        <f>IF(C992="","",C992*CONFIG!B5)</f>
        <v/>
      </c>
    </row>
    <row r="993" ht="15.75" customHeight="1">
      <c r="A993" s="22" t="str">
        <f>IF(MOV_CC_INTL!A993="","",MOV_CC_INTL!A993)</f>
        <v/>
      </c>
      <c r="B993" s="22" t="str">
        <f>IF(MOV_CC_INTL!B993="","",MOV_CC_INTL!B993)</f>
        <v/>
      </c>
      <c r="C993" s="22" t="str">
        <f>IF(MOV_CC_INTL!C993="","",MOV_CC_INTL!C993)</f>
        <v/>
      </c>
      <c r="D993" s="22" t="str">
        <f t="shared" si="1"/>
        <v>Other</v>
      </c>
      <c r="E993" s="21" t="str">
        <f>IF(C993="","",C993*CONFIG!B5)</f>
        <v/>
      </c>
    </row>
    <row r="994" ht="15.75" customHeight="1">
      <c r="A994" s="22" t="str">
        <f>IF(MOV_CC_INTL!A994="","",MOV_CC_INTL!A994)</f>
        <v/>
      </c>
      <c r="B994" s="22" t="str">
        <f>IF(MOV_CC_INTL!B994="","",MOV_CC_INTL!B994)</f>
        <v/>
      </c>
      <c r="C994" s="22" t="str">
        <f>IF(MOV_CC_INTL!C994="","",MOV_CC_INTL!C994)</f>
        <v/>
      </c>
      <c r="D994" s="22" t="str">
        <f t="shared" si="1"/>
        <v>Other</v>
      </c>
      <c r="E994" s="21" t="str">
        <f>IF(C994="","",C994*CONFIG!B5)</f>
        <v/>
      </c>
    </row>
    <row r="995" ht="15.75" customHeight="1">
      <c r="A995" s="22" t="str">
        <f>IF(MOV_CC_INTL!A995="","",MOV_CC_INTL!A995)</f>
        <v/>
      </c>
      <c r="B995" s="22" t="str">
        <f>IF(MOV_CC_INTL!B995="","",MOV_CC_INTL!B995)</f>
        <v/>
      </c>
      <c r="C995" s="22" t="str">
        <f>IF(MOV_CC_INTL!C995="","",MOV_CC_INTL!C995)</f>
        <v/>
      </c>
      <c r="D995" s="22" t="str">
        <f t="shared" si="1"/>
        <v>Other</v>
      </c>
      <c r="E995" s="21" t="str">
        <f>IF(C995="","",C995*CONFIG!B5)</f>
        <v/>
      </c>
    </row>
    <row r="996" ht="15.75" customHeight="1">
      <c r="A996" s="22" t="str">
        <f>IF(MOV_CC_INTL!A996="","",MOV_CC_INTL!A996)</f>
        <v/>
      </c>
      <c r="B996" s="22" t="str">
        <f>IF(MOV_CC_INTL!B996="","",MOV_CC_INTL!B996)</f>
        <v/>
      </c>
      <c r="C996" s="22" t="str">
        <f>IF(MOV_CC_INTL!C996="","",MOV_CC_INTL!C996)</f>
        <v/>
      </c>
      <c r="D996" s="22" t="str">
        <f t="shared" si="1"/>
        <v>Other</v>
      </c>
      <c r="E996" s="21" t="str">
        <f>IF(C996="","",C996*CONFIG!B5)</f>
        <v/>
      </c>
    </row>
    <row r="997" ht="15.75" customHeight="1">
      <c r="A997" s="22" t="str">
        <f>IF(MOV_CC_INTL!A997="","",MOV_CC_INTL!A997)</f>
        <v/>
      </c>
      <c r="B997" s="22" t="str">
        <f>IF(MOV_CC_INTL!B997="","",MOV_CC_INTL!B997)</f>
        <v/>
      </c>
      <c r="C997" s="22" t="str">
        <f>IF(MOV_CC_INTL!C997="","",MOV_CC_INTL!C997)</f>
        <v/>
      </c>
      <c r="D997" s="22" t="str">
        <f t="shared" si="1"/>
        <v>Other</v>
      </c>
      <c r="E997" s="21" t="str">
        <f>IF(C997="","",C997*CONFIG!B5)</f>
        <v/>
      </c>
    </row>
    <row r="998" ht="15.75" customHeight="1">
      <c r="A998" s="22" t="str">
        <f>IF(MOV_CC_INTL!A998="","",MOV_CC_INTL!A998)</f>
        <v/>
      </c>
      <c r="B998" s="22" t="str">
        <f>IF(MOV_CC_INTL!B998="","",MOV_CC_INTL!B998)</f>
        <v/>
      </c>
      <c r="C998" s="22" t="str">
        <f>IF(MOV_CC_INTL!C998="","",MOV_CC_INTL!C998)</f>
        <v/>
      </c>
      <c r="D998" s="22" t="str">
        <f t="shared" si="1"/>
        <v>Other</v>
      </c>
      <c r="E998" s="21" t="str">
        <f>IF(C998="","",C998*CONFIG!B5)</f>
        <v/>
      </c>
    </row>
    <row r="999" ht="15.75" customHeight="1">
      <c r="A999" s="22" t="str">
        <f>IF(MOV_CC_INTL!A999="","",MOV_CC_INTL!A999)</f>
        <v/>
      </c>
      <c r="B999" s="22" t="str">
        <f>IF(MOV_CC_INTL!B999="","",MOV_CC_INTL!B999)</f>
        <v/>
      </c>
      <c r="C999" s="22" t="str">
        <f>IF(MOV_CC_INTL!C999="","",MOV_CC_INTL!C999)</f>
        <v/>
      </c>
      <c r="D999" s="22" t="str">
        <f t="shared" si="1"/>
        <v>Other</v>
      </c>
      <c r="E999" s="21" t="str">
        <f>IF(C999="","",C999*CONFIG!B5)</f>
        <v/>
      </c>
    </row>
    <row r="1000" ht="15.75" customHeight="1">
      <c r="A1000" s="22" t="str">
        <f>IF(MOV_CC_INTL!A1000="","",MOV_CC_INTL!A1000)</f>
        <v/>
      </c>
      <c r="B1000" s="22" t="str">
        <f>IF(MOV_CC_INTL!B1000="","",MOV_CC_INTL!B1000)</f>
        <v/>
      </c>
      <c r="C1000" s="22" t="str">
        <f>IF(MOV_CC_INTL!C1000="","",MOV_CC_INTL!C1000)</f>
        <v/>
      </c>
      <c r="D1000" s="22" t="str">
        <f t="shared" si="1"/>
        <v>Other</v>
      </c>
      <c r="E1000" s="21" t="str">
        <f>IF(C1000="","",C1000*CONFIG!B5)</f>
        <v/>
      </c>
    </row>
    <row r="1001" ht="15.75" customHeight="1">
      <c r="A1001" s="22" t="str">
        <f>IF(MOV_CC_INTL!A1001="","",MOV_CC_INTL!A1001)</f>
        <v/>
      </c>
      <c r="B1001" s="22" t="str">
        <f>IF(MOV_CC_INTL!B1001="","",MOV_CC_INTL!B1001)</f>
        <v/>
      </c>
      <c r="C1001" s="22" t="str">
        <f>IF(MOV_CC_INTL!C1001="","",MOV_CC_INTL!C1001)</f>
        <v/>
      </c>
      <c r="D1001" s="22" t="str">
        <f t="shared" si="1"/>
        <v>Other</v>
      </c>
      <c r="E1001" s="21" t="str">
        <f>IF(C1001="","",C1001*CONFIG!B5)</f>
        <v/>
      </c>
    </row>
    <row r="1002" ht="15.75" customHeight="1">
      <c r="A1002" s="22" t="str">
        <f>IF(MOV_CC_INTL!A1002="","",MOV_CC_INTL!A1002)</f>
        <v/>
      </c>
      <c r="B1002" s="22" t="str">
        <f>IF(MOV_CC_INTL!B1002="","",MOV_CC_INTL!B1002)</f>
        <v/>
      </c>
      <c r="C1002" s="22" t="str">
        <f>IF(MOV_CC_INTL!C1002="","",MOV_CC_INTL!C1002)</f>
        <v/>
      </c>
      <c r="D1002" s="22" t="str">
        <f t="shared" si="1"/>
        <v>Other</v>
      </c>
      <c r="E1002" s="21" t="str">
        <f>IF(C1002="","",C1002*CONFIG!B5)</f>
        <v/>
      </c>
    </row>
    <row r="1003" ht="15.75" customHeight="1">
      <c r="A1003" s="22" t="str">
        <f>IF(MOV_CC_INTL!A1003="","",MOV_CC_INTL!A1003)</f>
        <v/>
      </c>
      <c r="B1003" s="22" t="str">
        <f>IF(MOV_CC_INTL!B1003="","",MOV_CC_INTL!B1003)</f>
        <v/>
      </c>
      <c r="C1003" s="22" t="str">
        <f>IF(MOV_CC_INTL!C1003="","",MOV_CC_INTL!C1003)</f>
        <v/>
      </c>
      <c r="D1003" s="22" t="str">
        <f t="shared" si="1"/>
        <v>Other</v>
      </c>
      <c r="E1003" s="21" t="str">
        <f>IF(C1003="","",C1003*CONFIG!B5)</f>
        <v/>
      </c>
    </row>
    <row r="1004" ht="15.75" customHeight="1">
      <c r="A1004" s="22" t="str">
        <f>IF(MOV_CC_INTL!A1004="","",MOV_CC_INTL!A1004)</f>
        <v/>
      </c>
      <c r="B1004" s="22" t="str">
        <f>IF(MOV_CC_INTL!B1004="","",MOV_CC_INTL!B1004)</f>
        <v/>
      </c>
      <c r="C1004" s="22" t="str">
        <f>IF(MOV_CC_INTL!C1004="","",MOV_CC_INTL!C1004)</f>
        <v/>
      </c>
      <c r="D1004" s="22" t="str">
        <f t="shared" si="1"/>
        <v>Other</v>
      </c>
      <c r="E1004" s="21" t="str">
        <f>IF(C1004="","",C1004*CONFIG!B5)</f>
        <v/>
      </c>
    </row>
    <row r="1005" ht="15.75" customHeight="1">
      <c r="A1005" s="22" t="str">
        <f>IF(MOV_CC_INTL!A1005="","",MOV_CC_INTL!A1005)</f>
        <v/>
      </c>
      <c r="B1005" s="22" t="str">
        <f>IF(MOV_CC_INTL!B1005="","",MOV_CC_INTL!B1005)</f>
        <v/>
      </c>
      <c r="C1005" s="22" t="str">
        <f>IF(MOV_CC_INTL!C1005="","",MOV_CC_INTL!C1005)</f>
        <v/>
      </c>
      <c r="D1005" s="22" t="str">
        <f t="shared" si="1"/>
        <v>Other</v>
      </c>
      <c r="E1005" s="21" t="str">
        <f>IF(C1005="","",C1005*CONFIG!B5)</f>
        <v/>
      </c>
    </row>
    <row r="1006" ht="15.75" customHeight="1">
      <c r="A1006" s="22" t="str">
        <f>IF(MOV_CC_INTL!A1006="","",MOV_CC_INTL!A1006)</f>
        <v/>
      </c>
      <c r="B1006" s="22" t="str">
        <f>IF(MOV_CC_INTL!B1006="","",MOV_CC_INTL!B1006)</f>
        <v/>
      </c>
      <c r="C1006" s="22" t="str">
        <f>IF(MOV_CC_INTL!C1006="","",MOV_CC_INTL!C1006)</f>
        <v/>
      </c>
      <c r="D1006" s="22" t="str">
        <f t="shared" si="1"/>
        <v>Other</v>
      </c>
      <c r="E1006" s="21" t="str">
        <f>IF(C1006="","",C1006*CONFIG!B5)</f>
        <v/>
      </c>
    </row>
    <row r="1007" ht="15.75" customHeight="1">
      <c r="A1007" s="22" t="str">
        <f>IF(MOV_CC_INTL!A1007="","",MOV_CC_INTL!A1007)</f>
        <v/>
      </c>
      <c r="B1007" s="22" t="str">
        <f>IF(MOV_CC_INTL!B1007="","",MOV_CC_INTL!B1007)</f>
        <v/>
      </c>
      <c r="C1007" s="22" t="str">
        <f>IF(MOV_CC_INTL!C1007="","",MOV_CC_INTL!C1007)</f>
        <v/>
      </c>
      <c r="D1007" s="22" t="str">
        <f t="shared" si="1"/>
        <v>Other</v>
      </c>
      <c r="E1007" s="21" t="str">
        <f>IF(C1007="","",C1007*CONFIG!B5)</f>
        <v/>
      </c>
    </row>
    <row r="1008" ht="15.75" customHeight="1">
      <c r="A1008" s="22" t="str">
        <f>IF(MOV_CC_INTL!A1008="","",MOV_CC_INTL!A1008)</f>
        <v/>
      </c>
      <c r="B1008" s="22" t="str">
        <f>IF(MOV_CC_INTL!B1008="","",MOV_CC_INTL!B1008)</f>
        <v/>
      </c>
      <c r="C1008" s="22" t="str">
        <f>IF(MOV_CC_INTL!C1008="","",MOV_CC_INTL!C1008)</f>
        <v/>
      </c>
      <c r="D1008" s="22" t="str">
        <f t="shared" si="1"/>
        <v>Other</v>
      </c>
      <c r="E1008" s="21" t="str">
        <f>IF(C1008="","",C1008*CONFIG!B5)</f>
        <v/>
      </c>
    </row>
    <row r="1009" ht="15.75" customHeight="1">
      <c r="A1009" s="22" t="str">
        <f>IF(MOV_CC_INTL!A1009="","",MOV_CC_INTL!A1009)</f>
        <v/>
      </c>
      <c r="B1009" s="22" t="str">
        <f>IF(MOV_CC_INTL!B1009="","",MOV_CC_INTL!B1009)</f>
        <v/>
      </c>
      <c r="C1009" s="22" t="str">
        <f>IF(MOV_CC_INTL!C1009="","",MOV_CC_INTL!C1009)</f>
        <v/>
      </c>
      <c r="D1009" s="22" t="str">
        <f t="shared" si="1"/>
        <v>Other</v>
      </c>
      <c r="E1009" s="21" t="str">
        <f>IF(C1009="","",C1009*CONFIG!B5)</f>
        <v/>
      </c>
    </row>
    <row r="1010" ht="15.75" customHeight="1">
      <c r="A1010" s="22" t="str">
        <f>IF(MOV_CC_INTL!A1010="","",MOV_CC_INTL!A1010)</f>
        <v/>
      </c>
      <c r="B1010" s="22" t="str">
        <f>IF(MOV_CC_INTL!B1010="","",MOV_CC_INTL!B1010)</f>
        <v/>
      </c>
      <c r="C1010" s="22" t="str">
        <f>IF(MOV_CC_INTL!C1010="","",MOV_CC_INTL!C1010)</f>
        <v/>
      </c>
      <c r="D1010" s="22" t="str">
        <f t="shared" si="1"/>
        <v>Other</v>
      </c>
      <c r="E1010" s="21" t="str">
        <f>IF(C1010="","",C1010*CONFIG!B5)</f>
        <v/>
      </c>
    </row>
    <row r="1011" ht="15.75" customHeight="1">
      <c r="A1011" s="22" t="str">
        <f>IF(MOV_CC_INTL!A1011="","",MOV_CC_INTL!A1011)</f>
        <v/>
      </c>
      <c r="B1011" s="22" t="str">
        <f>IF(MOV_CC_INTL!B1011="","",MOV_CC_INTL!B1011)</f>
        <v/>
      </c>
      <c r="C1011" s="22" t="str">
        <f>IF(MOV_CC_INTL!C1011="","",MOV_CC_INTL!C1011)</f>
        <v/>
      </c>
      <c r="D1011" s="22" t="str">
        <f t="shared" si="1"/>
        <v>Other</v>
      </c>
      <c r="E1011" s="21" t="str">
        <f>IF(C1011="","",C1011*CONFIG!B5)</f>
        <v/>
      </c>
    </row>
    <row r="1012" ht="15.75" customHeight="1">
      <c r="A1012" s="22" t="str">
        <f>IF(MOV_CC_INTL!A1012="","",MOV_CC_INTL!A1012)</f>
        <v/>
      </c>
      <c r="B1012" s="22" t="str">
        <f>IF(MOV_CC_INTL!B1012="","",MOV_CC_INTL!B1012)</f>
        <v/>
      </c>
      <c r="C1012" s="22" t="str">
        <f>IF(MOV_CC_INTL!C1012="","",MOV_CC_INTL!C1012)</f>
        <v/>
      </c>
      <c r="D1012" s="22" t="str">
        <f t="shared" si="1"/>
        <v>Other</v>
      </c>
      <c r="E1012" s="21" t="str">
        <f>IF(C1012="","",C1012*CONFIG!B5)</f>
        <v/>
      </c>
    </row>
    <row r="1013" ht="15.75" customHeight="1">
      <c r="A1013" s="22" t="str">
        <f>IF(MOV_CC_INTL!A1013="","",MOV_CC_INTL!A1013)</f>
        <v/>
      </c>
      <c r="B1013" s="22" t="str">
        <f>IF(MOV_CC_INTL!B1013="","",MOV_CC_INTL!B1013)</f>
        <v/>
      </c>
      <c r="C1013" s="22" t="str">
        <f>IF(MOV_CC_INTL!C1013="","",MOV_CC_INTL!C1013)</f>
        <v/>
      </c>
      <c r="D1013" s="22" t="str">
        <f t="shared" si="1"/>
        <v>Other</v>
      </c>
      <c r="E1013" s="21" t="str">
        <f>IF(C1013="","",C1013*CONFIG!B5)</f>
        <v/>
      </c>
    </row>
    <row r="1014" ht="15.75" customHeight="1">
      <c r="A1014" s="22" t="str">
        <f>IF(MOV_CC_INTL!A1014="","",MOV_CC_INTL!A1014)</f>
        <v/>
      </c>
      <c r="B1014" s="22" t="str">
        <f>IF(MOV_CC_INTL!B1014="","",MOV_CC_INTL!B1014)</f>
        <v/>
      </c>
      <c r="C1014" s="22" t="str">
        <f>IF(MOV_CC_INTL!C1014="","",MOV_CC_INTL!C1014)</f>
        <v/>
      </c>
      <c r="D1014" s="22" t="str">
        <f t="shared" si="1"/>
        <v>Other</v>
      </c>
      <c r="E1014" s="21" t="str">
        <f>IF(C1014="","",C1014*CONFIG!B5)</f>
        <v/>
      </c>
    </row>
    <row r="1015" ht="15.75" customHeight="1">
      <c r="A1015" s="22" t="str">
        <f>IF(MOV_CC_INTL!A1015="","",MOV_CC_INTL!A1015)</f>
        <v/>
      </c>
      <c r="B1015" s="22" t="str">
        <f>IF(MOV_CC_INTL!B1015="","",MOV_CC_INTL!B1015)</f>
        <v/>
      </c>
      <c r="C1015" s="22" t="str">
        <f>IF(MOV_CC_INTL!C1015="","",MOV_CC_INTL!C1015)</f>
        <v/>
      </c>
      <c r="D1015" s="22" t="str">
        <f t="shared" si="1"/>
        <v>Other</v>
      </c>
      <c r="E1015" s="21" t="str">
        <f>IF(C1015="","",C1015*CONFIG!B5)</f>
        <v/>
      </c>
    </row>
    <row r="1016" ht="15.75" customHeight="1">
      <c r="A1016" s="22" t="str">
        <f>IF(MOV_CC_INTL!A1016="","",MOV_CC_INTL!A1016)</f>
        <v/>
      </c>
      <c r="B1016" s="22" t="str">
        <f>IF(MOV_CC_INTL!B1016="","",MOV_CC_INTL!B1016)</f>
        <v/>
      </c>
      <c r="C1016" s="22" t="str">
        <f>IF(MOV_CC_INTL!C1016="","",MOV_CC_INTL!C1016)</f>
        <v/>
      </c>
      <c r="D1016" s="22" t="str">
        <f t="shared" si="1"/>
        <v>Other</v>
      </c>
      <c r="E1016" s="21" t="str">
        <f>IF(C1016="","",C1016*CONFIG!B5)</f>
        <v/>
      </c>
    </row>
    <row r="1017" ht="15.75" customHeight="1">
      <c r="A1017" s="22" t="str">
        <f>IF(MOV_CC_INTL!A1017="","",MOV_CC_INTL!A1017)</f>
        <v/>
      </c>
      <c r="B1017" s="22" t="str">
        <f>IF(MOV_CC_INTL!B1017="","",MOV_CC_INTL!B1017)</f>
        <v/>
      </c>
      <c r="C1017" s="22" t="str">
        <f>IF(MOV_CC_INTL!C1017="","",MOV_CC_INTL!C1017)</f>
        <v/>
      </c>
      <c r="D1017" s="22" t="str">
        <f t="shared" si="1"/>
        <v>Other</v>
      </c>
      <c r="E1017" s="21" t="str">
        <f>IF(C1017="","",C1017*CONFIG!B5)</f>
        <v/>
      </c>
    </row>
    <row r="1018" ht="15.75" customHeight="1">
      <c r="A1018" s="22" t="str">
        <f>IF(MOV_CC_INTL!A1018="","",MOV_CC_INTL!A1018)</f>
        <v/>
      </c>
      <c r="B1018" s="22" t="str">
        <f>IF(MOV_CC_INTL!B1018="","",MOV_CC_INTL!B1018)</f>
        <v/>
      </c>
      <c r="C1018" s="22" t="str">
        <f>IF(MOV_CC_INTL!C1018="","",MOV_CC_INTL!C1018)</f>
        <v/>
      </c>
      <c r="D1018" s="22" t="str">
        <f t="shared" si="1"/>
        <v>Other</v>
      </c>
      <c r="E1018" s="21" t="str">
        <f>IF(C1018="","",C1018*CONFIG!B5)</f>
        <v/>
      </c>
    </row>
    <row r="1019" ht="15.75" customHeight="1">
      <c r="A1019" s="22" t="str">
        <f>IF(MOV_CC_INTL!A1019="","",MOV_CC_INTL!A1019)</f>
        <v/>
      </c>
      <c r="B1019" s="22" t="str">
        <f>IF(MOV_CC_INTL!B1019="","",MOV_CC_INTL!B1019)</f>
        <v/>
      </c>
      <c r="C1019" s="22" t="str">
        <f>IF(MOV_CC_INTL!C1019="","",MOV_CC_INTL!C1019)</f>
        <v/>
      </c>
      <c r="D1019" s="22" t="str">
        <f t="shared" si="1"/>
        <v>Other</v>
      </c>
      <c r="E1019" s="21" t="str">
        <f>IF(C1019="","",C1019*CONFIG!B5)</f>
        <v/>
      </c>
    </row>
    <row r="1020" ht="15.75" customHeight="1">
      <c r="A1020" s="22" t="str">
        <f>IF(MOV_CC_INTL!A1020="","",MOV_CC_INTL!A1020)</f>
        <v/>
      </c>
      <c r="B1020" s="22" t="str">
        <f>IF(MOV_CC_INTL!B1020="","",MOV_CC_INTL!B1020)</f>
        <v/>
      </c>
      <c r="C1020" s="22" t="str">
        <f>IF(MOV_CC_INTL!C1020="","",MOV_CC_INTL!C1020)</f>
        <v/>
      </c>
      <c r="D1020" s="22" t="str">
        <f t="shared" si="1"/>
        <v>Other</v>
      </c>
      <c r="E1020" s="21" t="str">
        <f>IF(C1020="","",C1020*CONFIG!B5)</f>
        <v/>
      </c>
    </row>
    <row r="1021" ht="15.75" customHeight="1">
      <c r="A1021" s="22" t="str">
        <f>IF(MOV_CC_INTL!A1021="","",MOV_CC_INTL!A1021)</f>
        <v/>
      </c>
      <c r="B1021" s="22" t="str">
        <f>IF(MOV_CC_INTL!B1021="","",MOV_CC_INTL!B1021)</f>
        <v/>
      </c>
      <c r="C1021" s="22" t="str">
        <f>IF(MOV_CC_INTL!C1021="","",MOV_CC_INTL!C1021)</f>
        <v/>
      </c>
      <c r="D1021" s="22" t="str">
        <f t="shared" si="1"/>
        <v>Other</v>
      </c>
      <c r="E1021" s="21" t="str">
        <f>IF(C1021="","",C1021*CONFIG!B5)</f>
        <v/>
      </c>
    </row>
    <row r="1022" ht="15.75" customHeight="1">
      <c r="A1022" s="22" t="str">
        <f>IF(MOV_CC_INTL!A1022="","",MOV_CC_INTL!A1022)</f>
        <v/>
      </c>
      <c r="B1022" s="22" t="str">
        <f>IF(MOV_CC_INTL!B1022="","",MOV_CC_INTL!B1022)</f>
        <v/>
      </c>
      <c r="C1022" s="22" t="str">
        <f>IF(MOV_CC_INTL!C1022="","",MOV_CC_INTL!C1022)</f>
        <v/>
      </c>
      <c r="D1022" s="22" t="str">
        <f t="shared" si="1"/>
        <v>Other</v>
      </c>
      <c r="E1022" s="21" t="str">
        <f>IF(C1022="","",C1022*CONFIG!B5)</f>
        <v/>
      </c>
    </row>
    <row r="1023" ht="15.75" customHeight="1">
      <c r="A1023" s="22" t="str">
        <f>IF(MOV_CC_INTL!A1023="","",MOV_CC_INTL!A1023)</f>
        <v/>
      </c>
      <c r="B1023" s="22" t="str">
        <f>IF(MOV_CC_INTL!B1023="","",MOV_CC_INTL!B1023)</f>
        <v/>
      </c>
      <c r="C1023" s="22" t="str">
        <f>IF(MOV_CC_INTL!C1023="","",MOV_CC_INTL!C1023)</f>
        <v/>
      </c>
      <c r="D1023" s="22" t="str">
        <f t="shared" si="1"/>
        <v>Other</v>
      </c>
      <c r="E1023" s="21" t="str">
        <f>IF(C1023="","",C1023*CONFIG!B5)</f>
        <v/>
      </c>
    </row>
    <row r="1024" ht="15.75" customHeight="1">
      <c r="A1024" s="22" t="str">
        <f>IF(MOV_CC_INTL!A1024="","",MOV_CC_INTL!A1024)</f>
        <v/>
      </c>
      <c r="B1024" s="22" t="str">
        <f>IF(MOV_CC_INTL!B1024="","",MOV_CC_INTL!B1024)</f>
        <v/>
      </c>
      <c r="C1024" s="22" t="str">
        <f>IF(MOV_CC_INTL!C1024="","",MOV_CC_INTL!C1024)</f>
        <v/>
      </c>
      <c r="D1024" s="22" t="str">
        <f t="shared" si="1"/>
        <v>Other</v>
      </c>
      <c r="E1024" s="21" t="str">
        <f>IF(C1024="","",C1024*CONFIG!B5)</f>
        <v/>
      </c>
    </row>
    <row r="1025" ht="15.75" customHeight="1">
      <c r="A1025" s="22" t="str">
        <f>IF(MOV_CC_INTL!A1025="","",MOV_CC_INTL!A1025)</f>
        <v/>
      </c>
      <c r="B1025" s="22" t="str">
        <f>IF(MOV_CC_INTL!B1025="","",MOV_CC_INTL!B1025)</f>
        <v/>
      </c>
      <c r="C1025" s="22" t="str">
        <f>IF(MOV_CC_INTL!C1025="","",MOV_CC_INTL!C1025)</f>
        <v/>
      </c>
      <c r="D1025" s="22" t="str">
        <f t="shared" si="1"/>
        <v>Other</v>
      </c>
      <c r="E1025" s="21" t="str">
        <f>IF(C1025="","",C1025*CONFIG!B5)</f>
        <v/>
      </c>
    </row>
    <row r="1026" ht="15.75" customHeight="1">
      <c r="A1026" s="22" t="str">
        <f>IF(MOV_CC_INTL!A1026="","",MOV_CC_INTL!A1026)</f>
        <v/>
      </c>
      <c r="B1026" s="22" t="str">
        <f>IF(MOV_CC_INTL!B1026="","",MOV_CC_INTL!B1026)</f>
        <v/>
      </c>
      <c r="C1026" s="22" t="str">
        <f>IF(MOV_CC_INTL!C1026="","",MOV_CC_INTL!C1026)</f>
        <v/>
      </c>
      <c r="D1026" s="22" t="str">
        <f t="shared" si="1"/>
        <v>Other</v>
      </c>
      <c r="E1026" s="21" t="str">
        <f>IF(C1026="","",C1026*CONFIG!B5)</f>
        <v/>
      </c>
    </row>
    <row r="1027" ht="15.75" customHeight="1">
      <c r="A1027" s="22" t="str">
        <f>IF(MOV_CC_INTL!A1027="","",MOV_CC_INTL!A1027)</f>
        <v/>
      </c>
      <c r="B1027" s="22" t="str">
        <f>IF(MOV_CC_INTL!B1027="","",MOV_CC_INTL!B1027)</f>
        <v/>
      </c>
      <c r="C1027" s="22" t="str">
        <f>IF(MOV_CC_INTL!C1027="","",MOV_CC_INTL!C1027)</f>
        <v/>
      </c>
      <c r="D1027" s="22" t="str">
        <f t="shared" si="1"/>
        <v>Other</v>
      </c>
      <c r="E1027" s="21" t="str">
        <f>IF(C1027="","",C1027*CONFIG!B5)</f>
        <v/>
      </c>
    </row>
    <row r="1028" ht="15.75" customHeight="1">
      <c r="A1028" s="22" t="str">
        <f>IF(MOV_CC_INTL!A1028="","",MOV_CC_INTL!A1028)</f>
        <v/>
      </c>
      <c r="B1028" s="22" t="str">
        <f>IF(MOV_CC_INTL!B1028="","",MOV_CC_INTL!B1028)</f>
        <v/>
      </c>
      <c r="C1028" s="22" t="str">
        <f>IF(MOV_CC_INTL!C1028="","",MOV_CC_INTL!C1028)</f>
        <v/>
      </c>
      <c r="D1028" s="22" t="str">
        <f t="shared" si="1"/>
        <v>Other</v>
      </c>
      <c r="E1028" s="21" t="str">
        <f>IF(C1028="","",C1028*CONFIG!B5)</f>
        <v/>
      </c>
    </row>
    <row r="1029" ht="15.75" customHeight="1">
      <c r="A1029" s="22" t="str">
        <f>IF(MOV_CC_INTL!A1029="","",MOV_CC_INTL!A1029)</f>
        <v/>
      </c>
      <c r="B1029" s="22" t="str">
        <f>IF(MOV_CC_INTL!B1029="","",MOV_CC_INTL!B1029)</f>
        <v/>
      </c>
      <c r="C1029" s="22" t="str">
        <f>IF(MOV_CC_INTL!C1029="","",MOV_CC_INTL!C1029)</f>
        <v/>
      </c>
      <c r="D1029" s="22" t="str">
        <f t="shared" si="1"/>
        <v>Other</v>
      </c>
      <c r="E1029" s="21" t="str">
        <f>IF(C1029="","",C1029*CONFIG!B5)</f>
        <v/>
      </c>
    </row>
    <row r="1030" ht="15.75" customHeight="1">
      <c r="A1030" s="22" t="str">
        <f>IF(MOV_CC_INTL!A1030="","",MOV_CC_INTL!A1030)</f>
        <v/>
      </c>
      <c r="B1030" s="22" t="str">
        <f>IF(MOV_CC_INTL!B1030="","",MOV_CC_INTL!B1030)</f>
        <v/>
      </c>
      <c r="C1030" s="22" t="str">
        <f>IF(MOV_CC_INTL!C1030="","",MOV_CC_INTL!C1030)</f>
        <v/>
      </c>
      <c r="D1030" s="22" t="str">
        <f t="shared" si="1"/>
        <v>Other</v>
      </c>
      <c r="E1030" s="21" t="str">
        <f>IF(C1030="","",C1030*CONFIG!B5)</f>
        <v/>
      </c>
    </row>
    <row r="1031" ht="15.75" customHeight="1">
      <c r="A1031" s="22" t="str">
        <f>IF(MOV_CC_INTL!A1031="","",MOV_CC_INTL!A1031)</f>
        <v/>
      </c>
      <c r="B1031" s="22" t="str">
        <f>IF(MOV_CC_INTL!B1031="","",MOV_CC_INTL!B1031)</f>
        <v/>
      </c>
      <c r="C1031" s="22" t="str">
        <f>IF(MOV_CC_INTL!C1031="","",MOV_CC_INTL!C1031)</f>
        <v/>
      </c>
      <c r="D1031" s="22" t="str">
        <f t="shared" si="1"/>
        <v>Other</v>
      </c>
      <c r="E1031" s="21" t="str">
        <f>IF(C1031="","",C1031*CONFIG!B5)</f>
        <v/>
      </c>
    </row>
    <row r="1032" ht="15.75" customHeight="1">
      <c r="A1032" s="22" t="str">
        <f>IF(MOV_CC_INTL!A1032="","",MOV_CC_INTL!A1032)</f>
        <v/>
      </c>
      <c r="B1032" s="22" t="str">
        <f>IF(MOV_CC_INTL!B1032="","",MOV_CC_INTL!B1032)</f>
        <v/>
      </c>
      <c r="C1032" s="22" t="str">
        <f>IF(MOV_CC_INTL!C1032="","",MOV_CC_INTL!C1032)</f>
        <v/>
      </c>
      <c r="D1032" s="22" t="str">
        <f t="shared" si="1"/>
        <v>Other</v>
      </c>
      <c r="E1032" s="21" t="str">
        <f>IF(C1032="","",C1032*CONFIG!B5)</f>
        <v/>
      </c>
    </row>
    <row r="1033" ht="15.75" customHeight="1">
      <c r="A1033" s="22" t="str">
        <f>IF(MOV_CC_INTL!A1033="","",MOV_CC_INTL!A1033)</f>
        <v/>
      </c>
      <c r="B1033" s="22" t="str">
        <f>IF(MOV_CC_INTL!B1033="","",MOV_CC_INTL!B1033)</f>
        <v/>
      </c>
      <c r="C1033" s="22" t="str">
        <f>IF(MOV_CC_INTL!C1033="","",MOV_CC_INTL!C1033)</f>
        <v/>
      </c>
      <c r="D1033" s="22" t="str">
        <f t="shared" si="1"/>
        <v>Other</v>
      </c>
      <c r="E1033" s="21" t="str">
        <f>IF(C1033="","",C1033*CONFIG!B5)</f>
        <v/>
      </c>
    </row>
    <row r="1034" ht="15.75" customHeight="1">
      <c r="A1034" s="22" t="str">
        <f>IF(MOV_CC_INTL!A1034="","",MOV_CC_INTL!A1034)</f>
        <v/>
      </c>
      <c r="B1034" s="22" t="str">
        <f>IF(MOV_CC_INTL!B1034="","",MOV_CC_INTL!B1034)</f>
        <v/>
      </c>
      <c r="C1034" s="22" t="str">
        <f>IF(MOV_CC_INTL!C1034="","",MOV_CC_INTL!C1034)</f>
        <v/>
      </c>
      <c r="D1034" s="22" t="str">
        <f t="shared" si="1"/>
        <v>Other</v>
      </c>
      <c r="E1034" s="21" t="str">
        <f>IF(C1034="","",C1034*CONFIG!B5)</f>
        <v/>
      </c>
    </row>
    <row r="1035" ht="15.75" customHeight="1">
      <c r="A1035" s="22" t="str">
        <f>IF(MOV_CC_INTL!A1035="","",MOV_CC_INTL!A1035)</f>
        <v/>
      </c>
      <c r="B1035" s="22" t="str">
        <f>IF(MOV_CC_INTL!B1035="","",MOV_CC_INTL!B1035)</f>
        <v/>
      </c>
      <c r="C1035" s="22" t="str">
        <f>IF(MOV_CC_INTL!C1035="","",MOV_CC_INTL!C1035)</f>
        <v/>
      </c>
      <c r="D1035" s="22" t="str">
        <f t="shared" si="1"/>
        <v>Other</v>
      </c>
      <c r="E1035" s="21" t="str">
        <f>IF(C1035="","",C1035*CONFIG!B5)</f>
        <v/>
      </c>
    </row>
    <row r="1036" ht="15.75" customHeight="1">
      <c r="A1036" s="22" t="str">
        <f>IF(MOV_CC_INTL!A1036="","",MOV_CC_INTL!A1036)</f>
        <v/>
      </c>
      <c r="B1036" s="22" t="str">
        <f>IF(MOV_CC_INTL!B1036="","",MOV_CC_INTL!B1036)</f>
        <v/>
      </c>
      <c r="C1036" s="22" t="str">
        <f>IF(MOV_CC_INTL!C1036="","",MOV_CC_INTL!C1036)</f>
        <v/>
      </c>
      <c r="D1036" s="22" t="str">
        <f t="shared" si="1"/>
        <v>Other</v>
      </c>
      <c r="E1036" s="21" t="str">
        <f>IF(C1036="","",C1036*CONFIG!B5)</f>
        <v/>
      </c>
    </row>
    <row r="1037" ht="15.75" customHeight="1">
      <c r="A1037" s="22" t="str">
        <f>IF(MOV_CC_INTL!A1037="","",MOV_CC_INTL!A1037)</f>
        <v/>
      </c>
      <c r="B1037" s="22" t="str">
        <f>IF(MOV_CC_INTL!B1037="","",MOV_CC_INTL!B1037)</f>
        <v/>
      </c>
      <c r="C1037" s="22" t="str">
        <f>IF(MOV_CC_INTL!C1037="","",MOV_CC_INTL!C1037)</f>
        <v/>
      </c>
      <c r="D1037" s="22" t="str">
        <f t="shared" si="1"/>
        <v>Other</v>
      </c>
      <c r="E1037" s="21" t="str">
        <f>IF(C1037="","",C1037*CONFIG!B5)</f>
        <v/>
      </c>
    </row>
    <row r="1038" ht="15.75" customHeight="1">
      <c r="A1038" s="22" t="str">
        <f>IF(MOV_CC_INTL!A1038="","",MOV_CC_INTL!A1038)</f>
        <v/>
      </c>
      <c r="B1038" s="22" t="str">
        <f>IF(MOV_CC_INTL!B1038="","",MOV_CC_INTL!B1038)</f>
        <v/>
      </c>
      <c r="C1038" s="22" t="str">
        <f>IF(MOV_CC_INTL!C1038="","",MOV_CC_INTL!C1038)</f>
        <v/>
      </c>
      <c r="D1038" s="22" t="str">
        <f t="shared" si="1"/>
        <v>Other</v>
      </c>
      <c r="E1038" s="21" t="str">
        <f>IF(C1038="","",C1038*CONFIG!B5)</f>
        <v/>
      </c>
    </row>
    <row r="1039" ht="15.75" customHeight="1">
      <c r="A1039" s="22" t="str">
        <f>IF(MOV_CC_INTL!A1039="","",MOV_CC_INTL!A1039)</f>
        <v/>
      </c>
      <c r="B1039" s="22" t="str">
        <f>IF(MOV_CC_INTL!B1039="","",MOV_CC_INTL!B1039)</f>
        <v/>
      </c>
      <c r="C1039" s="22" t="str">
        <f>IF(MOV_CC_INTL!C1039="","",MOV_CC_INTL!C1039)</f>
        <v/>
      </c>
      <c r="D1039" s="22" t="str">
        <f t="shared" si="1"/>
        <v>Other</v>
      </c>
      <c r="E1039" s="21" t="str">
        <f>IF(C1039="","",C1039*CONFIG!B5)</f>
        <v/>
      </c>
    </row>
    <row r="1040" ht="15.75" customHeight="1">
      <c r="A1040" s="22" t="str">
        <f>IF(MOV_CC_INTL!A1040="","",MOV_CC_INTL!A1040)</f>
        <v/>
      </c>
      <c r="B1040" s="22" t="str">
        <f>IF(MOV_CC_INTL!B1040="","",MOV_CC_INTL!B1040)</f>
        <v/>
      </c>
      <c r="C1040" s="22" t="str">
        <f>IF(MOV_CC_INTL!C1040="","",MOV_CC_INTL!C1040)</f>
        <v/>
      </c>
      <c r="D1040" s="22" t="str">
        <f t="shared" si="1"/>
        <v>Other</v>
      </c>
      <c r="E1040" s="21" t="str">
        <f>IF(C1040="","",C1040*CONFIG!B5)</f>
        <v/>
      </c>
    </row>
    <row r="1041" ht="15.75" customHeight="1">
      <c r="A1041" s="22" t="str">
        <f>IF(MOV_CC_INTL!A1041="","",MOV_CC_INTL!A1041)</f>
        <v/>
      </c>
      <c r="B1041" s="22" t="str">
        <f>IF(MOV_CC_INTL!B1041="","",MOV_CC_INTL!B1041)</f>
        <v/>
      </c>
      <c r="C1041" s="22" t="str">
        <f>IF(MOV_CC_INTL!C1041="","",MOV_CC_INTL!C1041)</f>
        <v/>
      </c>
      <c r="D1041" s="22" t="str">
        <f t="shared" si="1"/>
        <v>Other</v>
      </c>
      <c r="E1041" s="21" t="str">
        <f>IF(C1041="","",C1041*CONFIG!B5)</f>
        <v/>
      </c>
    </row>
    <row r="1042" ht="15.75" customHeight="1">
      <c r="A1042" s="22" t="str">
        <f>IF(MOV_CC_INTL!A1042="","",MOV_CC_INTL!A1042)</f>
        <v/>
      </c>
      <c r="B1042" s="22" t="str">
        <f>IF(MOV_CC_INTL!B1042="","",MOV_CC_INTL!B1042)</f>
        <v/>
      </c>
      <c r="C1042" s="22" t="str">
        <f>IF(MOV_CC_INTL!C1042="","",MOV_CC_INTL!C1042)</f>
        <v/>
      </c>
      <c r="D1042" s="22" t="str">
        <f t="shared" si="1"/>
        <v>Other</v>
      </c>
      <c r="E1042" s="21" t="str">
        <f>IF(C1042="","",C1042*CONFIG!B5)</f>
        <v/>
      </c>
    </row>
    <row r="1043" ht="15.75" customHeight="1">
      <c r="A1043" s="22" t="str">
        <f>IF(MOV_CC_INTL!A1043="","",MOV_CC_INTL!A1043)</f>
        <v/>
      </c>
      <c r="B1043" s="22" t="str">
        <f>IF(MOV_CC_INTL!B1043="","",MOV_CC_INTL!B1043)</f>
        <v/>
      </c>
      <c r="C1043" s="22" t="str">
        <f>IF(MOV_CC_INTL!C1043="","",MOV_CC_INTL!C1043)</f>
        <v/>
      </c>
      <c r="D1043" s="22" t="str">
        <f t="shared" si="1"/>
        <v>Other</v>
      </c>
      <c r="E1043" s="21" t="str">
        <f>IF(C1043="","",C1043*CONFIG!B5)</f>
        <v/>
      </c>
    </row>
    <row r="1044" ht="15.75" customHeight="1">
      <c r="A1044" s="22" t="str">
        <f>IF(MOV_CC_INTL!A1044="","",MOV_CC_INTL!A1044)</f>
        <v/>
      </c>
      <c r="B1044" s="22" t="str">
        <f>IF(MOV_CC_INTL!B1044="","",MOV_CC_INTL!B1044)</f>
        <v/>
      </c>
      <c r="C1044" s="22" t="str">
        <f>IF(MOV_CC_INTL!C1044="","",MOV_CC_INTL!C1044)</f>
        <v/>
      </c>
      <c r="D1044" s="22" t="str">
        <f t="shared" si="1"/>
        <v>Other</v>
      </c>
      <c r="E1044" s="21" t="str">
        <f>IF(C1044="","",C1044*CONFIG!B5)</f>
        <v/>
      </c>
    </row>
    <row r="1045" ht="15.75" customHeight="1">
      <c r="A1045" s="22" t="str">
        <f>IF(MOV_CC_INTL!A1045="","",MOV_CC_INTL!A1045)</f>
        <v/>
      </c>
      <c r="B1045" s="22" t="str">
        <f>IF(MOV_CC_INTL!B1045="","",MOV_CC_INTL!B1045)</f>
        <v/>
      </c>
      <c r="C1045" s="22" t="str">
        <f>IF(MOV_CC_INTL!C1045="","",MOV_CC_INTL!C1045)</f>
        <v/>
      </c>
      <c r="D1045" s="22" t="str">
        <f t="shared" si="1"/>
        <v>Other</v>
      </c>
      <c r="E1045" s="21" t="str">
        <f>IF(C1045="","",C1045*CONFIG!B5)</f>
        <v/>
      </c>
    </row>
    <row r="1046" ht="15.75" customHeight="1">
      <c r="A1046" s="22" t="str">
        <f>IF(MOV_CC_INTL!A1046="","",MOV_CC_INTL!A1046)</f>
        <v/>
      </c>
      <c r="B1046" s="22" t="str">
        <f>IF(MOV_CC_INTL!B1046="","",MOV_CC_INTL!B1046)</f>
        <v/>
      </c>
      <c r="C1046" s="22" t="str">
        <f>IF(MOV_CC_INTL!C1046="","",MOV_CC_INTL!C1046)</f>
        <v/>
      </c>
      <c r="D1046" s="22" t="str">
        <f t="shared" si="1"/>
        <v>Other</v>
      </c>
      <c r="E1046" s="21" t="str">
        <f>IF(C1046="","",C1046*CONFIG!B5)</f>
        <v/>
      </c>
    </row>
    <row r="1047" ht="15.75" customHeight="1">
      <c r="A1047" s="22" t="str">
        <f>IF(MOV_CC_INTL!A1047="","",MOV_CC_INTL!A1047)</f>
        <v/>
      </c>
      <c r="B1047" s="22" t="str">
        <f>IF(MOV_CC_INTL!B1047="","",MOV_CC_INTL!B1047)</f>
        <v/>
      </c>
      <c r="C1047" s="22" t="str">
        <f>IF(MOV_CC_INTL!C1047="","",MOV_CC_INTL!C1047)</f>
        <v/>
      </c>
      <c r="D1047" s="22" t="str">
        <f t="shared" si="1"/>
        <v>Other</v>
      </c>
      <c r="E1047" s="21" t="str">
        <f>IF(C1047="","",C1047*CONFIG!B5)</f>
        <v/>
      </c>
    </row>
    <row r="1048" ht="15.75" customHeight="1">
      <c r="A1048" s="22" t="str">
        <f>IF(MOV_CC_INTL!A1048="","",MOV_CC_INTL!A1048)</f>
        <v/>
      </c>
      <c r="B1048" s="22" t="str">
        <f>IF(MOV_CC_INTL!B1048="","",MOV_CC_INTL!B1048)</f>
        <v/>
      </c>
      <c r="C1048" s="22" t="str">
        <f>IF(MOV_CC_INTL!C1048="","",MOV_CC_INTL!C1048)</f>
        <v/>
      </c>
      <c r="D1048" s="22" t="str">
        <f t="shared" si="1"/>
        <v>Other</v>
      </c>
      <c r="E1048" s="21" t="str">
        <f>IF(C1048="","",C1048*CONFIG!B5)</f>
        <v/>
      </c>
    </row>
    <row r="1049" ht="15.75" customHeight="1">
      <c r="A1049" s="22" t="str">
        <f>IF(MOV_CC_INTL!A1049="","",MOV_CC_INTL!A1049)</f>
        <v/>
      </c>
      <c r="B1049" s="22" t="str">
        <f>IF(MOV_CC_INTL!B1049="","",MOV_CC_INTL!B1049)</f>
        <v/>
      </c>
      <c r="C1049" s="22" t="str">
        <f>IF(MOV_CC_INTL!C1049="","",MOV_CC_INTL!C1049)</f>
        <v/>
      </c>
      <c r="D1049" s="22" t="str">
        <f t="shared" si="1"/>
        <v>Other</v>
      </c>
      <c r="E1049" s="21" t="str">
        <f>IF(C1049="","",C1049*CONFIG!B5)</f>
        <v/>
      </c>
    </row>
    <row r="1050" ht="15.75" customHeight="1">
      <c r="A1050" s="22" t="str">
        <f>IF(MOV_CC_INTL!A1050="","",MOV_CC_INTL!A1050)</f>
        <v/>
      </c>
      <c r="B1050" s="22" t="str">
        <f>IF(MOV_CC_INTL!B1050="","",MOV_CC_INTL!B1050)</f>
        <v/>
      </c>
      <c r="C1050" s="22" t="str">
        <f>IF(MOV_CC_INTL!C1050="","",MOV_CC_INTL!C1050)</f>
        <v/>
      </c>
      <c r="D1050" s="22" t="str">
        <f t="shared" si="1"/>
        <v>Other</v>
      </c>
      <c r="E1050" s="21" t="str">
        <f>IF(C1050="","",C1050*CONFIG!B5)</f>
        <v/>
      </c>
    </row>
    <row r="1051" ht="15.75" customHeight="1">
      <c r="A1051" s="22" t="str">
        <f>IF(MOV_CC_INTL!A1051="","",MOV_CC_INTL!A1051)</f>
        <v/>
      </c>
      <c r="B1051" s="22" t="str">
        <f>IF(MOV_CC_INTL!B1051="","",MOV_CC_INTL!B1051)</f>
        <v/>
      </c>
      <c r="C1051" s="22" t="str">
        <f>IF(MOV_CC_INTL!C1051="","",MOV_CC_INTL!C1051)</f>
        <v/>
      </c>
      <c r="D1051" s="22" t="str">
        <f t="shared" si="1"/>
        <v>Other</v>
      </c>
      <c r="E1051" s="21" t="str">
        <f>IF(C1051="","",C1051*CONFIG!B5)</f>
        <v/>
      </c>
    </row>
    <row r="1052" ht="15.75" customHeight="1">
      <c r="A1052" s="22" t="str">
        <f>IF(MOV_CC_INTL!A1052="","",MOV_CC_INTL!A1052)</f>
        <v/>
      </c>
      <c r="B1052" s="22" t="str">
        <f>IF(MOV_CC_INTL!B1052="","",MOV_CC_INTL!B1052)</f>
        <v/>
      </c>
      <c r="C1052" s="22" t="str">
        <f>IF(MOV_CC_INTL!C1052="","",MOV_CC_INTL!C1052)</f>
        <v/>
      </c>
      <c r="D1052" s="22" t="str">
        <f t="shared" si="1"/>
        <v>Other</v>
      </c>
      <c r="E1052" s="21" t="str">
        <f>IF(C1052="","",C1052*CONFIG!B5)</f>
        <v/>
      </c>
    </row>
    <row r="1053" ht="15.75" customHeight="1">
      <c r="A1053" s="22" t="str">
        <f>IF(MOV_CC_INTL!A1053="","",MOV_CC_INTL!A1053)</f>
        <v/>
      </c>
      <c r="B1053" s="22" t="str">
        <f>IF(MOV_CC_INTL!B1053="","",MOV_CC_INTL!B1053)</f>
        <v/>
      </c>
      <c r="C1053" s="22" t="str">
        <f>IF(MOV_CC_INTL!C1053="","",MOV_CC_INTL!C1053)</f>
        <v/>
      </c>
      <c r="D1053" s="22" t="str">
        <f t="shared" si="1"/>
        <v>Other</v>
      </c>
      <c r="E1053" s="21" t="str">
        <f>IF(C1053="","",C1053*CONFIG!B5)</f>
        <v/>
      </c>
    </row>
    <row r="1054" ht="15.75" customHeight="1">
      <c r="A1054" s="22" t="str">
        <f>IF(MOV_CC_INTL!A1054="","",MOV_CC_INTL!A1054)</f>
        <v/>
      </c>
      <c r="B1054" s="22" t="str">
        <f>IF(MOV_CC_INTL!B1054="","",MOV_CC_INTL!B1054)</f>
        <v/>
      </c>
      <c r="C1054" s="22" t="str">
        <f>IF(MOV_CC_INTL!C1054="","",MOV_CC_INTL!C1054)</f>
        <v/>
      </c>
      <c r="D1054" s="22" t="str">
        <f t="shared" si="1"/>
        <v>Other</v>
      </c>
      <c r="E1054" s="21" t="str">
        <f>IF(C1054="","",C1054*CONFIG!B5)</f>
        <v/>
      </c>
    </row>
    <row r="1055" ht="15.75" customHeight="1">
      <c r="A1055" s="22" t="str">
        <f>IF(MOV_CC_INTL!A1055="","",MOV_CC_INTL!A1055)</f>
        <v/>
      </c>
      <c r="B1055" s="22" t="str">
        <f>IF(MOV_CC_INTL!B1055="","",MOV_CC_INTL!B1055)</f>
        <v/>
      </c>
      <c r="C1055" s="22" t="str">
        <f>IF(MOV_CC_INTL!C1055="","",MOV_CC_INTL!C1055)</f>
        <v/>
      </c>
      <c r="D1055" s="22" t="str">
        <f t="shared" si="1"/>
        <v>Other</v>
      </c>
      <c r="E1055" s="21" t="str">
        <f>IF(C1055="","",C1055*CONFIG!B5)</f>
        <v/>
      </c>
    </row>
    <row r="1056" ht="15.75" customHeight="1">
      <c r="A1056" s="22" t="str">
        <f>IF(MOV_CC_INTL!A1056="","",MOV_CC_INTL!A1056)</f>
        <v/>
      </c>
      <c r="B1056" s="22" t="str">
        <f>IF(MOV_CC_INTL!B1056="","",MOV_CC_INTL!B1056)</f>
        <v/>
      </c>
      <c r="C1056" s="22" t="str">
        <f>IF(MOV_CC_INTL!C1056="","",MOV_CC_INTL!C1056)</f>
        <v/>
      </c>
      <c r="D1056" s="22" t="str">
        <f t="shared" si="1"/>
        <v>Other</v>
      </c>
      <c r="E1056" s="21" t="str">
        <f>IF(C1056="","",C1056*CONFIG!B5)</f>
        <v/>
      </c>
    </row>
    <row r="1057" ht="15.75" customHeight="1">
      <c r="A1057" s="22" t="str">
        <f>IF(MOV_CC_INTL!A1057="","",MOV_CC_INTL!A1057)</f>
        <v/>
      </c>
      <c r="B1057" s="22" t="str">
        <f>IF(MOV_CC_INTL!B1057="","",MOV_CC_INTL!B1057)</f>
        <v/>
      </c>
      <c r="C1057" s="22" t="str">
        <f>IF(MOV_CC_INTL!C1057="","",MOV_CC_INTL!C1057)</f>
        <v/>
      </c>
      <c r="D1057" s="22" t="str">
        <f t="shared" si="1"/>
        <v>Other</v>
      </c>
      <c r="E1057" s="21" t="str">
        <f>IF(C1057="","",C1057*CONFIG!B5)</f>
        <v/>
      </c>
    </row>
    <row r="1058" ht="15.75" customHeight="1">
      <c r="A1058" s="22" t="str">
        <f>IF(MOV_CC_INTL!A1058="","",MOV_CC_INTL!A1058)</f>
        <v/>
      </c>
      <c r="B1058" s="22" t="str">
        <f>IF(MOV_CC_INTL!B1058="","",MOV_CC_INTL!B1058)</f>
        <v/>
      </c>
      <c r="C1058" s="22" t="str">
        <f>IF(MOV_CC_INTL!C1058="","",MOV_CC_INTL!C1058)</f>
        <v/>
      </c>
      <c r="D1058" s="22" t="str">
        <f t="shared" si="1"/>
        <v>Other</v>
      </c>
      <c r="E1058" s="21" t="str">
        <f>IF(C1058="","",C1058*CONFIG!B5)</f>
        <v/>
      </c>
    </row>
    <row r="1059" ht="15.75" customHeight="1">
      <c r="A1059" s="22" t="str">
        <f>IF(MOV_CC_INTL!A1059="","",MOV_CC_INTL!A1059)</f>
        <v/>
      </c>
      <c r="B1059" s="22" t="str">
        <f>IF(MOV_CC_INTL!B1059="","",MOV_CC_INTL!B1059)</f>
        <v/>
      </c>
      <c r="C1059" s="22" t="str">
        <f>IF(MOV_CC_INTL!C1059="","",MOV_CC_INTL!C1059)</f>
        <v/>
      </c>
      <c r="D1059" s="22" t="str">
        <f t="shared" si="1"/>
        <v>Other</v>
      </c>
      <c r="E1059" s="21" t="str">
        <f>IF(C1059="","",C1059*CONFIG!B5)</f>
        <v/>
      </c>
    </row>
    <row r="1060" ht="15.75" customHeight="1">
      <c r="A1060" s="22" t="str">
        <f>IF(MOV_CC_INTL!A1060="","",MOV_CC_INTL!A1060)</f>
        <v/>
      </c>
      <c r="B1060" s="22" t="str">
        <f>IF(MOV_CC_INTL!B1060="","",MOV_CC_INTL!B1060)</f>
        <v/>
      </c>
      <c r="C1060" s="22" t="str">
        <f>IF(MOV_CC_INTL!C1060="","",MOV_CC_INTL!C1060)</f>
        <v/>
      </c>
      <c r="D1060" s="22" t="str">
        <f t="shared" si="1"/>
        <v>Other</v>
      </c>
      <c r="E1060" s="21" t="str">
        <f>IF(C1060="","",C1060*CONFIG!B5)</f>
        <v/>
      </c>
    </row>
    <row r="1061" ht="15.75" customHeight="1">
      <c r="A1061" s="22" t="str">
        <f>IF(MOV_CC_INTL!A1061="","",MOV_CC_INTL!A1061)</f>
        <v/>
      </c>
      <c r="B1061" s="22" t="str">
        <f>IF(MOV_CC_INTL!B1061="","",MOV_CC_INTL!B1061)</f>
        <v/>
      </c>
      <c r="C1061" s="22" t="str">
        <f>IF(MOV_CC_INTL!C1061="","",MOV_CC_INTL!C1061)</f>
        <v/>
      </c>
      <c r="D1061" s="22" t="str">
        <f t="shared" si="1"/>
        <v>Other</v>
      </c>
      <c r="E1061" s="21" t="str">
        <f>IF(C1061="","",C1061*CONFIG!B5)</f>
        <v/>
      </c>
    </row>
    <row r="1062" ht="15.75" customHeight="1">
      <c r="A1062" s="22" t="str">
        <f>IF(MOV_CC_INTL!A1062="","",MOV_CC_INTL!A1062)</f>
        <v/>
      </c>
      <c r="B1062" s="22" t="str">
        <f>IF(MOV_CC_INTL!B1062="","",MOV_CC_INTL!B1062)</f>
        <v/>
      </c>
      <c r="C1062" s="22" t="str">
        <f>IF(MOV_CC_INTL!C1062="","",MOV_CC_INTL!C1062)</f>
        <v/>
      </c>
      <c r="D1062" s="22" t="str">
        <f t="shared" si="1"/>
        <v>Other</v>
      </c>
      <c r="E1062" s="21" t="str">
        <f>IF(C1062="","",C1062*CONFIG!B5)</f>
        <v/>
      </c>
    </row>
    <row r="1063" ht="15.75" customHeight="1">
      <c r="A1063" s="22" t="str">
        <f>IF(MOV_CC_INTL!A1063="","",MOV_CC_INTL!A1063)</f>
        <v/>
      </c>
      <c r="B1063" s="22" t="str">
        <f>IF(MOV_CC_INTL!B1063="","",MOV_CC_INTL!B1063)</f>
        <v/>
      </c>
      <c r="C1063" s="22" t="str">
        <f>IF(MOV_CC_INTL!C1063="","",MOV_CC_INTL!C1063)</f>
        <v/>
      </c>
      <c r="D1063" s="22" t="str">
        <f t="shared" si="1"/>
        <v>Other</v>
      </c>
      <c r="E1063" s="21" t="str">
        <f>IF(C1063="","",C1063*CONFIG!B5)</f>
        <v/>
      </c>
    </row>
    <row r="1064" ht="15.75" customHeight="1">
      <c r="A1064" s="22" t="str">
        <f>IF(MOV_CC_INTL!A1064="","",MOV_CC_INTL!A1064)</f>
        <v/>
      </c>
      <c r="B1064" s="22" t="str">
        <f>IF(MOV_CC_INTL!B1064="","",MOV_CC_INTL!B1064)</f>
        <v/>
      </c>
      <c r="C1064" s="22" t="str">
        <f>IF(MOV_CC_INTL!C1064="","",MOV_CC_INTL!C1064)</f>
        <v/>
      </c>
      <c r="D1064" s="22" t="str">
        <f t="shared" si="1"/>
        <v>Other</v>
      </c>
      <c r="E1064" s="21" t="str">
        <f>IF(C1064="","",C1064*CONFIG!B5)</f>
        <v/>
      </c>
    </row>
    <row r="1065" ht="15.75" customHeight="1">
      <c r="A1065" s="22" t="str">
        <f>IF(MOV_CC_INTL!A1065="","",MOV_CC_INTL!A1065)</f>
        <v/>
      </c>
      <c r="B1065" s="22" t="str">
        <f>IF(MOV_CC_INTL!B1065="","",MOV_CC_INTL!B1065)</f>
        <v/>
      </c>
      <c r="C1065" s="22" t="str">
        <f>IF(MOV_CC_INTL!C1065="","",MOV_CC_INTL!C1065)</f>
        <v/>
      </c>
      <c r="D1065" s="22" t="str">
        <f t="shared" si="1"/>
        <v>Other</v>
      </c>
      <c r="E1065" s="21" t="str">
        <f>IF(C1065="","",C1065*CONFIG!B5)</f>
        <v/>
      </c>
    </row>
    <row r="1066" ht="15.75" customHeight="1">
      <c r="A1066" s="22" t="str">
        <f>IF(MOV_CC_INTL!A1066="","",MOV_CC_INTL!A1066)</f>
        <v/>
      </c>
      <c r="B1066" s="22" t="str">
        <f>IF(MOV_CC_INTL!B1066="","",MOV_CC_INTL!B1066)</f>
        <v/>
      </c>
      <c r="C1066" s="22" t="str">
        <f>IF(MOV_CC_INTL!C1066="","",MOV_CC_INTL!C1066)</f>
        <v/>
      </c>
      <c r="D1066" s="22" t="str">
        <f t="shared" si="1"/>
        <v>Other</v>
      </c>
      <c r="E1066" s="21" t="str">
        <f>IF(C1066="","",C1066*CONFIG!B5)</f>
        <v/>
      </c>
    </row>
    <row r="1067" ht="15.75" customHeight="1">
      <c r="A1067" s="22" t="str">
        <f>IF(MOV_CC_INTL!A1067="","",MOV_CC_INTL!A1067)</f>
        <v/>
      </c>
      <c r="B1067" s="22" t="str">
        <f>IF(MOV_CC_INTL!B1067="","",MOV_CC_INTL!B1067)</f>
        <v/>
      </c>
      <c r="C1067" s="22" t="str">
        <f>IF(MOV_CC_INTL!C1067="","",MOV_CC_INTL!C1067)</f>
        <v/>
      </c>
      <c r="D1067" s="22" t="str">
        <f t="shared" si="1"/>
        <v>Other</v>
      </c>
      <c r="E1067" s="21" t="str">
        <f>IF(C1067="","",C1067*CONFIG!B5)</f>
        <v/>
      </c>
    </row>
    <row r="1068" ht="15.75" customHeight="1">
      <c r="A1068" s="22" t="str">
        <f>IF(MOV_CC_INTL!A1068="","",MOV_CC_INTL!A1068)</f>
        <v/>
      </c>
      <c r="B1068" s="22" t="str">
        <f>IF(MOV_CC_INTL!B1068="","",MOV_CC_INTL!B1068)</f>
        <v/>
      </c>
      <c r="C1068" s="22" t="str">
        <f>IF(MOV_CC_INTL!C1068="","",MOV_CC_INTL!C1068)</f>
        <v/>
      </c>
      <c r="D1068" s="22" t="str">
        <f t="shared" si="1"/>
        <v>Other</v>
      </c>
      <c r="E1068" s="21" t="str">
        <f>IF(C1068="","",C1068*CONFIG!B5)</f>
        <v/>
      </c>
    </row>
    <row r="1069" ht="15.75" customHeight="1">
      <c r="A1069" s="22" t="str">
        <f>IF(MOV_CC_INTL!A1069="","",MOV_CC_INTL!A1069)</f>
        <v/>
      </c>
      <c r="B1069" s="22" t="str">
        <f>IF(MOV_CC_INTL!B1069="","",MOV_CC_INTL!B1069)</f>
        <v/>
      </c>
      <c r="C1069" s="22" t="str">
        <f>IF(MOV_CC_INTL!C1069="","",MOV_CC_INTL!C1069)</f>
        <v/>
      </c>
      <c r="D1069" s="22" t="str">
        <f t="shared" si="1"/>
        <v>Other</v>
      </c>
      <c r="E1069" s="21" t="str">
        <f>IF(C1069="","",C1069*CONFIG!B5)</f>
        <v/>
      </c>
    </row>
    <row r="1070" ht="15.75" customHeight="1">
      <c r="A1070" s="22" t="str">
        <f>IF(MOV_CC_INTL!A1070="","",MOV_CC_INTL!A1070)</f>
        <v/>
      </c>
      <c r="B1070" s="22" t="str">
        <f>IF(MOV_CC_INTL!B1070="","",MOV_CC_INTL!B1070)</f>
        <v/>
      </c>
      <c r="C1070" s="22" t="str">
        <f>IF(MOV_CC_INTL!C1070="","",MOV_CC_INTL!C1070)</f>
        <v/>
      </c>
      <c r="D1070" s="22" t="str">
        <f t="shared" si="1"/>
        <v>Other</v>
      </c>
      <c r="E1070" s="21" t="str">
        <f>IF(C1070="","",C1070*CONFIG!B5)</f>
        <v/>
      </c>
    </row>
    <row r="1071" ht="15.75" customHeight="1">
      <c r="A1071" s="22" t="str">
        <f>IF(MOV_CC_INTL!A1071="","",MOV_CC_INTL!A1071)</f>
        <v/>
      </c>
      <c r="B1071" s="22" t="str">
        <f>IF(MOV_CC_INTL!B1071="","",MOV_CC_INTL!B1071)</f>
        <v/>
      </c>
      <c r="C1071" s="22" t="str">
        <f>IF(MOV_CC_INTL!C1071="","",MOV_CC_INTL!C1071)</f>
        <v/>
      </c>
      <c r="D1071" s="22" t="str">
        <f t="shared" si="1"/>
        <v>Other</v>
      </c>
      <c r="E1071" s="21" t="str">
        <f>IF(C1071="","",C1071*CONFIG!B5)</f>
        <v/>
      </c>
    </row>
    <row r="1072" ht="15.75" customHeight="1">
      <c r="A1072" s="22" t="str">
        <f>IF(MOV_CC_INTL!A1072="","",MOV_CC_INTL!A1072)</f>
        <v/>
      </c>
      <c r="B1072" s="22" t="str">
        <f>IF(MOV_CC_INTL!B1072="","",MOV_CC_INTL!B1072)</f>
        <v/>
      </c>
      <c r="C1072" s="22" t="str">
        <f>IF(MOV_CC_INTL!C1072="","",MOV_CC_INTL!C1072)</f>
        <v/>
      </c>
      <c r="D1072" s="22" t="str">
        <f t="shared" si="1"/>
        <v>Other</v>
      </c>
      <c r="E1072" s="21" t="str">
        <f>IF(C1072="","",C1072*CONFIG!B5)</f>
        <v/>
      </c>
    </row>
    <row r="1073" ht="15.75" customHeight="1">
      <c r="A1073" s="22" t="str">
        <f>IF(MOV_CC_INTL!A1073="","",MOV_CC_INTL!A1073)</f>
        <v/>
      </c>
      <c r="B1073" s="22" t="str">
        <f>IF(MOV_CC_INTL!B1073="","",MOV_CC_INTL!B1073)</f>
        <v/>
      </c>
      <c r="C1073" s="22" t="str">
        <f>IF(MOV_CC_INTL!C1073="","",MOV_CC_INTL!C1073)</f>
        <v/>
      </c>
      <c r="D1073" s="22" t="str">
        <f t="shared" si="1"/>
        <v>Other</v>
      </c>
      <c r="E1073" s="21" t="str">
        <f>IF(C1073="","",C1073*CONFIG!B5)</f>
        <v/>
      </c>
    </row>
    <row r="1074" ht="15.75" customHeight="1">
      <c r="A1074" s="22" t="str">
        <f>IF(MOV_CC_INTL!A1074="","",MOV_CC_INTL!A1074)</f>
        <v/>
      </c>
      <c r="B1074" s="22" t="str">
        <f>IF(MOV_CC_INTL!B1074="","",MOV_CC_INTL!B1074)</f>
        <v/>
      </c>
      <c r="C1074" s="22" t="str">
        <f>IF(MOV_CC_INTL!C1074="","",MOV_CC_INTL!C1074)</f>
        <v/>
      </c>
      <c r="D1074" s="22" t="str">
        <f t="shared" si="1"/>
        <v>Other</v>
      </c>
      <c r="E1074" s="21" t="str">
        <f>IF(C1074="","",C1074*CONFIG!B5)</f>
        <v/>
      </c>
    </row>
    <row r="1075" ht="15.75" customHeight="1">
      <c r="A1075" s="22" t="str">
        <f>IF(MOV_CC_INTL!A1075="","",MOV_CC_INTL!A1075)</f>
        <v/>
      </c>
      <c r="B1075" s="22" t="str">
        <f>IF(MOV_CC_INTL!B1075="","",MOV_CC_INTL!B1075)</f>
        <v/>
      </c>
      <c r="C1075" s="22" t="str">
        <f>IF(MOV_CC_INTL!C1075="","",MOV_CC_INTL!C1075)</f>
        <v/>
      </c>
      <c r="D1075" s="22" t="str">
        <f t="shared" si="1"/>
        <v>Other</v>
      </c>
      <c r="E1075" s="21" t="str">
        <f>IF(C1075="","",C1075*CONFIG!B5)</f>
        <v/>
      </c>
    </row>
    <row r="1076" ht="15.75" customHeight="1">
      <c r="A1076" s="22" t="str">
        <f>IF(MOV_CC_INTL!A1076="","",MOV_CC_INTL!A1076)</f>
        <v/>
      </c>
      <c r="B1076" s="22" t="str">
        <f>IF(MOV_CC_INTL!B1076="","",MOV_CC_INTL!B1076)</f>
        <v/>
      </c>
      <c r="C1076" s="22" t="str">
        <f>IF(MOV_CC_INTL!C1076="","",MOV_CC_INTL!C1076)</f>
        <v/>
      </c>
      <c r="D1076" s="22" t="str">
        <f t="shared" si="1"/>
        <v>Other</v>
      </c>
      <c r="E1076" s="21" t="str">
        <f>IF(C1076="","",C1076*CONFIG!B5)</f>
        <v/>
      </c>
    </row>
    <row r="1077" ht="15.75" customHeight="1">
      <c r="A1077" s="22" t="str">
        <f>IF(MOV_CC_INTL!A1077="","",MOV_CC_INTL!A1077)</f>
        <v/>
      </c>
      <c r="B1077" s="22" t="str">
        <f>IF(MOV_CC_INTL!B1077="","",MOV_CC_INTL!B1077)</f>
        <v/>
      </c>
      <c r="C1077" s="22" t="str">
        <f>IF(MOV_CC_INTL!C1077="","",MOV_CC_INTL!C1077)</f>
        <v/>
      </c>
      <c r="D1077" s="22" t="str">
        <f t="shared" si="1"/>
        <v>Other</v>
      </c>
      <c r="E1077" s="21" t="str">
        <f>IF(C1077="","",C1077*CONFIG!B5)</f>
        <v/>
      </c>
    </row>
    <row r="1078" ht="15.75" customHeight="1">
      <c r="A1078" s="22" t="str">
        <f>IF(MOV_CC_INTL!A1078="","",MOV_CC_INTL!A1078)</f>
        <v/>
      </c>
      <c r="B1078" s="22" t="str">
        <f>IF(MOV_CC_INTL!B1078="","",MOV_CC_INTL!B1078)</f>
        <v/>
      </c>
      <c r="C1078" s="22" t="str">
        <f>IF(MOV_CC_INTL!C1078="","",MOV_CC_INTL!C1078)</f>
        <v/>
      </c>
      <c r="D1078" s="22" t="str">
        <f t="shared" si="1"/>
        <v>Other</v>
      </c>
      <c r="E1078" s="21" t="str">
        <f>IF(C1078="","",C1078*CONFIG!B5)</f>
        <v/>
      </c>
    </row>
    <row r="1079" ht="15.75" customHeight="1">
      <c r="A1079" s="22" t="str">
        <f>IF(MOV_CC_INTL!A1079="","",MOV_CC_INTL!A1079)</f>
        <v/>
      </c>
      <c r="B1079" s="22" t="str">
        <f>IF(MOV_CC_INTL!B1079="","",MOV_CC_INTL!B1079)</f>
        <v/>
      </c>
      <c r="C1079" s="22" t="str">
        <f>IF(MOV_CC_INTL!C1079="","",MOV_CC_INTL!C1079)</f>
        <v/>
      </c>
      <c r="D1079" s="22" t="str">
        <f t="shared" si="1"/>
        <v>Other</v>
      </c>
      <c r="E1079" s="21" t="str">
        <f>IF(C1079="","",C1079*CONFIG!B5)</f>
        <v/>
      </c>
    </row>
    <row r="1080" ht="15.75" customHeight="1">
      <c r="A1080" s="22" t="str">
        <f>IF(MOV_CC_INTL!A1080="","",MOV_CC_INTL!A1080)</f>
        <v/>
      </c>
      <c r="B1080" s="22" t="str">
        <f>IF(MOV_CC_INTL!B1080="","",MOV_CC_INTL!B1080)</f>
        <v/>
      </c>
      <c r="C1080" s="22" t="str">
        <f>IF(MOV_CC_INTL!C1080="","",MOV_CC_INTL!C1080)</f>
        <v/>
      </c>
      <c r="D1080" s="22" t="str">
        <f t="shared" si="1"/>
        <v>Other</v>
      </c>
      <c r="E1080" s="21" t="str">
        <f>IF(C1080="","",C1080*CONFIG!B5)</f>
        <v/>
      </c>
    </row>
    <row r="1081" ht="15.75" customHeight="1">
      <c r="A1081" s="22" t="str">
        <f>IF(MOV_CC_INTL!A1081="","",MOV_CC_INTL!A1081)</f>
        <v/>
      </c>
      <c r="B1081" s="22" t="str">
        <f>IF(MOV_CC_INTL!B1081="","",MOV_CC_INTL!B1081)</f>
        <v/>
      </c>
      <c r="C1081" s="22" t="str">
        <f>IF(MOV_CC_INTL!C1081="","",MOV_CC_INTL!C1081)</f>
        <v/>
      </c>
      <c r="D1081" s="22" t="str">
        <f t="shared" si="1"/>
        <v>Other</v>
      </c>
      <c r="E1081" s="21" t="str">
        <f>IF(C1081="","",C1081*CONFIG!B5)</f>
        <v/>
      </c>
    </row>
    <row r="1082" ht="15.75" customHeight="1">
      <c r="A1082" s="22" t="str">
        <f>IF(MOV_CC_INTL!A1082="","",MOV_CC_INTL!A1082)</f>
        <v/>
      </c>
      <c r="B1082" s="22" t="str">
        <f>IF(MOV_CC_INTL!B1082="","",MOV_CC_INTL!B1082)</f>
        <v/>
      </c>
      <c r="C1082" s="22" t="str">
        <f>IF(MOV_CC_INTL!C1082="","",MOV_CC_INTL!C1082)</f>
        <v/>
      </c>
      <c r="D1082" s="22" t="str">
        <f t="shared" si="1"/>
        <v>Other</v>
      </c>
      <c r="E1082" s="21" t="str">
        <f>IF(C1082="","",C1082*CONFIG!B5)</f>
        <v/>
      </c>
    </row>
    <row r="1083" ht="15.75" customHeight="1">
      <c r="A1083" s="22" t="str">
        <f>IF(MOV_CC_INTL!A1083="","",MOV_CC_INTL!A1083)</f>
        <v/>
      </c>
      <c r="B1083" s="22" t="str">
        <f>IF(MOV_CC_INTL!B1083="","",MOV_CC_INTL!B1083)</f>
        <v/>
      </c>
      <c r="C1083" s="22" t="str">
        <f>IF(MOV_CC_INTL!C1083="","",MOV_CC_INTL!C1083)</f>
        <v/>
      </c>
      <c r="D1083" s="22" t="str">
        <f t="shared" si="1"/>
        <v>Other</v>
      </c>
      <c r="E1083" s="21" t="str">
        <f>IF(C1083="","",C1083*CONFIG!B5)</f>
        <v/>
      </c>
    </row>
    <row r="1084" ht="15.75" customHeight="1">
      <c r="A1084" s="22" t="str">
        <f>IF(MOV_CC_INTL!A1084="","",MOV_CC_INTL!A1084)</f>
        <v/>
      </c>
      <c r="B1084" s="22" t="str">
        <f>IF(MOV_CC_INTL!B1084="","",MOV_CC_INTL!B1084)</f>
        <v/>
      </c>
      <c r="C1084" s="22" t="str">
        <f>IF(MOV_CC_INTL!C1084="","",MOV_CC_INTL!C1084)</f>
        <v/>
      </c>
      <c r="D1084" s="22" t="str">
        <f t="shared" si="1"/>
        <v>Other</v>
      </c>
      <c r="E1084" s="21" t="str">
        <f>IF(C1084="","",C1084*CONFIG!B5)</f>
        <v/>
      </c>
    </row>
    <row r="1085" ht="15.75" customHeight="1">
      <c r="A1085" s="22" t="str">
        <f>IF(MOV_CC_INTL!A1085="","",MOV_CC_INTL!A1085)</f>
        <v/>
      </c>
      <c r="B1085" s="22" t="str">
        <f>IF(MOV_CC_INTL!B1085="","",MOV_CC_INTL!B1085)</f>
        <v/>
      </c>
      <c r="C1085" s="22" t="str">
        <f>IF(MOV_CC_INTL!C1085="","",MOV_CC_INTL!C1085)</f>
        <v/>
      </c>
      <c r="D1085" s="22" t="str">
        <f t="shared" si="1"/>
        <v>Other</v>
      </c>
      <c r="E1085" s="21" t="str">
        <f>IF(C1085="","",C1085*CONFIG!B5)</f>
        <v/>
      </c>
    </row>
    <row r="1086" ht="15.75" customHeight="1">
      <c r="A1086" s="22" t="str">
        <f>IF(MOV_CC_INTL!A1086="","",MOV_CC_INTL!A1086)</f>
        <v/>
      </c>
      <c r="B1086" s="22" t="str">
        <f>IF(MOV_CC_INTL!B1086="","",MOV_CC_INTL!B1086)</f>
        <v/>
      </c>
      <c r="C1086" s="22" t="str">
        <f>IF(MOV_CC_INTL!C1086="","",MOV_CC_INTL!C1086)</f>
        <v/>
      </c>
      <c r="D1086" s="22" t="str">
        <f t="shared" si="1"/>
        <v>Other</v>
      </c>
      <c r="E1086" s="21" t="str">
        <f>IF(C1086="","",C1086*CONFIG!B5)</f>
        <v/>
      </c>
    </row>
    <row r="1087" ht="15.75" customHeight="1">
      <c r="A1087" s="22" t="str">
        <f>IF(MOV_CC_INTL!A1087="","",MOV_CC_INTL!A1087)</f>
        <v/>
      </c>
      <c r="B1087" s="22" t="str">
        <f>IF(MOV_CC_INTL!B1087="","",MOV_CC_INTL!B1087)</f>
        <v/>
      </c>
      <c r="C1087" s="22" t="str">
        <f>IF(MOV_CC_INTL!C1087="","",MOV_CC_INTL!C1087)</f>
        <v/>
      </c>
      <c r="D1087" s="22" t="str">
        <f t="shared" si="1"/>
        <v>Other</v>
      </c>
      <c r="E1087" s="21" t="str">
        <f>IF(C1087="","",C1087*CONFIG!B5)</f>
        <v/>
      </c>
    </row>
    <row r="1088" ht="15.75" customHeight="1">
      <c r="A1088" s="22" t="str">
        <f>IF(MOV_CC_INTL!A1088="","",MOV_CC_INTL!A1088)</f>
        <v/>
      </c>
      <c r="B1088" s="22" t="str">
        <f>IF(MOV_CC_INTL!B1088="","",MOV_CC_INTL!B1088)</f>
        <v/>
      </c>
      <c r="C1088" s="22" t="str">
        <f>IF(MOV_CC_INTL!C1088="","",MOV_CC_INTL!C1088)</f>
        <v/>
      </c>
      <c r="D1088" s="22" t="str">
        <f t="shared" si="1"/>
        <v>Other</v>
      </c>
      <c r="E1088" s="21" t="str">
        <f>IF(C1088="","",C1088*CONFIG!B5)</f>
        <v/>
      </c>
    </row>
    <row r="1089" ht="15.75" customHeight="1">
      <c r="A1089" s="22" t="str">
        <f>IF(MOV_CC_INTL!A1089="","",MOV_CC_INTL!A1089)</f>
        <v/>
      </c>
      <c r="B1089" s="22" t="str">
        <f>IF(MOV_CC_INTL!B1089="","",MOV_CC_INTL!B1089)</f>
        <v/>
      </c>
      <c r="C1089" s="22" t="str">
        <f>IF(MOV_CC_INTL!C1089="","",MOV_CC_INTL!C1089)</f>
        <v/>
      </c>
      <c r="D1089" s="22" t="str">
        <f t="shared" si="1"/>
        <v>Other</v>
      </c>
      <c r="E1089" s="21" t="str">
        <f>IF(C1089="","",C1089*CONFIG!B5)</f>
        <v/>
      </c>
    </row>
    <row r="1090" ht="15.75" customHeight="1">
      <c r="A1090" s="22" t="str">
        <f>IF(MOV_CC_INTL!A1090="","",MOV_CC_INTL!A1090)</f>
        <v/>
      </c>
      <c r="B1090" s="22" t="str">
        <f>IF(MOV_CC_INTL!B1090="","",MOV_CC_INTL!B1090)</f>
        <v/>
      </c>
      <c r="C1090" s="22" t="str">
        <f>IF(MOV_CC_INTL!C1090="","",MOV_CC_INTL!C1090)</f>
        <v/>
      </c>
      <c r="D1090" s="22" t="str">
        <f t="shared" si="1"/>
        <v>Other</v>
      </c>
      <c r="E1090" s="21" t="str">
        <f>IF(C1090="","",C1090*CONFIG!B5)</f>
        <v/>
      </c>
    </row>
    <row r="1091" ht="15.75" customHeight="1">
      <c r="A1091" s="22" t="str">
        <f>IF(MOV_CC_INTL!A1091="","",MOV_CC_INTL!A1091)</f>
        <v/>
      </c>
      <c r="B1091" s="22" t="str">
        <f>IF(MOV_CC_INTL!B1091="","",MOV_CC_INTL!B1091)</f>
        <v/>
      </c>
      <c r="C1091" s="22" t="str">
        <f>IF(MOV_CC_INTL!C1091="","",MOV_CC_INTL!C1091)</f>
        <v/>
      </c>
      <c r="D1091" s="22" t="str">
        <f t="shared" si="1"/>
        <v>Other</v>
      </c>
      <c r="E1091" s="21" t="str">
        <f>IF(C1091="","",C1091*CONFIG!B5)</f>
        <v/>
      </c>
    </row>
    <row r="1092" ht="15.75" customHeight="1">
      <c r="A1092" s="22" t="str">
        <f>IF(MOV_CC_INTL!A1092="","",MOV_CC_INTL!A1092)</f>
        <v/>
      </c>
      <c r="B1092" s="22" t="str">
        <f>IF(MOV_CC_INTL!B1092="","",MOV_CC_INTL!B1092)</f>
        <v/>
      </c>
      <c r="C1092" s="22" t="str">
        <f>IF(MOV_CC_INTL!C1092="","",MOV_CC_INTL!C1092)</f>
        <v/>
      </c>
      <c r="D1092" s="22" t="str">
        <f t="shared" si="1"/>
        <v>Other</v>
      </c>
      <c r="E1092" s="21" t="str">
        <f>IF(C1092="","",C1092*CONFIG!B5)</f>
        <v/>
      </c>
    </row>
    <row r="1093" ht="15.75" customHeight="1">
      <c r="A1093" s="22" t="str">
        <f>IF(MOV_CC_INTL!A1093="","",MOV_CC_INTL!A1093)</f>
        <v/>
      </c>
      <c r="B1093" s="22" t="str">
        <f>IF(MOV_CC_INTL!B1093="","",MOV_CC_INTL!B1093)</f>
        <v/>
      </c>
      <c r="C1093" s="22" t="str">
        <f>IF(MOV_CC_INTL!C1093="","",MOV_CC_INTL!C1093)</f>
        <v/>
      </c>
      <c r="D1093" s="22" t="str">
        <f t="shared" si="1"/>
        <v>Other</v>
      </c>
      <c r="E1093" s="21" t="str">
        <f>IF(C1093="","",C1093*CONFIG!B5)</f>
        <v/>
      </c>
    </row>
    <row r="1094" ht="15.75" customHeight="1">
      <c r="A1094" s="22" t="str">
        <f>IF(MOV_CC_INTL!A1094="","",MOV_CC_INTL!A1094)</f>
        <v/>
      </c>
      <c r="B1094" s="22" t="str">
        <f>IF(MOV_CC_INTL!B1094="","",MOV_CC_INTL!B1094)</f>
        <v/>
      </c>
      <c r="C1094" s="22" t="str">
        <f>IF(MOV_CC_INTL!C1094="","",MOV_CC_INTL!C1094)</f>
        <v/>
      </c>
      <c r="D1094" s="22" t="str">
        <f t="shared" si="1"/>
        <v>Other</v>
      </c>
      <c r="E1094" s="21" t="str">
        <f>IF(C1094="","",C1094*CONFIG!B5)</f>
        <v/>
      </c>
    </row>
    <row r="1095" ht="15.75" customHeight="1">
      <c r="A1095" s="22" t="str">
        <f>IF(MOV_CC_INTL!A1095="","",MOV_CC_INTL!A1095)</f>
        <v/>
      </c>
      <c r="B1095" s="22" t="str">
        <f>IF(MOV_CC_INTL!B1095="","",MOV_CC_INTL!B1095)</f>
        <v/>
      </c>
      <c r="C1095" s="22" t="str">
        <f>IF(MOV_CC_INTL!C1095="","",MOV_CC_INTL!C1095)</f>
        <v/>
      </c>
      <c r="D1095" s="22" t="str">
        <f t="shared" si="1"/>
        <v>Other</v>
      </c>
      <c r="E1095" s="21" t="str">
        <f>IF(C1095="","",C1095*CONFIG!B5)</f>
        <v/>
      </c>
    </row>
    <row r="1096" ht="15.75" customHeight="1">
      <c r="A1096" s="22" t="str">
        <f>IF(MOV_CC_INTL!A1096="","",MOV_CC_INTL!A1096)</f>
        <v/>
      </c>
      <c r="B1096" s="22" t="str">
        <f>IF(MOV_CC_INTL!B1096="","",MOV_CC_INTL!B1096)</f>
        <v/>
      </c>
      <c r="C1096" s="22" t="str">
        <f>IF(MOV_CC_INTL!C1096="","",MOV_CC_INTL!C1096)</f>
        <v/>
      </c>
      <c r="D1096" s="22" t="str">
        <f t="shared" si="1"/>
        <v>Other</v>
      </c>
      <c r="E1096" s="21" t="str">
        <f>IF(C1096="","",C1096*CONFIG!B5)</f>
        <v/>
      </c>
    </row>
    <row r="1097" ht="15.75" customHeight="1">
      <c r="A1097" s="22" t="str">
        <f>IF(MOV_CC_INTL!A1097="","",MOV_CC_INTL!A1097)</f>
        <v/>
      </c>
      <c r="B1097" s="22" t="str">
        <f>IF(MOV_CC_INTL!B1097="","",MOV_CC_INTL!B1097)</f>
        <v/>
      </c>
      <c r="C1097" s="22" t="str">
        <f>IF(MOV_CC_INTL!C1097="","",MOV_CC_INTL!C1097)</f>
        <v/>
      </c>
      <c r="D1097" s="22" t="str">
        <f t="shared" si="1"/>
        <v>Other</v>
      </c>
      <c r="E1097" s="21" t="str">
        <f>IF(C1097="","",C1097*CONFIG!B5)</f>
        <v/>
      </c>
    </row>
    <row r="1098" ht="15.75" customHeight="1">
      <c r="A1098" s="22" t="str">
        <f>IF(MOV_CC_INTL!A1098="","",MOV_CC_INTL!A1098)</f>
        <v/>
      </c>
      <c r="B1098" s="22" t="str">
        <f>IF(MOV_CC_INTL!B1098="","",MOV_CC_INTL!B1098)</f>
        <v/>
      </c>
      <c r="C1098" s="22" t="str">
        <f>IF(MOV_CC_INTL!C1098="","",MOV_CC_INTL!C1098)</f>
        <v/>
      </c>
      <c r="D1098" s="22" t="str">
        <f t="shared" si="1"/>
        <v>Other</v>
      </c>
      <c r="E1098" s="21" t="str">
        <f>IF(C1098="","",C1098*CONFIG!B5)</f>
        <v/>
      </c>
    </row>
    <row r="1099" ht="15.75" customHeight="1">
      <c r="A1099" s="22" t="str">
        <f>IF(MOV_CC_INTL!A1099="","",MOV_CC_INTL!A1099)</f>
        <v/>
      </c>
      <c r="B1099" s="22" t="str">
        <f>IF(MOV_CC_INTL!B1099="","",MOV_CC_INTL!B1099)</f>
        <v/>
      </c>
      <c r="C1099" s="22" t="str">
        <f>IF(MOV_CC_INTL!C1099="","",MOV_CC_INTL!C1099)</f>
        <v/>
      </c>
      <c r="D1099" s="22" t="str">
        <f t="shared" si="1"/>
        <v>Other</v>
      </c>
      <c r="E1099" s="21" t="str">
        <f>IF(C1099="","",C1099*CONFIG!B5)</f>
        <v/>
      </c>
    </row>
    <row r="1100" ht="15.75" customHeight="1">
      <c r="A1100" s="22" t="str">
        <f>IF(MOV_CC_INTL!A1100="","",MOV_CC_INTL!A1100)</f>
        <v/>
      </c>
      <c r="B1100" s="22" t="str">
        <f>IF(MOV_CC_INTL!B1100="","",MOV_CC_INTL!B1100)</f>
        <v/>
      </c>
      <c r="C1100" s="22" t="str">
        <f>IF(MOV_CC_INTL!C1100="","",MOV_CC_INTL!C1100)</f>
        <v/>
      </c>
      <c r="D1100" s="22" t="str">
        <f t="shared" si="1"/>
        <v>Other</v>
      </c>
      <c r="E1100" s="21" t="str">
        <f>IF(C1100="","",C1100*CONFIG!B5)</f>
        <v/>
      </c>
    </row>
    <row r="1101" ht="15.75" customHeight="1">
      <c r="A1101" s="22" t="str">
        <f>IF(MOV_CC_INTL!A1101="","",MOV_CC_INTL!A1101)</f>
        <v/>
      </c>
      <c r="B1101" s="22" t="str">
        <f>IF(MOV_CC_INTL!B1101="","",MOV_CC_INTL!B1101)</f>
        <v/>
      </c>
      <c r="C1101" s="22" t="str">
        <f>IF(MOV_CC_INTL!C1101="","",MOV_CC_INTL!C1101)</f>
        <v/>
      </c>
      <c r="D1101" s="22" t="str">
        <f t="shared" si="1"/>
        <v>Other</v>
      </c>
      <c r="E1101" s="21" t="str">
        <f>IF(C1101="","",C1101*CONFIG!B5)</f>
        <v/>
      </c>
    </row>
    <row r="1102" ht="15.75" customHeight="1">
      <c r="A1102" s="22" t="str">
        <f>IF(MOV_CC_INTL!A1102="","",MOV_CC_INTL!A1102)</f>
        <v/>
      </c>
      <c r="B1102" s="22" t="str">
        <f>IF(MOV_CC_INTL!B1102="","",MOV_CC_INTL!B1102)</f>
        <v/>
      </c>
      <c r="C1102" s="22" t="str">
        <f>IF(MOV_CC_INTL!C1102="","",MOV_CC_INTL!C1102)</f>
        <v/>
      </c>
      <c r="D1102" s="22" t="str">
        <f t="shared" si="1"/>
        <v>Other</v>
      </c>
      <c r="E1102" s="21" t="str">
        <f>IF(C1102="","",C1102*CONFIG!B5)</f>
        <v/>
      </c>
    </row>
    <row r="1103" ht="15.75" customHeight="1">
      <c r="A1103" s="22" t="str">
        <f>IF(MOV_CC_INTL!A1103="","",MOV_CC_INTL!A1103)</f>
        <v/>
      </c>
      <c r="B1103" s="22" t="str">
        <f>IF(MOV_CC_INTL!B1103="","",MOV_CC_INTL!B1103)</f>
        <v/>
      </c>
      <c r="C1103" s="22" t="str">
        <f>IF(MOV_CC_INTL!C1103="","",MOV_CC_INTL!C1103)</f>
        <v/>
      </c>
      <c r="D1103" s="22" t="str">
        <f t="shared" si="1"/>
        <v>Other</v>
      </c>
      <c r="E1103" s="21" t="str">
        <f>IF(C1103="","",C1103*CONFIG!B5)</f>
        <v/>
      </c>
    </row>
    <row r="1104" ht="15.75" customHeight="1">
      <c r="A1104" s="22" t="str">
        <f>IF(MOV_CC_INTL!A1104="","",MOV_CC_INTL!A1104)</f>
        <v/>
      </c>
      <c r="B1104" s="22" t="str">
        <f>IF(MOV_CC_INTL!B1104="","",MOV_CC_INTL!B1104)</f>
        <v/>
      </c>
      <c r="C1104" s="22" t="str">
        <f>IF(MOV_CC_INTL!C1104="","",MOV_CC_INTL!C1104)</f>
        <v/>
      </c>
      <c r="D1104" s="22" t="str">
        <f t="shared" si="1"/>
        <v>Other</v>
      </c>
      <c r="E1104" s="21" t="str">
        <f>IF(C1104="","",C1104*CONFIG!B5)</f>
        <v/>
      </c>
    </row>
    <row r="1105" ht="15.75" customHeight="1">
      <c r="A1105" s="22" t="str">
        <f>IF(MOV_CC_INTL!A1105="","",MOV_CC_INTL!A1105)</f>
        <v/>
      </c>
      <c r="B1105" s="22" t="str">
        <f>IF(MOV_CC_INTL!B1105="","",MOV_CC_INTL!B1105)</f>
        <v/>
      </c>
      <c r="C1105" s="22" t="str">
        <f>IF(MOV_CC_INTL!C1105="","",MOV_CC_INTL!C1105)</f>
        <v/>
      </c>
      <c r="D1105" s="22" t="str">
        <f t="shared" si="1"/>
        <v>Other</v>
      </c>
      <c r="E1105" s="21" t="str">
        <f>IF(C1105="","",C1105*CONFIG!B5)</f>
        <v/>
      </c>
    </row>
    <row r="1106" ht="15.75" customHeight="1">
      <c r="A1106" s="22" t="str">
        <f>IF(MOV_CC_INTL!A1106="","",MOV_CC_INTL!A1106)</f>
        <v/>
      </c>
      <c r="B1106" s="22" t="str">
        <f>IF(MOV_CC_INTL!B1106="","",MOV_CC_INTL!B1106)</f>
        <v/>
      </c>
      <c r="C1106" s="22" t="str">
        <f>IF(MOV_CC_INTL!C1106="","",MOV_CC_INTL!C1106)</f>
        <v/>
      </c>
      <c r="D1106" s="22" t="str">
        <f t="shared" si="1"/>
        <v>Other</v>
      </c>
      <c r="E1106" s="21" t="str">
        <f>IF(C1106="","",C1106*CONFIG!B5)</f>
        <v/>
      </c>
    </row>
    <row r="1107" ht="15.75" customHeight="1">
      <c r="A1107" s="22" t="str">
        <f>IF(MOV_CC_INTL!A1107="","",MOV_CC_INTL!A1107)</f>
        <v/>
      </c>
      <c r="B1107" s="22" t="str">
        <f>IF(MOV_CC_INTL!B1107="","",MOV_CC_INTL!B1107)</f>
        <v/>
      </c>
      <c r="C1107" s="22" t="str">
        <f>IF(MOV_CC_INTL!C1107="","",MOV_CC_INTL!C1107)</f>
        <v/>
      </c>
      <c r="D1107" s="22" t="str">
        <f t="shared" si="1"/>
        <v>Other</v>
      </c>
      <c r="E1107" s="21" t="str">
        <f>IF(C1107="","",C1107*CONFIG!B5)</f>
        <v/>
      </c>
    </row>
    <row r="1108" ht="15.75" customHeight="1">
      <c r="A1108" s="22" t="str">
        <f>IF(MOV_CC_INTL!A1108="","",MOV_CC_INTL!A1108)</f>
        <v/>
      </c>
      <c r="B1108" s="22" t="str">
        <f>IF(MOV_CC_INTL!B1108="","",MOV_CC_INTL!B1108)</f>
        <v/>
      </c>
      <c r="C1108" s="22" t="str">
        <f>IF(MOV_CC_INTL!C1108="","",MOV_CC_INTL!C1108)</f>
        <v/>
      </c>
      <c r="D1108" s="22" t="str">
        <f t="shared" si="1"/>
        <v>Other</v>
      </c>
      <c r="E1108" s="21" t="str">
        <f>IF(C1108="","",C1108*CONFIG!B5)</f>
        <v/>
      </c>
    </row>
    <row r="1109" ht="15.75" customHeight="1">
      <c r="A1109" s="22" t="str">
        <f>IF(MOV_CC_INTL!A1109="","",MOV_CC_INTL!A1109)</f>
        <v/>
      </c>
      <c r="B1109" s="22" t="str">
        <f>IF(MOV_CC_INTL!B1109="","",MOV_CC_INTL!B1109)</f>
        <v/>
      </c>
      <c r="C1109" s="22" t="str">
        <f>IF(MOV_CC_INTL!C1109="","",MOV_CC_INTL!C1109)</f>
        <v/>
      </c>
      <c r="D1109" s="22" t="str">
        <f t="shared" si="1"/>
        <v>Other</v>
      </c>
      <c r="E1109" s="21" t="str">
        <f>IF(C1109="","",C1109*CONFIG!B5)</f>
        <v/>
      </c>
    </row>
    <row r="1110" ht="15.75" customHeight="1">
      <c r="A1110" s="22" t="str">
        <f>IF(MOV_CC_INTL!A1110="","",MOV_CC_INTL!A1110)</f>
        <v/>
      </c>
      <c r="B1110" s="22" t="str">
        <f>IF(MOV_CC_INTL!B1110="","",MOV_CC_INTL!B1110)</f>
        <v/>
      </c>
      <c r="C1110" s="22" t="str">
        <f>IF(MOV_CC_INTL!C1110="","",MOV_CC_INTL!C1110)</f>
        <v/>
      </c>
      <c r="D1110" s="22" t="str">
        <f t="shared" si="1"/>
        <v>Other</v>
      </c>
      <c r="E1110" s="21" t="str">
        <f>IF(C1110="","",C1110*CONFIG!B5)</f>
        <v/>
      </c>
    </row>
    <row r="1111" ht="15.75" customHeight="1">
      <c r="A1111" s="22" t="str">
        <f>IF(MOV_CC_INTL!A1111="","",MOV_CC_INTL!A1111)</f>
        <v/>
      </c>
      <c r="B1111" s="22" t="str">
        <f>IF(MOV_CC_INTL!B1111="","",MOV_CC_INTL!B1111)</f>
        <v/>
      </c>
      <c r="C1111" s="22" t="str">
        <f>IF(MOV_CC_INTL!C1111="","",MOV_CC_INTL!C1111)</f>
        <v/>
      </c>
      <c r="D1111" s="22" t="str">
        <f t="shared" si="1"/>
        <v>Other</v>
      </c>
      <c r="E1111" s="21" t="str">
        <f>IF(C1111="","",C1111*CONFIG!B5)</f>
        <v/>
      </c>
    </row>
    <row r="1112" ht="15.75" customHeight="1">
      <c r="A1112" s="22" t="str">
        <f>IF(MOV_CC_INTL!A1112="","",MOV_CC_INTL!A1112)</f>
        <v/>
      </c>
      <c r="B1112" s="22" t="str">
        <f>IF(MOV_CC_INTL!B1112="","",MOV_CC_INTL!B1112)</f>
        <v/>
      </c>
      <c r="C1112" s="22" t="str">
        <f>IF(MOV_CC_INTL!C1112="","",MOV_CC_INTL!C1112)</f>
        <v/>
      </c>
      <c r="D1112" s="22" t="str">
        <f t="shared" si="1"/>
        <v>Other</v>
      </c>
      <c r="E1112" s="21" t="str">
        <f>IF(C1112="","",C1112*CONFIG!B5)</f>
        <v/>
      </c>
    </row>
    <row r="1113" ht="15.75" customHeight="1">
      <c r="A1113" s="22" t="str">
        <f>IF(MOV_CC_INTL!A1113="","",MOV_CC_INTL!A1113)</f>
        <v/>
      </c>
      <c r="B1113" s="22" t="str">
        <f>IF(MOV_CC_INTL!B1113="","",MOV_CC_INTL!B1113)</f>
        <v/>
      </c>
      <c r="C1113" s="22" t="str">
        <f>IF(MOV_CC_INTL!C1113="","",MOV_CC_INTL!C1113)</f>
        <v/>
      </c>
      <c r="D1113" s="22" t="str">
        <f t="shared" si="1"/>
        <v>Other</v>
      </c>
      <c r="E1113" s="21" t="str">
        <f>IF(C1113="","",C1113*CONFIG!B5)</f>
        <v/>
      </c>
    </row>
    <row r="1114" ht="15.75" customHeight="1">
      <c r="A1114" s="22" t="str">
        <f>IF(MOV_CC_INTL!A1114="","",MOV_CC_INTL!A1114)</f>
        <v/>
      </c>
      <c r="B1114" s="22" t="str">
        <f>IF(MOV_CC_INTL!B1114="","",MOV_CC_INTL!B1114)</f>
        <v/>
      </c>
      <c r="C1114" s="22" t="str">
        <f>IF(MOV_CC_INTL!C1114="","",MOV_CC_INTL!C1114)</f>
        <v/>
      </c>
      <c r="D1114" s="22" t="str">
        <f t="shared" si="1"/>
        <v>Other</v>
      </c>
      <c r="E1114" s="21" t="str">
        <f>IF(C1114="","",C1114*CONFIG!B5)</f>
        <v/>
      </c>
    </row>
    <row r="1115" ht="15.75" customHeight="1">
      <c r="A1115" s="22" t="str">
        <f>IF(MOV_CC_INTL!A1115="","",MOV_CC_INTL!A1115)</f>
        <v/>
      </c>
      <c r="B1115" s="22" t="str">
        <f>IF(MOV_CC_INTL!B1115="","",MOV_CC_INTL!B1115)</f>
        <v/>
      </c>
      <c r="C1115" s="22" t="str">
        <f>IF(MOV_CC_INTL!C1115="","",MOV_CC_INTL!C1115)</f>
        <v/>
      </c>
      <c r="D1115" s="22" t="str">
        <f t="shared" si="1"/>
        <v>Other</v>
      </c>
      <c r="E1115" s="21" t="str">
        <f>IF(C1115="","",C1115*CONFIG!B5)</f>
        <v/>
      </c>
    </row>
    <row r="1116" ht="15.75" customHeight="1">
      <c r="A1116" s="22" t="str">
        <f>IF(MOV_CC_INTL!A1116="","",MOV_CC_INTL!A1116)</f>
        <v/>
      </c>
      <c r="B1116" s="22" t="str">
        <f>IF(MOV_CC_INTL!B1116="","",MOV_CC_INTL!B1116)</f>
        <v/>
      </c>
      <c r="C1116" s="22" t="str">
        <f>IF(MOV_CC_INTL!C1116="","",MOV_CC_INTL!C1116)</f>
        <v/>
      </c>
      <c r="D1116" s="22" t="str">
        <f t="shared" si="1"/>
        <v>Other</v>
      </c>
      <c r="E1116" s="21" t="str">
        <f>IF(C1116="","",C1116*CONFIG!B5)</f>
        <v/>
      </c>
    </row>
    <row r="1117" ht="15.75" customHeight="1">
      <c r="A1117" s="22" t="str">
        <f>IF(MOV_CC_INTL!A1117="","",MOV_CC_INTL!A1117)</f>
        <v/>
      </c>
      <c r="B1117" s="22" t="str">
        <f>IF(MOV_CC_INTL!B1117="","",MOV_CC_INTL!B1117)</f>
        <v/>
      </c>
      <c r="C1117" s="22" t="str">
        <f>IF(MOV_CC_INTL!C1117="","",MOV_CC_INTL!C1117)</f>
        <v/>
      </c>
      <c r="D1117" s="22" t="str">
        <f t="shared" si="1"/>
        <v>Other</v>
      </c>
      <c r="E1117" s="21" t="str">
        <f>IF(C1117="","",C1117*CONFIG!B5)</f>
        <v/>
      </c>
    </row>
    <row r="1118" ht="15.75" customHeight="1">
      <c r="A1118" s="22" t="str">
        <f>IF(MOV_CC_INTL!A1118="","",MOV_CC_INTL!A1118)</f>
        <v/>
      </c>
      <c r="B1118" s="22" t="str">
        <f>IF(MOV_CC_INTL!B1118="","",MOV_CC_INTL!B1118)</f>
        <v/>
      </c>
      <c r="C1118" s="22" t="str">
        <f>IF(MOV_CC_INTL!C1118="","",MOV_CC_INTL!C1118)</f>
        <v/>
      </c>
      <c r="D1118" s="22" t="str">
        <f t="shared" si="1"/>
        <v>Other</v>
      </c>
      <c r="E1118" s="21" t="str">
        <f>IF(C1118="","",C1118*CONFIG!B5)</f>
        <v/>
      </c>
    </row>
    <row r="1119" ht="15.75" customHeight="1">
      <c r="A1119" s="22" t="str">
        <f>IF(MOV_CC_INTL!A1119="","",MOV_CC_INTL!A1119)</f>
        <v/>
      </c>
      <c r="B1119" s="22" t="str">
        <f>IF(MOV_CC_INTL!B1119="","",MOV_CC_INTL!B1119)</f>
        <v/>
      </c>
      <c r="C1119" s="22" t="str">
        <f>IF(MOV_CC_INTL!C1119="","",MOV_CC_INTL!C1119)</f>
        <v/>
      </c>
      <c r="D1119" s="22" t="str">
        <f t="shared" si="1"/>
        <v>Other</v>
      </c>
      <c r="E1119" s="21" t="str">
        <f>IF(C1119="","",C1119*CONFIG!B5)</f>
        <v/>
      </c>
    </row>
    <row r="1120" ht="15.75" customHeight="1">
      <c r="A1120" s="22" t="str">
        <f>IF(MOV_CC_INTL!A1120="","",MOV_CC_INTL!A1120)</f>
        <v/>
      </c>
      <c r="B1120" s="22" t="str">
        <f>IF(MOV_CC_INTL!B1120="","",MOV_CC_INTL!B1120)</f>
        <v/>
      </c>
      <c r="C1120" s="22" t="str">
        <f>IF(MOV_CC_INTL!C1120="","",MOV_CC_INTL!C1120)</f>
        <v/>
      </c>
      <c r="D1120" s="22" t="str">
        <f t="shared" si="1"/>
        <v>Other</v>
      </c>
      <c r="E1120" s="21" t="str">
        <f>IF(C1120="","",C1120*CONFIG!B5)</f>
        <v/>
      </c>
    </row>
    <row r="1121" ht="15.75" customHeight="1">
      <c r="A1121" s="22" t="str">
        <f>IF(MOV_CC_INTL!A1121="","",MOV_CC_INTL!A1121)</f>
        <v/>
      </c>
      <c r="B1121" s="22" t="str">
        <f>IF(MOV_CC_INTL!B1121="","",MOV_CC_INTL!B1121)</f>
        <v/>
      </c>
      <c r="C1121" s="22" t="str">
        <f>IF(MOV_CC_INTL!C1121="","",MOV_CC_INTL!C1121)</f>
        <v/>
      </c>
      <c r="D1121" s="22" t="str">
        <f t="shared" si="1"/>
        <v>Other</v>
      </c>
      <c r="E1121" s="21" t="str">
        <f>IF(C1121="","",C1121*CONFIG!B5)</f>
        <v/>
      </c>
    </row>
    <row r="1122" ht="15.75" customHeight="1">
      <c r="A1122" s="22" t="str">
        <f>IF(MOV_CC_INTL!A1122="","",MOV_CC_INTL!A1122)</f>
        <v/>
      </c>
      <c r="B1122" s="22" t="str">
        <f>IF(MOV_CC_INTL!B1122="","",MOV_CC_INTL!B1122)</f>
        <v/>
      </c>
      <c r="C1122" s="22" t="str">
        <f>IF(MOV_CC_INTL!C1122="","",MOV_CC_INTL!C1122)</f>
        <v/>
      </c>
      <c r="D1122" s="22" t="str">
        <f t="shared" si="1"/>
        <v>Other</v>
      </c>
      <c r="E1122" s="21" t="str">
        <f>IF(C1122="","",C1122*CONFIG!B5)</f>
        <v/>
      </c>
    </row>
    <row r="1123" ht="15.75" customHeight="1">
      <c r="A1123" s="22" t="str">
        <f>IF(MOV_CC_INTL!A1123="","",MOV_CC_INTL!A1123)</f>
        <v/>
      </c>
      <c r="B1123" s="22" t="str">
        <f>IF(MOV_CC_INTL!B1123="","",MOV_CC_INTL!B1123)</f>
        <v/>
      </c>
      <c r="C1123" s="22" t="str">
        <f>IF(MOV_CC_INTL!C1123="","",MOV_CC_INTL!C1123)</f>
        <v/>
      </c>
      <c r="D1123" s="22" t="str">
        <f t="shared" si="1"/>
        <v>Other</v>
      </c>
      <c r="E1123" s="21" t="str">
        <f>IF(C1123="","",C1123*CONFIG!B5)</f>
        <v/>
      </c>
    </row>
    <row r="1124" ht="15.75" customHeight="1">
      <c r="A1124" s="22" t="str">
        <f>IF(MOV_CC_INTL!A1124="","",MOV_CC_INTL!A1124)</f>
        <v/>
      </c>
      <c r="B1124" s="22" t="str">
        <f>IF(MOV_CC_INTL!B1124="","",MOV_CC_INTL!B1124)</f>
        <v/>
      </c>
      <c r="C1124" s="22" t="str">
        <f>IF(MOV_CC_INTL!C1124="","",MOV_CC_INTL!C1124)</f>
        <v/>
      </c>
      <c r="D1124" s="22" t="str">
        <f t="shared" si="1"/>
        <v>Other</v>
      </c>
      <c r="E1124" s="21" t="str">
        <f>IF(C1124="","",C1124*CONFIG!B5)</f>
        <v/>
      </c>
    </row>
    <row r="1125" ht="15.75" customHeight="1">
      <c r="A1125" s="22" t="str">
        <f>IF(MOV_CC_INTL!A1125="","",MOV_CC_INTL!A1125)</f>
        <v/>
      </c>
      <c r="B1125" s="22" t="str">
        <f>IF(MOV_CC_INTL!B1125="","",MOV_CC_INTL!B1125)</f>
        <v/>
      </c>
      <c r="C1125" s="22" t="str">
        <f>IF(MOV_CC_INTL!C1125="","",MOV_CC_INTL!C1125)</f>
        <v/>
      </c>
      <c r="D1125" s="22" t="str">
        <f t="shared" si="1"/>
        <v>Other</v>
      </c>
      <c r="E1125" s="21" t="str">
        <f>IF(C1125="","",C1125*CONFIG!B5)</f>
        <v/>
      </c>
    </row>
    <row r="1126" ht="15.75" customHeight="1">
      <c r="A1126" s="22" t="str">
        <f>IF(MOV_CC_INTL!A1126="","",MOV_CC_INTL!A1126)</f>
        <v/>
      </c>
      <c r="B1126" s="22" t="str">
        <f>IF(MOV_CC_INTL!B1126="","",MOV_CC_INTL!B1126)</f>
        <v/>
      </c>
      <c r="C1126" s="22" t="str">
        <f>IF(MOV_CC_INTL!C1126="","",MOV_CC_INTL!C1126)</f>
        <v/>
      </c>
      <c r="D1126" s="22" t="str">
        <f t="shared" si="1"/>
        <v>Other</v>
      </c>
      <c r="E1126" s="21" t="str">
        <f>IF(C1126="","",C1126*CONFIG!B5)</f>
        <v/>
      </c>
    </row>
    <row r="1127" ht="15.75" customHeight="1">
      <c r="A1127" s="22" t="str">
        <f>IF(MOV_CC_INTL!A1127="","",MOV_CC_INTL!A1127)</f>
        <v/>
      </c>
      <c r="B1127" s="22" t="str">
        <f>IF(MOV_CC_INTL!B1127="","",MOV_CC_INTL!B1127)</f>
        <v/>
      </c>
      <c r="C1127" s="22" t="str">
        <f>IF(MOV_CC_INTL!C1127="","",MOV_CC_INTL!C1127)</f>
        <v/>
      </c>
      <c r="D1127" s="22" t="str">
        <f t="shared" si="1"/>
        <v>Other</v>
      </c>
      <c r="E1127" s="21" t="str">
        <f>IF(C1127="","",C1127*CONFIG!B5)</f>
        <v/>
      </c>
    </row>
    <row r="1128" ht="15.75" customHeight="1">
      <c r="A1128" s="22" t="str">
        <f>IF(MOV_CC_INTL!A1128="","",MOV_CC_INTL!A1128)</f>
        <v/>
      </c>
      <c r="B1128" s="22" t="str">
        <f>IF(MOV_CC_INTL!B1128="","",MOV_CC_INTL!B1128)</f>
        <v/>
      </c>
      <c r="C1128" s="22" t="str">
        <f>IF(MOV_CC_INTL!C1128="","",MOV_CC_INTL!C1128)</f>
        <v/>
      </c>
      <c r="D1128" s="22" t="str">
        <f t="shared" si="1"/>
        <v>Other</v>
      </c>
      <c r="E1128" s="21" t="str">
        <f>IF(C1128="","",C1128*CONFIG!B5)</f>
        <v/>
      </c>
    </row>
    <row r="1129" ht="15.75" customHeight="1">
      <c r="A1129" s="22" t="str">
        <f>IF(MOV_CC_INTL!A1129="","",MOV_CC_INTL!A1129)</f>
        <v/>
      </c>
      <c r="B1129" s="22" t="str">
        <f>IF(MOV_CC_INTL!B1129="","",MOV_CC_INTL!B1129)</f>
        <v/>
      </c>
      <c r="C1129" s="22" t="str">
        <f>IF(MOV_CC_INTL!C1129="","",MOV_CC_INTL!C1129)</f>
        <v/>
      </c>
      <c r="D1129" s="22" t="str">
        <f t="shared" si="1"/>
        <v>Other</v>
      </c>
      <c r="E1129" s="21" t="str">
        <f>IF(C1129="","",C1129*CONFIG!B5)</f>
        <v/>
      </c>
    </row>
    <row r="1130" ht="15.75" customHeight="1">
      <c r="A1130" s="22" t="str">
        <f>IF(MOV_CC_INTL!A1130="","",MOV_CC_INTL!A1130)</f>
        <v/>
      </c>
      <c r="B1130" s="22" t="str">
        <f>IF(MOV_CC_INTL!B1130="","",MOV_CC_INTL!B1130)</f>
        <v/>
      </c>
      <c r="C1130" s="22" t="str">
        <f>IF(MOV_CC_INTL!C1130="","",MOV_CC_INTL!C1130)</f>
        <v/>
      </c>
      <c r="D1130" s="22" t="str">
        <f t="shared" si="1"/>
        <v>Other</v>
      </c>
      <c r="E1130" s="21" t="str">
        <f>IF(C1130="","",C1130*CONFIG!B5)</f>
        <v/>
      </c>
    </row>
    <row r="1131" ht="15.75" customHeight="1">
      <c r="A1131" s="22" t="str">
        <f>IF(MOV_CC_INTL!A1131="","",MOV_CC_INTL!A1131)</f>
        <v/>
      </c>
      <c r="B1131" s="22" t="str">
        <f>IF(MOV_CC_INTL!B1131="","",MOV_CC_INTL!B1131)</f>
        <v/>
      </c>
      <c r="C1131" s="22" t="str">
        <f>IF(MOV_CC_INTL!C1131="","",MOV_CC_INTL!C1131)</f>
        <v/>
      </c>
      <c r="D1131" s="22" t="str">
        <f t="shared" si="1"/>
        <v>Other</v>
      </c>
      <c r="E1131" s="21" t="str">
        <f>IF(C1131="","",C1131*CONFIG!B5)</f>
        <v/>
      </c>
    </row>
    <row r="1132" ht="15.75" customHeight="1">
      <c r="A1132" s="22" t="str">
        <f>IF(MOV_CC_INTL!A1132="","",MOV_CC_INTL!A1132)</f>
        <v/>
      </c>
      <c r="B1132" s="22" t="str">
        <f>IF(MOV_CC_INTL!B1132="","",MOV_CC_INTL!B1132)</f>
        <v/>
      </c>
      <c r="C1132" s="22" t="str">
        <f>IF(MOV_CC_INTL!C1132="","",MOV_CC_INTL!C1132)</f>
        <v/>
      </c>
      <c r="D1132" s="22" t="str">
        <f t="shared" si="1"/>
        <v>Other</v>
      </c>
      <c r="E1132" s="21" t="str">
        <f>IF(C1132="","",C1132*CONFIG!B5)</f>
        <v/>
      </c>
    </row>
    <row r="1133" ht="15.75" customHeight="1">
      <c r="A1133" s="22" t="str">
        <f>IF(MOV_CC_INTL!A1133="","",MOV_CC_INTL!A1133)</f>
        <v/>
      </c>
      <c r="B1133" s="22" t="str">
        <f>IF(MOV_CC_INTL!B1133="","",MOV_CC_INTL!B1133)</f>
        <v/>
      </c>
      <c r="C1133" s="22" t="str">
        <f>IF(MOV_CC_INTL!C1133="","",MOV_CC_INTL!C1133)</f>
        <v/>
      </c>
      <c r="D1133" s="22" t="str">
        <f t="shared" si="1"/>
        <v>Other</v>
      </c>
      <c r="E1133" s="21" t="str">
        <f>IF(C1133="","",C1133*CONFIG!B5)</f>
        <v/>
      </c>
    </row>
    <row r="1134" ht="15.75" customHeight="1">
      <c r="A1134" s="22" t="str">
        <f>IF(MOV_CC_INTL!A1134="","",MOV_CC_INTL!A1134)</f>
        <v/>
      </c>
      <c r="B1134" s="22" t="str">
        <f>IF(MOV_CC_INTL!B1134="","",MOV_CC_INTL!B1134)</f>
        <v/>
      </c>
      <c r="C1134" s="22" t="str">
        <f>IF(MOV_CC_INTL!C1134="","",MOV_CC_INTL!C1134)</f>
        <v/>
      </c>
      <c r="D1134" s="22" t="str">
        <f t="shared" si="1"/>
        <v>Other</v>
      </c>
      <c r="E1134" s="21" t="str">
        <f>IF(C1134="","",C1134*CONFIG!B5)</f>
        <v/>
      </c>
    </row>
    <row r="1135" ht="15.75" customHeight="1">
      <c r="A1135" s="22" t="str">
        <f>IF(MOV_CC_INTL!A1135="","",MOV_CC_INTL!A1135)</f>
        <v/>
      </c>
      <c r="B1135" s="22" t="str">
        <f>IF(MOV_CC_INTL!B1135="","",MOV_CC_INTL!B1135)</f>
        <v/>
      </c>
      <c r="C1135" s="22" t="str">
        <f>IF(MOV_CC_INTL!C1135="","",MOV_CC_INTL!C1135)</f>
        <v/>
      </c>
      <c r="D1135" s="22" t="str">
        <f t="shared" si="1"/>
        <v>Other</v>
      </c>
      <c r="E1135" s="21" t="str">
        <f>IF(C1135="","",C1135*CONFIG!B5)</f>
        <v/>
      </c>
    </row>
    <row r="1136" ht="15.75" customHeight="1">
      <c r="A1136" s="22" t="str">
        <f>IF(MOV_CC_INTL!A1136="","",MOV_CC_INTL!A1136)</f>
        <v/>
      </c>
      <c r="B1136" s="22" t="str">
        <f>IF(MOV_CC_INTL!B1136="","",MOV_CC_INTL!B1136)</f>
        <v/>
      </c>
      <c r="C1136" s="22" t="str">
        <f>IF(MOV_CC_INTL!C1136="","",MOV_CC_INTL!C1136)</f>
        <v/>
      </c>
      <c r="D1136" s="22" t="str">
        <f t="shared" si="1"/>
        <v>Other</v>
      </c>
      <c r="E1136" s="21" t="str">
        <f>IF(C1136="","",C1136*CONFIG!B5)</f>
        <v/>
      </c>
    </row>
    <row r="1137" ht="15.75" customHeight="1">
      <c r="A1137" s="22" t="str">
        <f>IF(MOV_CC_INTL!A1137="","",MOV_CC_INTL!A1137)</f>
        <v/>
      </c>
      <c r="B1137" s="22" t="str">
        <f>IF(MOV_CC_INTL!B1137="","",MOV_CC_INTL!B1137)</f>
        <v/>
      </c>
      <c r="C1137" s="22" t="str">
        <f>IF(MOV_CC_INTL!C1137="","",MOV_CC_INTL!C1137)</f>
        <v/>
      </c>
      <c r="D1137" s="22" t="str">
        <f t="shared" si="1"/>
        <v>Other</v>
      </c>
      <c r="E1137" s="21" t="str">
        <f>IF(C1137="","",C1137*CONFIG!B5)</f>
        <v/>
      </c>
    </row>
    <row r="1138" ht="15.75" customHeight="1">
      <c r="A1138" s="22" t="str">
        <f>IF(MOV_CC_INTL!A1138="","",MOV_CC_INTL!A1138)</f>
        <v/>
      </c>
      <c r="B1138" s="22" t="str">
        <f>IF(MOV_CC_INTL!B1138="","",MOV_CC_INTL!B1138)</f>
        <v/>
      </c>
      <c r="C1138" s="22" t="str">
        <f>IF(MOV_CC_INTL!C1138="","",MOV_CC_INTL!C1138)</f>
        <v/>
      </c>
      <c r="D1138" s="22" t="str">
        <f t="shared" si="1"/>
        <v>Other</v>
      </c>
      <c r="E1138" s="21" t="str">
        <f>IF(C1138="","",C1138*CONFIG!B5)</f>
        <v/>
      </c>
    </row>
    <row r="1139" ht="15.75" customHeight="1">
      <c r="A1139" s="22" t="str">
        <f>IF(MOV_CC_INTL!A1139="","",MOV_CC_INTL!A1139)</f>
        <v/>
      </c>
      <c r="B1139" s="22" t="str">
        <f>IF(MOV_CC_INTL!B1139="","",MOV_CC_INTL!B1139)</f>
        <v/>
      </c>
      <c r="C1139" s="22" t="str">
        <f>IF(MOV_CC_INTL!C1139="","",MOV_CC_INTL!C1139)</f>
        <v/>
      </c>
      <c r="D1139" s="22" t="str">
        <f t="shared" si="1"/>
        <v>Other</v>
      </c>
      <c r="E1139" s="21" t="str">
        <f>IF(C1139="","",C1139*CONFIG!B5)</f>
        <v/>
      </c>
    </row>
    <row r="1140" ht="15.75" customHeight="1">
      <c r="A1140" s="22" t="str">
        <f>IF(MOV_CC_INTL!A1140="","",MOV_CC_INTL!A1140)</f>
        <v/>
      </c>
      <c r="B1140" s="22" t="str">
        <f>IF(MOV_CC_INTL!B1140="","",MOV_CC_INTL!B1140)</f>
        <v/>
      </c>
      <c r="C1140" s="22" t="str">
        <f>IF(MOV_CC_INTL!C1140="","",MOV_CC_INTL!C1140)</f>
        <v/>
      </c>
      <c r="D1140" s="22" t="str">
        <f t="shared" si="1"/>
        <v>Other</v>
      </c>
      <c r="E1140" s="21" t="str">
        <f>IF(C1140="","",C1140*CONFIG!B5)</f>
        <v/>
      </c>
    </row>
    <row r="1141" ht="15.75" customHeight="1">
      <c r="A1141" s="22" t="str">
        <f>IF(MOV_CC_INTL!A1141="","",MOV_CC_INTL!A1141)</f>
        <v/>
      </c>
      <c r="B1141" s="22" t="str">
        <f>IF(MOV_CC_INTL!B1141="","",MOV_CC_INTL!B1141)</f>
        <v/>
      </c>
      <c r="C1141" s="22" t="str">
        <f>IF(MOV_CC_INTL!C1141="","",MOV_CC_INTL!C1141)</f>
        <v/>
      </c>
      <c r="D1141" s="22" t="str">
        <f t="shared" si="1"/>
        <v>Other</v>
      </c>
      <c r="E1141" s="21" t="str">
        <f>IF(C1141="","",C1141*CONFIG!B5)</f>
        <v/>
      </c>
    </row>
    <row r="1142" ht="15.75" customHeight="1">
      <c r="A1142" s="22" t="str">
        <f>IF(MOV_CC_INTL!A1142="","",MOV_CC_INTL!A1142)</f>
        <v/>
      </c>
      <c r="B1142" s="22" t="str">
        <f>IF(MOV_CC_INTL!B1142="","",MOV_CC_INTL!B1142)</f>
        <v/>
      </c>
      <c r="C1142" s="22" t="str">
        <f>IF(MOV_CC_INTL!C1142="","",MOV_CC_INTL!C1142)</f>
        <v/>
      </c>
      <c r="D1142" s="22" t="str">
        <f t="shared" si="1"/>
        <v>Other</v>
      </c>
      <c r="E1142" s="21" t="str">
        <f>IF(C1142="","",C1142*CONFIG!B5)</f>
        <v/>
      </c>
    </row>
    <row r="1143" ht="15.75" customHeight="1">
      <c r="A1143" s="22" t="str">
        <f>IF(MOV_CC_INTL!A1143="","",MOV_CC_INTL!A1143)</f>
        <v/>
      </c>
      <c r="B1143" s="22" t="str">
        <f>IF(MOV_CC_INTL!B1143="","",MOV_CC_INTL!B1143)</f>
        <v/>
      </c>
      <c r="C1143" s="22" t="str">
        <f>IF(MOV_CC_INTL!C1143="","",MOV_CC_INTL!C1143)</f>
        <v/>
      </c>
      <c r="D1143" s="22" t="str">
        <f t="shared" si="1"/>
        <v>Other</v>
      </c>
      <c r="E1143" s="21" t="str">
        <f>IF(C1143="","",C1143*CONFIG!B5)</f>
        <v/>
      </c>
    </row>
    <row r="1144" ht="15.75" customHeight="1">
      <c r="A1144" s="22" t="str">
        <f>IF(MOV_CC_INTL!A1144="","",MOV_CC_INTL!A1144)</f>
        <v/>
      </c>
      <c r="B1144" s="22" t="str">
        <f>IF(MOV_CC_INTL!B1144="","",MOV_CC_INTL!B1144)</f>
        <v/>
      </c>
      <c r="C1144" s="22" t="str">
        <f>IF(MOV_CC_INTL!C1144="","",MOV_CC_INTL!C1144)</f>
        <v/>
      </c>
      <c r="D1144" s="22" t="str">
        <f t="shared" si="1"/>
        <v>Other</v>
      </c>
      <c r="E1144" s="21" t="str">
        <f>IF(C1144="","",C1144*CONFIG!B5)</f>
        <v/>
      </c>
    </row>
    <row r="1145" ht="15.75" customHeight="1">
      <c r="A1145" s="22" t="str">
        <f>IF(MOV_CC_INTL!A1145="","",MOV_CC_INTL!A1145)</f>
        <v/>
      </c>
      <c r="B1145" s="22" t="str">
        <f>IF(MOV_CC_INTL!B1145="","",MOV_CC_INTL!B1145)</f>
        <v/>
      </c>
      <c r="C1145" s="22" t="str">
        <f>IF(MOV_CC_INTL!C1145="","",MOV_CC_INTL!C1145)</f>
        <v/>
      </c>
      <c r="D1145" s="22" t="str">
        <f t="shared" si="1"/>
        <v>Other</v>
      </c>
      <c r="E1145" s="21" t="str">
        <f>IF(C1145="","",C1145*CONFIG!B5)</f>
        <v/>
      </c>
    </row>
    <row r="1146" ht="15.75" customHeight="1">
      <c r="A1146" s="22" t="str">
        <f>IF(MOV_CC_INTL!A1146="","",MOV_CC_INTL!A1146)</f>
        <v/>
      </c>
      <c r="B1146" s="22" t="str">
        <f>IF(MOV_CC_INTL!B1146="","",MOV_CC_INTL!B1146)</f>
        <v/>
      </c>
      <c r="C1146" s="22" t="str">
        <f>IF(MOV_CC_INTL!C1146="","",MOV_CC_INTL!C1146)</f>
        <v/>
      </c>
      <c r="D1146" s="22" t="str">
        <f t="shared" si="1"/>
        <v>Other</v>
      </c>
      <c r="E1146" s="21" t="str">
        <f>IF(C1146="","",C1146*CONFIG!B5)</f>
        <v/>
      </c>
    </row>
    <row r="1147" ht="15.75" customHeight="1">
      <c r="A1147" s="22" t="str">
        <f>IF(MOV_CC_INTL!A1147="","",MOV_CC_INTL!A1147)</f>
        <v/>
      </c>
      <c r="B1147" s="22" t="str">
        <f>IF(MOV_CC_INTL!B1147="","",MOV_CC_INTL!B1147)</f>
        <v/>
      </c>
      <c r="C1147" s="22" t="str">
        <f>IF(MOV_CC_INTL!C1147="","",MOV_CC_INTL!C1147)</f>
        <v/>
      </c>
      <c r="D1147" s="22" t="str">
        <f t="shared" si="1"/>
        <v>Other</v>
      </c>
      <c r="E1147" s="21" t="str">
        <f>IF(C1147="","",C1147*CONFIG!B5)</f>
        <v/>
      </c>
    </row>
    <row r="1148" ht="15.75" customHeight="1">
      <c r="A1148" s="22" t="str">
        <f>IF(MOV_CC_INTL!A1148="","",MOV_CC_INTL!A1148)</f>
        <v/>
      </c>
      <c r="B1148" s="22" t="str">
        <f>IF(MOV_CC_INTL!B1148="","",MOV_CC_INTL!B1148)</f>
        <v/>
      </c>
      <c r="C1148" s="22" t="str">
        <f>IF(MOV_CC_INTL!C1148="","",MOV_CC_INTL!C1148)</f>
        <v/>
      </c>
      <c r="D1148" s="22" t="str">
        <f t="shared" si="1"/>
        <v>Other</v>
      </c>
      <c r="E1148" s="21" t="str">
        <f>IF(C1148="","",C1148*CONFIG!B5)</f>
        <v/>
      </c>
    </row>
    <row r="1149" ht="15.75" customHeight="1">
      <c r="A1149" s="22" t="str">
        <f>IF(MOV_CC_INTL!A1149="","",MOV_CC_INTL!A1149)</f>
        <v/>
      </c>
      <c r="B1149" s="22" t="str">
        <f>IF(MOV_CC_INTL!B1149="","",MOV_CC_INTL!B1149)</f>
        <v/>
      </c>
      <c r="C1149" s="22" t="str">
        <f>IF(MOV_CC_INTL!C1149="","",MOV_CC_INTL!C1149)</f>
        <v/>
      </c>
      <c r="D1149" s="22" t="str">
        <f t="shared" si="1"/>
        <v>Other</v>
      </c>
      <c r="E1149" s="21" t="str">
        <f>IF(C1149="","",C1149*CONFIG!B5)</f>
        <v/>
      </c>
    </row>
    <row r="1150" ht="15.75" customHeight="1">
      <c r="A1150" s="22" t="str">
        <f>IF(MOV_CC_INTL!A1150="","",MOV_CC_INTL!A1150)</f>
        <v/>
      </c>
      <c r="B1150" s="22" t="str">
        <f>IF(MOV_CC_INTL!B1150="","",MOV_CC_INTL!B1150)</f>
        <v/>
      </c>
      <c r="C1150" s="22" t="str">
        <f>IF(MOV_CC_INTL!C1150="","",MOV_CC_INTL!C1150)</f>
        <v/>
      </c>
      <c r="D1150" s="22" t="str">
        <f t="shared" si="1"/>
        <v>Other</v>
      </c>
      <c r="E1150" s="21" t="str">
        <f>IF(C1150="","",C1150*CONFIG!B5)</f>
        <v/>
      </c>
    </row>
    <row r="1151" ht="15.75" customHeight="1">
      <c r="A1151" s="22" t="str">
        <f>IF(MOV_CC_INTL!A1151="","",MOV_CC_INTL!A1151)</f>
        <v/>
      </c>
      <c r="B1151" s="22" t="str">
        <f>IF(MOV_CC_INTL!B1151="","",MOV_CC_INTL!B1151)</f>
        <v/>
      </c>
      <c r="C1151" s="22" t="str">
        <f>IF(MOV_CC_INTL!C1151="","",MOV_CC_INTL!C1151)</f>
        <v/>
      </c>
      <c r="D1151" s="22" t="str">
        <f t="shared" si="1"/>
        <v>Other</v>
      </c>
      <c r="E1151" s="21" t="str">
        <f>IF(C1151="","",C1151*CONFIG!B5)</f>
        <v/>
      </c>
    </row>
    <row r="1152" ht="15.75" customHeight="1">
      <c r="A1152" s="22" t="str">
        <f>IF(MOV_CC_INTL!A1152="","",MOV_CC_INTL!A1152)</f>
        <v/>
      </c>
      <c r="B1152" s="22" t="str">
        <f>IF(MOV_CC_INTL!B1152="","",MOV_CC_INTL!B1152)</f>
        <v/>
      </c>
      <c r="C1152" s="22" t="str">
        <f>IF(MOV_CC_INTL!C1152="","",MOV_CC_INTL!C1152)</f>
        <v/>
      </c>
      <c r="D1152" s="22" t="str">
        <f t="shared" si="1"/>
        <v>Other</v>
      </c>
      <c r="E1152" s="21" t="str">
        <f>IF(C1152="","",C1152*CONFIG!B5)</f>
        <v/>
      </c>
    </row>
    <row r="1153" ht="15.75" customHeight="1">
      <c r="A1153" s="22" t="str">
        <f>IF(MOV_CC_INTL!A1153="","",MOV_CC_INTL!A1153)</f>
        <v/>
      </c>
      <c r="B1153" s="22" t="str">
        <f>IF(MOV_CC_INTL!B1153="","",MOV_CC_INTL!B1153)</f>
        <v/>
      </c>
      <c r="C1153" s="22" t="str">
        <f>IF(MOV_CC_INTL!C1153="","",MOV_CC_INTL!C1153)</f>
        <v/>
      </c>
      <c r="D1153" s="22" t="str">
        <f t="shared" si="1"/>
        <v>Other</v>
      </c>
      <c r="E1153" s="21" t="str">
        <f>IF(C1153="","",C1153*CONFIG!B5)</f>
        <v/>
      </c>
    </row>
    <row r="1154" ht="15.75" customHeight="1">
      <c r="A1154" s="22" t="str">
        <f>IF(MOV_CC_INTL!A1154="","",MOV_CC_INTL!A1154)</f>
        <v/>
      </c>
      <c r="B1154" s="22" t="str">
        <f>IF(MOV_CC_INTL!B1154="","",MOV_CC_INTL!B1154)</f>
        <v/>
      </c>
      <c r="C1154" s="22" t="str">
        <f>IF(MOV_CC_INTL!C1154="","",MOV_CC_INTL!C1154)</f>
        <v/>
      </c>
      <c r="D1154" s="22" t="str">
        <f t="shared" si="1"/>
        <v>Other</v>
      </c>
      <c r="E1154" s="21" t="str">
        <f>IF(C1154="","",C1154*CONFIG!B5)</f>
        <v/>
      </c>
    </row>
    <row r="1155" ht="15.75" customHeight="1">
      <c r="A1155" s="22" t="str">
        <f>IF(MOV_CC_INTL!A1155="","",MOV_CC_INTL!A1155)</f>
        <v/>
      </c>
      <c r="B1155" s="22" t="str">
        <f>IF(MOV_CC_INTL!B1155="","",MOV_CC_INTL!B1155)</f>
        <v/>
      </c>
      <c r="C1155" s="22" t="str">
        <f>IF(MOV_CC_INTL!C1155="","",MOV_CC_INTL!C1155)</f>
        <v/>
      </c>
      <c r="D1155" s="22" t="str">
        <f t="shared" si="1"/>
        <v>Other</v>
      </c>
      <c r="E1155" s="21" t="str">
        <f>IF(C1155="","",C1155*CONFIG!B5)</f>
        <v/>
      </c>
    </row>
    <row r="1156" ht="15.75" customHeight="1">
      <c r="A1156" s="22" t="str">
        <f>IF(MOV_CC_INTL!A1156="","",MOV_CC_INTL!A1156)</f>
        <v/>
      </c>
      <c r="B1156" s="22" t="str">
        <f>IF(MOV_CC_INTL!B1156="","",MOV_CC_INTL!B1156)</f>
        <v/>
      </c>
      <c r="C1156" s="22" t="str">
        <f>IF(MOV_CC_INTL!C1156="","",MOV_CC_INTL!C1156)</f>
        <v/>
      </c>
      <c r="D1156" s="22" t="str">
        <f t="shared" si="1"/>
        <v>Other</v>
      </c>
      <c r="E1156" s="21" t="str">
        <f>IF(C1156="","",C1156*CONFIG!B5)</f>
        <v/>
      </c>
    </row>
    <row r="1157" ht="15.75" customHeight="1">
      <c r="A1157" s="22" t="str">
        <f>IF(MOV_CC_INTL!A1157="","",MOV_CC_INTL!A1157)</f>
        <v/>
      </c>
      <c r="B1157" s="22" t="str">
        <f>IF(MOV_CC_INTL!B1157="","",MOV_CC_INTL!B1157)</f>
        <v/>
      </c>
      <c r="C1157" s="22" t="str">
        <f>IF(MOV_CC_INTL!C1157="","",MOV_CC_INTL!C1157)</f>
        <v/>
      </c>
      <c r="D1157" s="22" t="str">
        <f t="shared" si="1"/>
        <v>Other</v>
      </c>
      <c r="E1157" s="21" t="str">
        <f>IF(C1157="","",C1157*CONFIG!B5)</f>
        <v/>
      </c>
    </row>
    <row r="1158" ht="15.75" customHeight="1">
      <c r="A1158" s="22" t="str">
        <f>IF(MOV_CC_INTL!A1158="","",MOV_CC_INTL!A1158)</f>
        <v/>
      </c>
      <c r="B1158" s="22" t="str">
        <f>IF(MOV_CC_INTL!B1158="","",MOV_CC_INTL!B1158)</f>
        <v/>
      </c>
      <c r="C1158" s="22" t="str">
        <f>IF(MOV_CC_INTL!C1158="","",MOV_CC_INTL!C1158)</f>
        <v/>
      </c>
      <c r="D1158" s="22" t="str">
        <f t="shared" si="1"/>
        <v>Other</v>
      </c>
      <c r="E1158" s="21" t="str">
        <f>IF(C1158="","",C1158*CONFIG!B5)</f>
        <v/>
      </c>
    </row>
    <row r="1159" ht="15.75" customHeight="1">
      <c r="A1159" s="22" t="str">
        <f>IF(MOV_CC_INTL!A1159="","",MOV_CC_INTL!A1159)</f>
        <v/>
      </c>
      <c r="B1159" s="22" t="str">
        <f>IF(MOV_CC_INTL!B1159="","",MOV_CC_INTL!B1159)</f>
        <v/>
      </c>
      <c r="C1159" s="22" t="str">
        <f>IF(MOV_CC_INTL!C1159="","",MOV_CC_INTL!C1159)</f>
        <v/>
      </c>
      <c r="D1159" s="22" t="str">
        <f t="shared" si="1"/>
        <v>Other</v>
      </c>
      <c r="E1159" s="21" t="str">
        <f>IF(C1159="","",C1159*CONFIG!B5)</f>
        <v/>
      </c>
    </row>
    <row r="1160" ht="15.75" customHeight="1">
      <c r="A1160" s="22" t="str">
        <f>IF(MOV_CC_INTL!A1160="","",MOV_CC_INTL!A1160)</f>
        <v/>
      </c>
      <c r="B1160" s="22" t="str">
        <f>IF(MOV_CC_INTL!B1160="","",MOV_CC_INTL!B1160)</f>
        <v/>
      </c>
      <c r="C1160" s="22" t="str">
        <f>IF(MOV_CC_INTL!C1160="","",MOV_CC_INTL!C1160)</f>
        <v/>
      </c>
      <c r="D1160" s="22" t="str">
        <f t="shared" si="1"/>
        <v>Other</v>
      </c>
      <c r="E1160" s="21" t="str">
        <f>IF(C1160="","",C1160*CONFIG!B5)</f>
        <v/>
      </c>
    </row>
    <row r="1161" ht="15.75" customHeight="1">
      <c r="A1161" s="22" t="str">
        <f>IF(MOV_CC_INTL!A1161="","",MOV_CC_INTL!A1161)</f>
        <v/>
      </c>
      <c r="B1161" s="22" t="str">
        <f>IF(MOV_CC_INTL!B1161="","",MOV_CC_INTL!B1161)</f>
        <v/>
      </c>
      <c r="C1161" s="22" t="str">
        <f>IF(MOV_CC_INTL!C1161="","",MOV_CC_INTL!C1161)</f>
        <v/>
      </c>
      <c r="D1161" s="22" t="str">
        <f t="shared" si="1"/>
        <v>Other</v>
      </c>
      <c r="E1161" s="21" t="str">
        <f>IF(C1161="","",C1161*CONFIG!B5)</f>
        <v/>
      </c>
    </row>
    <row r="1162" ht="15.75" customHeight="1">
      <c r="A1162" s="22" t="str">
        <f>IF(MOV_CC_INTL!A1162="","",MOV_CC_INTL!A1162)</f>
        <v/>
      </c>
      <c r="B1162" s="22" t="str">
        <f>IF(MOV_CC_INTL!B1162="","",MOV_CC_INTL!B1162)</f>
        <v/>
      </c>
      <c r="C1162" s="22" t="str">
        <f>IF(MOV_CC_INTL!C1162="","",MOV_CC_INTL!C1162)</f>
        <v/>
      </c>
      <c r="D1162" s="22" t="str">
        <f t="shared" si="1"/>
        <v>Other</v>
      </c>
      <c r="E1162" s="21" t="str">
        <f>IF(C1162="","",C1162*CONFIG!B5)</f>
        <v/>
      </c>
    </row>
    <row r="1163" ht="15.75" customHeight="1">
      <c r="A1163" s="22" t="str">
        <f>IF(MOV_CC_INTL!A1163="","",MOV_CC_INTL!A1163)</f>
        <v/>
      </c>
      <c r="B1163" s="22" t="str">
        <f>IF(MOV_CC_INTL!B1163="","",MOV_CC_INTL!B1163)</f>
        <v/>
      </c>
      <c r="C1163" s="22" t="str">
        <f>IF(MOV_CC_INTL!C1163="","",MOV_CC_INTL!C1163)</f>
        <v/>
      </c>
      <c r="D1163" s="22" t="str">
        <f t="shared" si="1"/>
        <v>Other</v>
      </c>
      <c r="E1163" s="21" t="str">
        <f>IF(C1163="","",C1163*CONFIG!B5)</f>
        <v/>
      </c>
    </row>
    <row r="1164" ht="15.75" customHeight="1">
      <c r="A1164" s="22" t="str">
        <f>IF(MOV_CC_INTL!A1164="","",MOV_CC_INTL!A1164)</f>
        <v/>
      </c>
      <c r="B1164" s="22" t="str">
        <f>IF(MOV_CC_INTL!B1164="","",MOV_CC_INTL!B1164)</f>
        <v/>
      </c>
      <c r="C1164" s="22" t="str">
        <f>IF(MOV_CC_INTL!C1164="","",MOV_CC_INTL!C1164)</f>
        <v/>
      </c>
      <c r="D1164" s="22" t="str">
        <f t="shared" si="1"/>
        <v>Other</v>
      </c>
      <c r="E1164" s="21" t="str">
        <f>IF(C1164="","",C1164*CONFIG!B5)</f>
        <v/>
      </c>
    </row>
    <row r="1165" ht="15.75" customHeight="1">
      <c r="A1165" s="22" t="str">
        <f>IF(MOV_CC_INTL!A1165="","",MOV_CC_INTL!A1165)</f>
        <v/>
      </c>
      <c r="B1165" s="22" t="str">
        <f>IF(MOV_CC_INTL!B1165="","",MOV_CC_INTL!B1165)</f>
        <v/>
      </c>
      <c r="C1165" s="22" t="str">
        <f>IF(MOV_CC_INTL!C1165="","",MOV_CC_INTL!C1165)</f>
        <v/>
      </c>
      <c r="D1165" s="22" t="str">
        <f t="shared" si="1"/>
        <v>Other</v>
      </c>
      <c r="E1165" s="21" t="str">
        <f>IF(C1165="","",C1165*CONFIG!B5)</f>
        <v/>
      </c>
    </row>
    <row r="1166" ht="15.75" customHeight="1">
      <c r="A1166" s="22" t="str">
        <f>IF(MOV_CC_INTL!A1166="","",MOV_CC_INTL!A1166)</f>
        <v/>
      </c>
      <c r="B1166" s="22" t="str">
        <f>IF(MOV_CC_INTL!B1166="","",MOV_CC_INTL!B1166)</f>
        <v/>
      </c>
      <c r="C1166" s="22" t="str">
        <f>IF(MOV_CC_INTL!C1166="","",MOV_CC_INTL!C1166)</f>
        <v/>
      </c>
      <c r="D1166" s="22" t="str">
        <f t="shared" si="1"/>
        <v>Other</v>
      </c>
      <c r="E1166" s="21" t="str">
        <f>IF(C1166="","",C1166*CONFIG!B5)</f>
        <v/>
      </c>
    </row>
    <row r="1167" ht="15.75" customHeight="1">
      <c r="A1167" s="22" t="str">
        <f>IF(MOV_CC_INTL!A1167="","",MOV_CC_INTL!A1167)</f>
        <v/>
      </c>
      <c r="B1167" s="22" t="str">
        <f>IF(MOV_CC_INTL!B1167="","",MOV_CC_INTL!B1167)</f>
        <v/>
      </c>
      <c r="C1167" s="22" t="str">
        <f>IF(MOV_CC_INTL!C1167="","",MOV_CC_INTL!C1167)</f>
        <v/>
      </c>
      <c r="D1167" s="22" t="str">
        <f t="shared" si="1"/>
        <v>Other</v>
      </c>
      <c r="E1167" s="21" t="str">
        <f>IF(C1167="","",C1167*CONFIG!B5)</f>
        <v/>
      </c>
    </row>
    <row r="1168" ht="15.75" customHeight="1">
      <c r="A1168" s="22" t="str">
        <f>IF(MOV_CC_INTL!A1168="","",MOV_CC_INTL!A1168)</f>
        <v/>
      </c>
      <c r="B1168" s="22" t="str">
        <f>IF(MOV_CC_INTL!B1168="","",MOV_CC_INTL!B1168)</f>
        <v/>
      </c>
      <c r="C1168" s="22" t="str">
        <f>IF(MOV_CC_INTL!C1168="","",MOV_CC_INTL!C1168)</f>
        <v/>
      </c>
      <c r="D1168" s="22" t="str">
        <f t="shared" si="1"/>
        <v>Other</v>
      </c>
      <c r="E1168" s="21" t="str">
        <f>IF(C1168="","",C1168*CONFIG!B5)</f>
        <v/>
      </c>
    </row>
    <row r="1169" ht="15.75" customHeight="1">
      <c r="A1169" s="22" t="str">
        <f>IF(MOV_CC_INTL!A1169="","",MOV_CC_INTL!A1169)</f>
        <v/>
      </c>
      <c r="B1169" s="22" t="str">
        <f>IF(MOV_CC_INTL!B1169="","",MOV_CC_INTL!B1169)</f>
        <v/>
      </c>
      <c r="C1169" s="22" t="str">
        <f>IF(MOV_CC_INTL!C1169="","",MOV_CC_INTL!C1169)</f>
        <v/>
      </c>
      <c r="D1169" s="22" t="str">
        <f t="shared" si="1"/>
        <v>Other</v>
      </c>
      <c r="E1169" s="21" t="str">
        <f>IF(C1169="","",C1169*CONFIG!B5)</f>
        <v/>
      </c>
    </row>
    <row r="1170" ht="15.75" customHeight="1">
      <c r="A1170" s="22" t="str">
        <f>IF(MOV_CC_INTL!A1170="","",MOV_CC_INTL!A1170)</f>
        <v/>
      </c>
      <c r="B1170" s="22" t="str">
        <f>IF(MOV_CC_INTL!B1170="","",MOV_CC_INTL!B1170)</f>
        <v/>
      </c>
      <c r="C1170" s="22" t="str">
        <f>IF(MOV_CC_INTL!C1170="","",MOV_CC_INTL!C1170)</f>
        <v/>
      </c>
      <c r="D1170" s="22" t="str">
        <f t="shared" si="1"/>
        <v>Other</v>
      </c>
      <c r="E1170" s="21" t="str">
        <f>IF(C1170="","",C1170*CONFIG!B5)</f>
        <v/>
      </c>
    </row>
    <row r="1171" ht="15.75" customHeight="1">
      <c r="A1171" s="22" t="str">
        <f>IF(MOV_CC_INTL!A1171="","",MOV_CC_INTL!A1171)</f>
        <v/>
      </c>
      <c r="B1171" s="22" t="str">
        <f>IF(MOV_CC_INTL!B1171="","",MOV_CC_INTL!B1171)</f>
        <v/>
      </c>
      <c r="C1171" s="22" t="str">
        <f>IF(MOV_CC_INTL!C1171="","",MOV_CC_INTL!C1171)</f>
        <v/>
      </c>
      <c r="D1171" s="22" t="str">
        <f t="shared" si="1"/>
        <v>Other</v>
      </c>
      <c r="E1171" s="21" t="str">
        <f>IF(C1171="","",C1171*CONFIG!B5)</f>
        <v/>
      </c>
    </row>
    <row r="1172" ht="15.75" customHeight="1">
      <c r="A1172" s="22" t="str">
        <f>IF(MOV_CC_INTL!A1172="","",MOV_CC_INTL!A1172)</f>
        <v/>
      </c>
      <c r="B1172" s="22" t="str">
        <f>IF(MOV_CC_INTL!B1172="","",MOV_CC_INTL!B1172)</f>
        <v/>
      </c>
      <c r="C1172" s="22" t="str">
        <f>IF(MOV_CC_INTL!C1172="","",MOV_CC_INTL!C1172)</f>
        <v/>
      </c>
      <c r="D1172" s="22" t="str">
        <f t="shared" si="1"/>
        <v>Other</v>
      </c>
      <c r="E1172" s="21" t="str">
        <f>IF(C1172="","",C1172*CONFIG!B5)</f>
        <v/>
      </c>
    </row>
    <row r="1173" ht="15.75" customHeight="1">
      <c r="A1173" s="22" t="str">
        <f>IF(MOV_CC_INTL!A1173="","",MOV_CC_INTL!A1173)</f>
        <v/>
      </c>
      <c r="B1173" s="22" t="str">
        <f>IF(MOV_CC_INTL!B1173="","",MOV_CC_INTL!B1173)</f>
        <v/>
      </c>
      <c r="C1173" s="22" t="str">
        <f>IF(MOV_CC_INTL!C1173="","",MOV_CC_INTL!C1173)</f>
        <v/>
      </c>
      <c r="D1173" s="22" t="str">
        <f t="shared" si="1"/>
        <v>Other</v>
      </c>
      <c r="E1173" s="21" t="str">
        <f>IF(C1173="","",C1173*CONFIG!B5)</f>
        <v/>
      </c>
    </row>
    <row r="1174" ht="15.75" customHeight="1">
      <c r="A1174" s="22" t="str">
        <f>IF(MOV_CC_INTL!A1174="","",MOV_CC_INTL!A1174)</f>
        <v/>
      </c>
      <c r="B1174" s="22" t="str">
        <f>IF(MOV_CC_INTL!B1174="","",MOV_CC_INTL!B1174)</f>
        <v/>
      </c>
      <c r="C1174" s="22" t="str">
        <f>IF(MOV_CC_INTL!C1174="","",MOV_CC_INTL!C1174)</f>
        <v/>
      </c>
      <c r="D1174" s="22" t="str">
        <f t="shared" si="1"/>
        <v>Other</v>
      </c>
      <c r="E1174" s="21" t="str">
        <f>IF(C1174="","",C1174*CONFIG!B5)</f>
        <v/>
      </c>
    </row>
    <row r="1175" ht="15.75" customHeight="1">
      <c r="A1175" s="22" t="str">
        <f>IF(MOV_CC_INTL!A1175="","",MOV_CC_INTL!A1175)</f>
        <v/>
      </c>
      <c r="B1175" s="22" t="str">
        <f>IF(MOV_CC_INTL!B1175="","",MOV_CC_INTL!B1175)</f>
        <v/>
      </c>
      <c r="C1175" s="22" t="str">
        <f>IF(MOV_CC_INTL!C1175="","",MOV_CC_INTL!C1175)</f>
        <v/>
      </c>
      <c r="D1175" s="22" t="str">
        <f t="shared" si="1"/>
        <v>Other</v>
      </c>
      <c r="E1175" s="21" t="str">
        <f>IF(C1175="","",C1175*CONFIG!B5)</f>
        <v/>
      </c>
    </row>
    <row r="1176" ht="15.75" customHeight="1">
      <c r="A1176" s="22" t="str">
        <f>IF(MOV_CC_INTL!A1176="","",MOV_CC_INTL!A1176)</f>
        <v/>
      </c>
      <c r="B1176" s="22" t="str">
        <f>IF(MOV_CC_INTL!B1176="","",MOV_CC_INTL!B1176)</f>
        <v/>
      </c>
      <c r="C1176" s="22" t="str">
        <f>IF(MOV_CC_INTL!C1176="","",MOV_CC_INTL!C1176)</f>
        <v/>
      </c>
      <c r="D1176" s="22" t="str">
        <f t="shared" si="1"/>
        <v>Other</v>
      </c>
      <c r="E1176" s="21" t="str">
        <f>IF(C1176="","",C1176*CONFIG!B5)</f>
        <v/>
      </c>
    </row>
    <row r="1177" ht="15.75" customHeight="1">
      <c r="A1177" s="22" t="str">
        <f>IF(MOV_CC_INTL!A1177="","",MOV_CC_INTL!A1177)</f>
        <v/>
      </c>
      <c r="B1177" s="22" t="str">
        <f>IF(MOV_CC_INTL!B1177="","",MOV_CC_INTL!B1177)</f>
        <v/>
      </c>
      <c r="C1177" s="22" t="str">
        <f>IF(MOV_CC_INTL!C1177="","",MOV_CC_INTL!C1177)</f>
        <v/>
      </c>
      <c r="D1177" s="22" t="str">
        <f t="shared" si="1"/>
        <v>Other</v>
      </c>
      <c r="E1177" s="21" t="str">
        <f>IF(C1177="","",C1177*CONFIG!B5)</f>
        <v/>
      </c>
    </row>
    <row r="1178" ht="15.75" customHeight="1">
      <c r="A1178" s="22" t="str">
        <f>IF(MOV_CC_INTL!A1178="","",MOV_CC_INTL!A1178)</f>
        <v/>
      </c>
      <c r="B1178" s="22" t="str">
        <f>IF(MOV_CC_INTL!B1178="","",MOV_CC_INTL!B1178)</f>
        <v/>
      </c>
      <c r="C1178" s="22" t="str">
        <f>IF(MOV_CC_INTL!C1178="","",MOV_CC_INTL!C1178)</f>
        <v/>
      </c>
      <c r="D1178" s="22" t="str">
        <f t="shared" si="1"/>
        <v>Other</v>
      </c>
      <c r="E1178" s="21" t="str">
        <f>IF(C1178="","",C1178*CONFIG!B5)</f>
        <v/>
      </c>
    </row>
    <row r="1179" ht="15.75" customHeight="1">
      <c r="A1179" s="22" t="str">
        <f>IF(MOV_CC_INTL!A1179="","",MOV_CC_INTL!A1179)</f>
        <v/>
      </c>
      <c r="B1179" s="22" t="str">
        <f>IF(MOV_CC_INTL!B1179="","",MOV_CC_INTL!B1179)</f>
        <v/>
      </c>
      <c r="C1179" s="22" t="str">
        <f>IF(MOV_CC_INTL!C1179="","",MOV_CC_INTL!C1179)</f>
        <v/>
      </c>
      <c r="D1179" s="22" t="str">
        <f t="shared" si="1"/>
        <v>Other</v>
      </c>
      <c r="E1179" s="21" t="str">
        <f>IF(C1179="","",C1179*CONFIG!B5)</f>
        <v/>
      </c>
    </row>
    <row r="1180" ht="15.75" customHeight="1">
      <c r="A1180" s="22" t="str">
        <f>IF(MOV_CC_INTL!A1180="","",MOV_CC_INTL!A1180)</f>
        <v/>
      </c>
      <c r="B1180" s="22" t="str">
        <f>IF(MOV_CC_INTL!B1180="","",MOV_CC_INTL!B1180)</f>
        <v/>
      </c>
      <c r="C1180" s="22" t="str">
        <f>IF(MOV_CC_INTL!C1180="","",MOV_CC_INTL!C1180)</f>
        <v/>
      </c>
      <c r="D1180" s="22" t="str">
        <f t="shared" si="1"/>
        <v>Other</v>
      </c>
      <c r="E1180" s="21" t="str">
        <f>IF(C1180="","",C1180*CONFIG!B5)</f>
        <v/>
      </c>
    </row>
    <row r="1181" ht="15.75" customHeight="1">
      <c r="A1181" s="22" t="str">
        <f>IF(MOV_CC_INTL!A1181="","",MOV_CC_INTL!A1181)</f>
        <v/>
      </c>
      <c r="B1181" s="22" t="str">
        <f>IF(MOV_CC_INTL!B1181="","",MOV_CC_INTL!B1181)</f>
        <v/>
      </c>
      <c r="C1181" s="22" t="str">
        <f>IF(MOV_CC_INTL!C1181="","",MOV_CC_INTL!C1181)</f>
        <v/>
      </c>
      <c r="D1181" s="22" t="str">
        <f t="shared" si="1"/>
        <v>Other</v>
      </c>
      <c r="E1181" s="21" t="str">
        <f>IF(C1181="","",C1181*CONFIG!B5)</f>
        <v/>
      </c>
    </row>
    <row r="1182" ht="15.75" customHeight="1">
      <c r="A1182" s="22" t="str">
        <f>IF(MOV_CC_INTL!A1182="","",MOV_CC_INTL!A1182)</f>
        <v/>
      </c>
      <c r="B1182" s="22" t="str">
        <f>IF(MOV_CC_INTL!B1182="","",MOV_CC_INTL!B1182)</f>
        <v/>
      </c>
      <c r="C1182" s="22" t="str">
        <f>IF(MOV_CC_INTL!C1182="","",MOV_CC_INTL!C1182)</f>
        <v/>
      </c>
      <c r="D1182" s="22" t="str">
        <f t="shared" si="1"/>
        <v>Other</v>
      </c>
      <c r="E1182" s="21" t="str">
        <f>IF(C1182="","",C1182*CONFIG!B5)</f>
        <v/>
      </c>
    </row>
    <row r="1183" ht="15.75" customHeight="1">
      <c r="A1183" s="22" t="str">
        <f>IF(MOV_CC_INTL!A1183="","",MOV_CC_INTL!A1183)</f>
        <v/>
      </c>
      <c r="B1183" s="22" t="str">
        <f>IF(MOV_CC_INTL!B1183="","",MOV_CC_INTL!B1183)</f>
        <v/>
      </c>
      <c r="C1183" s="22" t="str">
        <f>IF(MOV_CC_INTL!C1183="","",MOV_CC_INTL!C1183)</f>
        <v/>
      </c>
      <c r="D1183" s="22" t="str">
        <f t="shared" si="1"/>
        <v>Other</v>
      </c>
      <c r="E1183" s="21" t="str">
        <f>IF(C1183="","",C1183*CONFIG!B5)</f>
        <v/>
      </c>
    </row>
    <row r="1184" ht="15.75" customHeight="1">
      <c r="A1184" s="22" t="str">
        <f>IF(MOV_CC_INTL!A1184="","",MOV_CC_INTL!A1184)</f>
        <v/>
      </c>
      <c r="B1184" s="22" t="str">
        <f>IF(MOV_CC_INTL!B1184="","",MOV_CC_INTL!B1184)</f>
        <v/>
      </c>
      <c r="C1184" s="22" t="str">
        <f>IF(MOV_CC_INTL!C1184="","",MOV_CC_INTL!C1184)</f>
        <v/>
      </c>
      <c r="D1184" s="22" t="str">
        <f t="shared" si="1"/>
        <v>Other</v>
      </c>
      <c r="E1184" s="21" t="str">
        <f>IF(C1184="","",C1184*CONFIG!B5)</f>
        <v/>
      </c>
    </row>
    <row r="1185" ht="15.75" customHeight="1">
      <c r="A1185" s="22" t="str">
        <f>IF(MOV_CC_INTL!A1185="","",MOV_CC_INTL!A1185)</f>
        <v/>
      </c>
      <c r="B1185" s="22" t="str">
        <f>IF(MOV_CC_INTL!B1185="","",MOV_CC_INTL!B1185)</f>
        <v/>
      </c>
      <c r="C1185" s="22" t="str">
        <f>IF(MOV_CC_INTL!C1185="","",MOV_CC_INTL!C1185)</f>
        <v/>
      </c>
      <c r="D1185" s="22" t="str">
        <f t="shared" si="1"/>
        <v>Other</v>
      </c>
      <c r="E1185" s="21" t="str">
        <f>IF(C1185="","",C1185*CONFIG!B5)</f>
        <v/>
      </c>
    </row>
    <row r="1186" ht="15.75" customHeight="1">
      <c r="A1186" s="22" t="str">
        <f>IF(MOV_CC_INTL!A1186="","",MOV_CC_INTL!A1186)</f>
        <v/>
      </c>
      <c r="B1186" s="22" t="str">
        <f>IF(MOV_CC_INTL!B1186="","",MOV_CC_INTL!B1186)</f>
        <v/>
      </c>
      <c r="C1186" s="22" t="str">
        <f>IF(MOV_CC_INTL!C1186="","",MOV_CC_INTL!C1186)</f>
        <v/>
      </c>
      <c r="D1186" s="22" t="str">
        <f t="shared" si="1"/>
        <v>Other</v>
      </c>
      <c r="E1186" s="21" t="str">
        <f>IF(C1186="","",C1186*CONFIG!B5)</f>
        <v/>
      </c>
    </row>
    <row r="1187" ht="15.75" customHeight="1">
      <c r="A1187" s="22" t="str">
        <f>IF(MOV_CC_INTL!A1187="","",MOV_CC_INTL!A1187)</f>
        <v/>
      </c>
      <c r="B1187" s="22" t="str">
        <f>IF(MOV_CC_INTL!B1187="","",MOV_CC_INTL!B1187)</f>
        <v/>
      </c>
      <c r="C1187" s="22" t="str">
        <f>IF(MOV_CC_INTL!C1187="","",MOV_CC_INTL!C1187)</f>
        <v/>
      </c>
      <c r="D1187" s="22" t="str">
        <f t="shared" si="1"/>
        <v>Other</v>
      </c>
      <c r="E1187" s="21" t="str">
        <f>IF(C1187="","",C1187*CONFIG!B5)</f>
        <v/>
      </c>
    </row>
    <row r="1188" ht="15.75" customHeight="1">
      <c r="A1188" s="22" t="str">
        <f>IF(MOV_CC_INTL!A1188="","",MOV_CC_INTL!A1188)</f>
        <v/>
      </c>
      <c r="B1188" s="22" t="str">
        <f>IF(MOV_CC_INTL!B1188="","",MOV_CC_INTL!B1188)</f>
        <v/>
      </c>
      <c r="C1188" s="22" t="str">
        <f>IF(MOV_CC_INTL!C1188="","",MOV_CC_INTL!C1188)</f>
        <v/>
      </c>
      <c r="D1188" s="22" t="str">
        <f t="shared" si="1"/>
        <v>Other</v>
      </c>
      <c r="E1188" s="21" t="str">
        <f>IF(C1188="","",C1188*CONFIG!B5)</f>
        <v/>
      </c>
    </row>
    <row r="1189" ht="15.75" customHeight="1">
      <c r="A1189" s="22" t="str">
        <f>IF(MOV_CC_INTL!A1189="","",MOV_CC_INTL!A1189)</f>
        <v/>
      </c>
      <c r="B1189" s="22" t="str">
        <f>IF(MOV_CC_INTL!B1189="","",MOV_CC_INTL!B1189)</f>
        <v/>
      </c>
      <c r="C1189" s="22" t="str">
        <f>IF(MOV_CC_INTL!C1189="","",MOV_CC_INTL!C1189)</f>
        <v/>
      </c>
      <c r="D1189" s="22" t="str">
        <f t="shared" si="1"/>
        <v>Other</v>
      </c>
      <c r="E1189" s="21" t="str">
        <f>IF(C1189="","",C1189*CONFIG!B5)</f>
        <v/>
      </c>
    </row>
    <row r="1190" ht="15.75" customHeight="1">
      <c r="A1190" s="22" t="str">
        <f>IF(MOV_CC_INTL!A1190="","",MOV_CC_INTL!A1190)</f>
        <v/>
      </c>
      <c r="B1190" s="22" t="str">
        <f>IF(MOV_CC_INTL!B1190="","",MOV_CC_INTL!B1190)</f>
        <v/>
      </c>
      <c r="C1190" s="22" t="str">
        <f>IF(MOV_CC_INTL!C1190="","",MOV_CC_INTL!C1190)</f>
        <v/>
      </c>
      <c r="D1190" s="22" t="str">
        <f t="shared" si="1"/>
        <v>Other</v>
      </c>
      <c r="E1190" s="21" t="str">
        <f>IF(C1190="","",C1190*CONFIG!B5)</f>
        <v/>
      </c>
    </row>
    <row r="1191" ht="15.75" customHeight="1">
      <c r="A1191" s="22" t="str">
        <f>IF(MOV_CC_INTL!A1191="","",MOV_CC_INTL!A1191)</f>
        <v/>
      </c>
      <c r="B1191" s="22" t="str">
        <f>IF(MOV_CC_INTL!B1191="","",MOV_CC_INTL!B1191)</f>
        <v/>
      </c>
      <c r="C1191" s="22" t="str">
        <f>IF(MOV_CC_INTL!C1191="","",MOV_CC_INTL!C1191)</f>
        <v/>
      </c>
      <c r="D1191" s="22" t="str">
        <f t="shared" si="1"/>
        <v>Other</v>
      </c>
      <c r="E1191" s="21" t="str">
        <f>IF(C1191="","",C1191*CONFIG!B5)</f>
        <v/>
      </c>
    </row>
    <row r="1192" ht="15.75" customHeight="1">
      <c r="A1192" s="22" t="str">
        <f>IF(MOV_CC_INTL!A1192="","",MOV_CC_INTL!A1192)</f>
        <v/>
      </c>
      <c r="B1192" s="22" t="str">
        <f>IF(MOV_CC_INTL!B1192="","",MOV_CC_INTL!B1192)</f>
        <v/>
      </c>
      <c r="C1192" s="22" t="str">
        <f>IF(MOV_CC_INTL!C1192="","",MOV_CC_INTL!C1192)</f>
        <v/>
      </c>
      <c r="D1192" s="22" t="str">
        <f t="shared" si="1"/>
        <v>Other</v>
      </c>
      <c r="E1192" s="21" t="str">
        <f>IF(C1192="","",C1192*CONFIG!B5)</f>
        <v/>
      </c>
    </row>
    <row r="1193" ht="15.75" customHeight="1">
      <c r="A1193" s="22" t="str">
        <f>IF(MOV_CC_INTL!A1193="","",MOV_CC_INTL!A1193)</f>
        <v/>
      </c>
      <c r="B1193" s="22" t="str">
        <f>IF(MOV_CC_INTL!B1193="","",MOV_CC_INTL!B1193)</f>
        <v/>
      </c>
      <c r="C1193" s="22" t="str">
        <f>IF(MOV_CC_INTL!C1193="","",MOV_CC_INTL!C1193)</f>
        <v/>
      </c>
      <c r="D1193" s="22" t="str">
        <f t="shared" si="1"/>
        <v>Other</v>
      </c>
      <c r="E1193" s="21" t="str">
        <f>IF(C1193="","",C1193*CONFIG!B5)</f>
        <v/>
      </c>
    </row>
    <row r="1194" ht="15.75" customHeight="1">
      <c r="A1194" s="22" t="str">
        <f>IF(MOV_CC_INTL!A1194="","",MOV_CC_INTL!A1194)</f>
        <v/>
      </c>
      <c r="B1194" s="22" t="str">
        <f>IF(MOV_CC_INTL!B1194="","",MOV_CC_INTL!B1194)</f>
        <v/>
      </c>
      <c r="C1194" s="22" t="str">
        <f>IF(MOV_CC_INTL!C1194="","",MOV_CC_INTL!C1194)</f>
        <v/>
      </c>
      <c r="D1194" s="22" t="str">
        <f t="shared" si="1"/>
        <v>Other</v>
      </c>
      <c r="E1194" s="21" t="str">
        <f>IF(C1194="","",C1194*CONFIG!B5)</f>
        <v/>
      </c>
    </row>
    <row r="1195" ht="15.75" customHeight="1">
      <c r="A1195" s="22" t="str">
        <f>IF(MOV_CC_INTL!A1195="","",MOV_CC_INTL!A1195)</f>
        <v/>
      </c>
      <c r="B1195" s="22" t="str">
        <f>IF(MOV_CC_INTL!B1195="","",MOV_CC_INTL!B1195)</f>
        <v/>
      </c>
      <c r="C1195" s="22" t="str">
        <f>IF(MOV_CC_INTL!C1195="","",MOV_CC_INTL!C1195)</f>
        <v/>
      </c>
      <c r="D1195" s="22" t="str">
        <f t="shared" si="1"/>
        <v>Other</v>
      </c>
      <c r="E1195" s="21" t="str">
        <f>IF(C1195="","",C1195*CONFIG!B5)</f>
        <v/>
      </c>
    </row>
    <row r="1196" ht="15.75" customHeight="1">
      <c r="A1196" s="22" t="str">
        <f>IF(MOV_CC_INTL!A1196="","",MOV_CC_INTL!A1196)</f>
        <v/>
      </c>
      <c r="B1196" s="22" t="str">
        <f>IF(MOV_CC_INTL!B1196="","",MOV_CC_INTL!B1196)</f>
        <v/>
      </c>
      <c r="C1196" s="22" t="str">
        <f>IF(MOV_CC_INTL!C1196="","",MOV_CC_INTL!C1196)</f>
        <v/>
      </c>
      <c r="D1196" s="22" t="str">
        <f t="shared" si="1"/>
        <v>Other</v>
      </c>
      <c r="E1196" s="21" t="str">
        <f>IF(C1196="","",C1196*CONFIG!B5)</f>
        <v/>
      </c>
    </row>
    <row r="1197" ht="15.75" customHeight="1">
      <c r="A1197" s="22" t="str">
        <f>IF(MOV_CC_INTL!A1197="","",MOV_CC_INTL!A1197)</f>
        <v/>
      </c>
      <c r="B1197" s="22" t="str">
        <f>IF(MOV_CC_INTL!B1197="","",MOV_CC_INTL!B1197)</f>
        <v/>
      </c>
      <c r="C1197" s="22" t="str">
        <f>IF(MOV_CC_INTL!C1197="","",MOV_CC_INTL!C1197)</f>
        <v/>
      </c>
      <c r="D1197" s="22" t="str">
        <f t="shared" si="1"/>
        <v>Other</v>
      </c>
      <c r="E1197" s="21" t="str">
        <f>IF(C1197="","",C1197*CONFIG!B5)</f>
        <v/>
      </c>
    </row>
    <row r="1198" ht="15.75" customHeight="1">
      <c r="A1198" s="22" t="str">
        <f>IF(MOV_CC_INTL!A1198="","",MOV_CC_INTL!A1198)</f>
        <v/>
      </c>
      <c r="B1198" s="22" t="str">
        <f>IF(MOV_CC_INTL!B1198="","",MOV_CC_INTL!B1198)</f>
        <v/>
      </c>
      <c r="C1198" s="22" t="str">
        <f>IF(MOV_CC_INTL!C1198="","",MOV_CC_INTL!C1198)</f>
        <v/>
      </c>
      <c r="D1198" s="22" t="str">
        <f t="shared" si="1"/>
        <v>Other</v>
      </c>
      <c r="E1198" s="21" t="str">
        <f>IF(C1198="","",C1198*CONFIG!B5)</f>
        <v/>
      </c>
    </row>
    <row r="1199" ht="15.75" customHeight="1">
      <c r="A1199" s="22" t="str">
        <f>IF(MOV_CC_INTL!A1199="","",MOV_CC_INTL!A1199)</f>
        <v/>
      </c>
      <c r="B1199" s="22" t="str">
        <f>IF(MOV_CC_INTL!B1199="","",MOV_CC_INTL!B1199)</f>
        <v/>
      </c>
      <c r="C1199" s="22" t="str">
        <f>IF(MOV_CC_INTL!C1199="","",MOV_CC_INTL!C1199)</f>
        <v/>
      </c>
      <c r="D1199" s="22" t="str">
        <f t="shared" si="1"/>
        <v>Other</v>
      </c>
      <c r="E1199" s="21" t="str">
        <f>IF(C1199="","",C1199*CONFIG!B5)</f>
        <v/>
      </c>
    </row>
    <row r="1200" ht="15.75" customHeight="1">
      <c r="A1200" s="22" t="str">
        <f>IF(MOV_CC_INTL!A1200="","",MOV_CC_INTL!A1200)</f>
        <v/>
      </c>
      <c r="B1200" s="22" t="str">
        <f>IF(MOV_CC_INTL!B1200="","",MOV_CC_INTL!B1200)</f>
        <v/>
      </c>
      <c r="C1200" s="22" t="str">
        <f>IF(MOV_CC_INTL!C1200="","",MOV_CC_INTL!C1200)</f>
        <v/>
      </c>
      <c r="D1200" s="22" t="str">
        <f t="shared" si="1"/>
        <v>Other</v>
      </c>
      <c r="E1200" s="21" t="str">
        <f>IF(C1200="","",C1200*CONFIG!B5)</f>
        <v/>
      </c>
    </row>
    <row r="1201" ht="15.75" customHeight="1">
      <c r="A1201" s="22" t="str">
        <f>IF(MOV_CC_INTL!A1201="","",MOV_CC_INTL!A1201)</f>
        <v/>
      </c>
      <c r="B1201" s="22" t="str">
        <f>IF(MOV_CC_INTL!B1201="","",MOV_CC_INTL!B1201)</f>
        <v/>
      </c>
      <c r="C1201" s="22" t="str">
        <f>IF(MOV_CC_INTL!C1201="","",MOV_CC_INTL!C1201)</f>
        <v/>
      </c>
      <c r="D1201" s="22" t="str">
        <f t="shared" si="1"/>
        <v>Other</v>
      </c>
      <c r="E1201" s="21" t="str">
        <f>IF(C1201="","",C1201*CONFIG!B5)</f>
        <v/>
      </c>
    </row>
    <row r="1202" ht="15.75" customHeight="1">
      <c r="A1202" s="22" t="str">
        <f>IF(MOV_CC_INTL!A1202="","",MOV_CC_INTL!A1202)</f>
        <v/>
      </c>
      <c r="B1202" s="22" t="str">
        <f>IF(MOV_CC_INTL!B1202="","",MOV_CC_INTL!B1202)</f>
        <v/>
      </c>
      <c r="C1202" s="22" t="str">
        <f>IF(MOV_CC_INTL!C1202="","",MOV_CC_INTL!C1202)</f>
        <v/>
      </c>
      <c r="D1202" s="22" t="str">
        <f t="shared" si="1"/>
        <v>Other</v>
      </c>
      <c r="E1202" s="21" t="str">
        <f>IF(C1202="","",C1202*CONFIG!B5)</f>
        <v/>
      </c>
    </row>
    <row r="1203" ht="15.75" customHeight="1">
      <c r="A1203" s="22" t="str">
        <f>IF(MOV_CC_INTL!A1203="","",MOV_CC_INTL!A1203)</f>
        <v/>
      </c>
      <c r="B1203" s="22" t="str">
        <f>IF(MOV_CC_INTL!B1203="","",MOV_CC_INTL!B1203)</f>
        <v/>
      </c>
      <c r="C1203" s="22" t="str">
        <f>IF(MOV_CC_INTL!C1203="","",MOV_CC_INTL!C1203)</f>
        <v/>
      </c>
      <c r="D1203" s="22" t="str">
        <f t="shared" si="1"/>
        <v>Other</v>
      </c>
      <c r="E1203" s="21" t="str">
        <f>IF(C1203="","",C1203*CONFIG!B5)</f>
        <v/>
      </c>
    </row>
    <row r="1204" ht="15.75" customHeight="1">
      <c r="A1204" s="22" t="str">
        <f>IF(MOV_CC_INTL!A1204="","",MOV_CC_INTL!A1204)</f>
        <v/>
      </c>
      <c r="B1204" s="22" t="str">
        <f>IF(MOV_CC_INTL!B1204="","",MOV_CC_INTL!B1204)</f>
        <v/>
      </c>
      <c r="C1204" s="22" t="str">
        <f>IF(MOV_CC_INTL!C1204="","",MOV_CC_INTL!C1204)</f>
        <v/>
      </c>
      <c r="D1204" s="22" t="str">
        <f t="shared" si="1"/>
        <v>Other</v>
      </c>
      <c r="E1204" s="21" t="str">
        <f>IF(C1204="","",C1204*CONFIG!B5)</f>
        <v/>
      </c>
    </row>
    <row r="1205" ht="15.75" customHeight="1">
      <c r="A1205" s="22" t="str">
        <f>IF(MOV_CC_INTL!A1205="","",MOV_CC_INTL!A1205)</f>
        <v/>
      </c>
      <c r="B1205" s="22" t="str">
        <f>IF(MOV_CC_INTL!B1205="","",MOV_CC_INTL!B1205)</f>
        <v/>
      </c>
      <c r="C1205" s="22" t="str">
        <f>IF(MOV_CC_INTL!C1205="","",MOV_CC_INTL!C1205)</f>
        <v/>
      </c>
      <c r="D1205" s="22" t="str">
        <f t="shared" si="1"/>
        <v>Other</v>
      </c>
      <c r="E1205" s="21" t="str">
        <f>IF(C1205="","",C1205*CONFIG!B5)</f>
        <v/>
      </c>
    </row>
    <row r="1206" ht="15.75" customHeight="1">
      <c r="A1206" s="22" t="str">
        <f>IF(MOV_CC_INTL!A1206="","",MOV_CC_INTL!A1206)</f>
        <v/>
      </c>
      <c r="B1206" s="22" t="str">
        <f>IF(MOV_CC_INTL!B1206="","",MOV_CC_INTL!B1206)</f>
        <v/>
      </c>
      <c r="C1206" s="22" t="str">
        <f>IF(MOV_CC_INTL!C1206="","",MOV_CC_INTL!C1206)</f>
        <v/>
      </c>
      <c r="D1206" s="22" t="str">
        <f t="shared" si="1"/>
        <v>Other</v>
      </c>
      <c r="E1206" s="21" t="str">
        <f>IF(C1206="","",C1206*CONFIG!B5)</f>
        <v/>
      </c>
    </row>
    <row r="1207" ht="15.75" customHeight="1">
      <c r="A1207" s="22" t="str">
        <f>IF(MOV_CC_INTL!A1207="","",MOV_CC_INTL!A1207)</f>
        <v/>
      </c>
      <c r="B1207" s="22" t="str">
        <f>IF(MOV_CC_INTL!B1207="","",MOV_CC_INTL!B1207)</f>
        <v/>
      </c>
      <c r="C1207" s="22" t="str">
        <f>IF(MOV_CC_INTL!C1207="","",MOV_CC_INTL!C1207)</f>
        <v/>
      </c>
      <c r="D1207" s="22" t="str">
        <f t="shared" si="1"/>
        <v>Other</v>
      </c>
      <c r="E1207" s="21" t="str">
        <f>IF(C1207="","",C1207*CONFIG!B5)</f>
        <v/>
      </c>
    </row>
    <row r="1208" ht="15.75" customHeight="1">
      <c r="A1208" s="22" t="str">
        <f>IF(MOV_CC_INTL!A1208="","",MOV_CC_INTL!A1208)</f>
        <v/>
      </c>
      <c r="B1208" s="22" t="str">
        <f>IF(MOV_CC_INTL!B1208="","",MOV_CC_INTL!B1208)</f>
        <v/>
      </c>
      <c r="C1208" s="22" t="str">
        <f>IF(MOV_CC_INTL!C1208="","",MOV_CC_INTL!C1208)</f>
        <v/>
      </c>
      <c r="D1208" s="22" t="str">
        <f t="shared" si="1"/>
        <v>Other</v>
      </c>
      <c r="E1208" s="21" t="str">
        <f>IF(C1208="","",C1208*CONFIG!B5)</f>
        <v/>
      </c>
    </row>
    <row r="1209" ht="15.75" customHeight="1">
      <c r="A1209" s="22" t="str">
        <f>IF(MOV_CC_INTL!A1209="","",MOV_CC_INTL!A1209)</f>
        <v/>
      </c>
      <c r="B1209" s="22" t="str">
        <f>IF(MOV_CC_INTL!B1209="","",MOV_CC_INTL!B1209)</f>
        <v/>
      </c>
      <c r="C1209" s="22" t="str">
        <f>IF(MOV_CC_INTL!C1209="","",MOV_CC_INTL!C1209)</f>
        <v/>
      </c>
      <c r="D1209" s="22" t="str">
        <f t="shared" si="1"/>
        <v>Other</v>
      </c>
      <c r="E1209" s="21" t="str">
        <f>IF(C1209="","",C1209*CONFIG!B5)</f>
        <v/>
      </c>
    </row>
    <row r="1210" ht="15.75" customHeight="1">
      <c r="A1210" s="22" t="str">
        <f>IF(MOV_CC_INTL!A1210="","",MOV_CC_INTL!A1210)</f>
        <v/>
      </c>
      <c r="B1210" s="22" t="str">
        <f>IF(MOV_CC_INTL!B1210="","",MOV_CC_INTL!B1210)</f>
        <v/>
      </c>
      <c r="C1210" s="22" t="str">
        <f>IF(MOV_CC_INTL!C1210="","",MOV_CC_INTL!C1210)</f>
        <v/>
      </c>
      <c r="D1210" s="22" t="str">
        <f t="shared" si="1"/>
        <v>Other</v>
      </c>
      <c r="E1210" s="21" t="str">
        <f>IF(C1210="","",C1210*CONFIG!B5)</f>
        <v/>
      </c>
    </row>
    <row r="1211" ht="15.75" customHeight="1">
      <c r="A1211" s="22" t="str">
        <f>IF(MOV_CC_INTL!A1211="","",MOV_CC_INTL!A1211)</f>
        <v/>
      </c>
      <c r="B1211" s="22" t="str">
        <f>IF(MOV_CC_INTL!B1211="","",MOV_CC_INTL!B1211)</f>
        <v/>
      </c>
      <c r="C1211" s="22" t="str">
        <f>IF(MOV_CC_INTL!C1211="","",MOV_CC_INTL!C1211)</f>
        <v/>
      </c>
      <c r="D1211" s="22" t="str">
        <f t="shared" si="1"/>
        <v>Other</v>
      </c>
      <c r="E1211" s="21" t="str">
        <f>IF(C1211="","",C1211*CONFIG!B5)</f>
        <v/>
      </c>
    </row>
    <row r="1212" ht="15.75" customHeight="1">
      <c r="A1212" s="22" t="str">
        <f>IF(MOV_CC_INTL!A1212="","",MOV_CC_INTL!A1212)</f>
        <v/>
      </c>
      <c r="B1212" s="22" t="str">
        <f>IF(MOV_CC_INTL!B1212="","",MOV_CC_INTL!B1212)</f>
        <v/>
      </c>
      <c r="C1212" s="22" t="str">
        <f>IF(MOV_CC_INTL!C1212="","",MOV_CC_INTL!C1212)</f>
        <v/>
      </c>
      <c r="D1212" s="22" t="str">
        <f t="shared" si="1"/>
        <v>Other</v>
      </c>
      <c r="E1212" s="21" t="str">
        <f>IF(C1212="","",C1212*CONFIG!B5)</f>
        <v/>
      </c>
    </row>
    <row r="1213" ht="15.75" customHeight="1">
      <c r="A1213" s="22" t="str">
        <f>IF(MOV_CC_INTL!A1213="","",MOV_CC_INTL!A1213)</f>
        <v/>
      </c>
      <c r="B1213" s="22" t="str">
        <f>IF(MOV_CC_INTL!B1213="","",MOV_CC_INTL!B1213)</f>
        <v/>
      </c>
      <c r="C1213" s="22" t="str">
        <f>IF(MOV_CC_INTL!C1213="","",MOV_CC_INTL!C1213)</f>
        <v/>
      </c>
      <c r="D1213" s="22" t="str">
        <f t="shared" si="1"/>
        <v>Other</v>
      </c>
      <c r="E1213" s="21" t="str">
        <f>IF(C1213="","",C1213*CONFIG!B5)</f>
        <v/>
      </c>
    </row>
    <row r="1214" ht="15.75" customHeight="1">
      <c r="A1214" s="22" t="str">
        <f>IF(MOV_CC_INTL!A1214="","",MOV_CC_INTL!A1214)</f>
        <v/>
      </c>
      <c r="B1214" s="22" t="str">
        <f>IF(MOV_CC_INTL!B1214="","",MOV_CC_INTL!B1214)</f>
        <v/>
      </c>
      <c r="C1214" s="22" t="str">
        <f>IF(MOV_CC_INTL!C1214="","",MOV_CC_INTL!C1214)</f>
        <v/>
      </c>
      <c r="D1214" s="22" t="str">
        <f t="shared" si="1"/>
        <v>Other</v>
      </c>
      <c r="E1214" s="21" t="str">
        <f>IF(C1214="","",C1214*CONFIG!B5)</f>
        <v/>
      </c>
    </row>
    <row r="1215" ht="15.75" customHeight="1">
      <c r="A1215" s="22" t="str">
        <f>IF(MOV_CC_INTL!A1215="","",MOV_CC_INTL!A1215)</f>
        <v/>
      </c>
      <c r="B1215" s="22" t="str">
        <f>IF(MOV_CC_INTL!B1215="","",MOV_CC_INTL!B1215)</f>
        <v/>
      </c>
      <c r="C1215" s="22" t="str">
        <f>IF(MOV_CC_INTL!C1215="","",MOV_CC_INTL!C1215)</f>
        <v/>
      </c>
      <c r="D1215" s="22" t="str">
        <f t="shared" si="1"/>
        <v>Other</v>
      </c>
      <c r="E1215" s="21" t="str">
        <f>IF(C1215="","",C1215*CONFIG!B5)</f>
        <v/>
      </c>
    </row>
    <row r="1216" ht="15.75" customHeight="1">
      <c r="A1216" s="22" t="str">
        <f>IF(MOV_CC_INTL!A1216="","",MOV_CC_INTL!A1216)</f>
        <v/>
      </c>
      <c r="B1216" s="22" t="str">
        <f>IF(MOV_CC_INTL!B1216="","",MOV_CC_INTL!B1216)</f>
        <v/>
      </c>
      <c r="C1216" s="22" t="str">
        <f>IF(MOV_CC_INTL!C1216="","",MOV_CC_INTL!C1216)</f>
        <v/>
      </c>
      <c r="D1216" s="22" t="str">
        <f t="shared" si="1"/>
        <v>Other</v>
      </c>
      <c r="E1216" s="21" t="str">
        <f>IF(C1216="","",C1216*CONFIG!B5)</f>
        <v/>
      </c>
    </row>
    <row r="1217" ht="15.75" customHeight="1">
      <c r="A1217" s="22" t="str">
        <f>IF(MOV_CC_INTL!A1217="","",MOV_CC_INTL!A1217)</f>
        <v/>
      </c>
      <c r="B1217" s="22" t="str">
        <f>IF(MOV_CC_INTL!B1217="","",MOV_CC_INTL!B1217)</f>
        <v/>
      </c>
      <c r="C1217" s="22" t="str">
        <f>IF(MOV_CC_INTL!C1217="","",MOV_CC_INTL!C1217)</f>
        <v/>
      </c>
      <c r="D1217" s="22" t="str">
        <f t="shared" si="1"/>
        <v>Other</v>
      </c>
      <c r="E1217" s="21" t="str">
        <f>IF(C1217="","",C1217*CONFIG!B5)</f>
        <v/>
      </c>
    </row>
    <row r="1218" ht="15.75" customHeight="1">
      <c r="A1218" s="22" t="str">
        <f>IF(MOV_CC_INTL!A1218="","",MOV_CC_INTL!A1218)</f>
        <v/>
      </c>
      <c r="B1218" s="22" t="str">
        <f>IF(MOV_CC_INTL!B1218="","",MOV_CC_INTL!B1218)</f>
        <v/>
      </c>
      <c r="C1218" s="22" t="str">
        <f>IF(MOV_CC_INTL!C1218="","",MOV_CC_INTL!C1218)</f>
        <v/>
      </c>
      <c r="D1218" s="22" t="str">
        <f t="shared" si="1"/>
        <v>Other</v>
      </c>
      <c r="E1218" s="21" t="str">
        <f>IF(C1218="","",C1218*CONFIG!B5)</f>
        <v/>
      </c>
    </row>
    <row r="1219" ht="15.75" customHeight="1">
      <c r="A1219" s="22" t="str">
        <f>IF(MOV_CC_INTL!A1219="","",MOV_CC_INTL!A1219)</f>
        <v/>
      </c>
      <c r="B1219" s="22" t="str">
        <f>IF(MOV_CC_INTL!B1219="","",MOV_CC_INTL!B1219)</f>
        <v/>
      </c>
      <c r="C1219" s="22" t="str">
        <f>IF(MOV_CC_INTL!C1219="","",MOV_CC_INTL!C1219)</f>
        <v/>
      </c>
      <c r="D1219" s="22" t="str">
        <f t="shared" si="1"/>
        <v>Other</v>
      </c>
      <c r="E1219" s="21" t="str">
        <f>IF(C1219="","",C1219*CONFIG!B5)</f>
        <v/>
      </c>
    </row>
    <row r="1220" ht="15.75" customHeight="1">
      <c r="A1220" s="22" t="str">
        <f>IF(MOV_CC_INTL!A1220="","",MOV_CC_INTL!A1220)</f>
        <v/>
      </c>
      <c r="B1220" s="22" t="str">
        <f>IF(MOV_CC_INTL!B1220="","",MOV_CC_INTL!B1220)</f>
        <v/>
      </c>
      <c r="C1220" s="22" t="str">
        <f>IF(MOV_CC_INTL!C1220="","",MOV_CC_INTL!C1220)</f>
        <v/>
      </c>
      <c r="D1220" s="22" t="str">
        <f t="shared" si="1"/>
        <v>Other</v>
      </c>
      <c r="E1220" s="21" t="str">
        <f>IF(C1220="","",C1220*CONFIG!B5)</f>
        <v/>
      </c>
    </row>
    <row r="1221" ht="15.75" customHeight="1">
      <c r="A1221" s="22" t="str">
        <f>IF(MOV_CC_INTL!A1221="","",MOV_CC_INTL!A1221)</f>
        <v/>
      </c>
      <c r="B1221" s="22" t="str">
        <f>IF(MOV_CC_INTL!B1221="","",MOV_CC_INTL!B1221)</f>
        <v/>
      </c>
      <c r="C1221" s="22" t="str">
        <f>IF(MOV_CC_INTL!C1221="","",MOV_CC_INTL!C1221)</f>
        <v/>
      </c>
      <c r="D1221" s="22" t="str">
        <f t="shared" si="1"/>
        <v>Other</v>
      </c>
      <c r="E1221" s="21" t="str">
        <f>IF(C1221="","",C1221*CONFIG!B5)</f>
        <v/>
      </c>
    </row>
    <row r="1222" ht="15.75" customHeight="1">
      <c r="A1222" s="22" t="str">
        <f>IF(MOV_CC_INTL!A1222="","",MOV_CC_INTL!A1222)</f>
        <v/>
      </c>
      <c r="B1222" s="22" t="str">
        <f>IF(MOV_CC_INTL!B1222="","",MOV_CC_INTL!B1222)</f>
        <v/>
      </c>
      <c r="C1222" s="22" t="str">
        <f>IF(MOV_CC_INTL!C1222="","",MOV_CC_INTL!C1222)</f>
        <v/>
      </c>
      <c r="D1222" s="22" t="str">
        <f t="shared" si="1"/>
        <v>Other</v>
      </c>
      <c r="E1222" s="21" t="str">
        <f>IF(C1222="","",C1222*CONFIG!B5)</f>
        <v/>
      </c>
    </row>
    <row r="1223" ht="15.75" customHeight="1">
      <c r="A1223" s="22" t="str">
        <f>IF(MOV_CC_INTL!A1223="","",MOV_CC_INTL!A1223)</f>
        <v/>
      </c>
      <c r="B1223" s="22" t="str">
        <f>IF(MOV_CC_INTL!B1223="","",MOV_CC_INTL!B1223)</f>
        <v/>
      </c>
      <c r="C1223" s="22" t="str">
        <f>IF(MOV_CC_INTL!C1223="","",MOV_CC_INTL!C1223)</f>
        <v/>
      </c>
      <c r="D1223" s="22" t="str">
        <f t="shared" si="1"/>
        <v>Other</v>
      </c>
      <c r="E1223" s="21" t="str">
        <f>IF(C1223="","",C1223*CONFIG!B5)</f>
        <v/>
      </c>
    </row>
    <row r="1224" ht="15.75" customHeight="1">
      <c r="A1224" s="22" t="str">
        <f>IF(MOV_CC_INTL!A1224="","",MOV_CC_INTL!A1224)</f>
        <v/>
      </c>
      <c r="B1224" s="22" t="str">
        <f>IF(MOV_CC_INTL!B1224="","",MOV_CC_INTL!B1224)</f>
        <v/>
      </c>
      <c r="C1224" s="22" t="str">
        <f>IF(MOV_CC_INTL!C1224="","",MOV_CC_INTL!C1224)</f>
        <v/>
      </c>
      <c r="D1224" s="22" t="str">
        <f t="shared" si="1"/>
        <v>Other</v>
      </c>
      <c r="E1224" s="21" t="str">
        <f>IF(C1224="","",C1224*CONFIG!B5)</f>
        <v/>
      </c>
    </row>
    <row r="1225" ht="15.75" customHeight="1">
      <c r="A1225" s="22" t="str">
        <f>IF(MOV_CC_INTL!A1225="","",MOV_CC_INTL!A1225)</f>
        <v/>
      </c>
      <c r="B1225" s="22" t="str">
        <f>IF(MOV_CC_INTL!B1225="","",MOV_CC_INTL!B1225)</f>
        <v/>
      </c>
      <c r="C1225" s="22" t="str">
        <f>IF(MOV_CC_INTL!C1225="","",MOV_CC_INTL!C1225)</f>
        <v/>
      </c>
      <c r="D1225" s="22" t="str">
        <f t="shared" si="1"/>
        <v>Other</v>
      </c>
      <c r="E1225" s="21" t="str">
        <f>IF(C1225="","",C1225*CONFIG!B5)</f>
        <v/>
      </c>
    </row>
    <row r="1226" ht="15.75" customHeight="1">
      <c r="A1226" s="22" t="str">
        <f>IF(MOV_CC_INTL!A1226="","",MOV_CC_INTL!A1226)</f>
        <v/>
      </c>
      <c r="B1226" s="22" t="str">
        <f>IF(MOV_CC_INTL!B1226="","",MOV_CC_INTL!B1226)</f>
        <v/>
      </c>
      <c r="C1226" s="22" t="str">
        <f>IF(MOV_CC_INTL!C1226="","",MOV_CC_INTL!C1226)</f>
        <v/>
      </c>
      <c r="D1226" s="22" t="str">
        <f t="shared" si="1"/>
        <v>Other</v>
      </c>
      <c r="E1226" s="21" t="str">
        <f>IF(C1226="","",C1226*CONFIG!B5)</f>
        <v/>
      </c>
    </row>
    <row r="1227" ht="15.75" customHeight="1">
      <c r="A1227" s="22" t="str">
        <f>IF(MOV_CC_INTL!A1227="","",MOV_CC_INTL!A1227)</f>
        <v/>
      </c>
      <c r="B1227" s="22" t="str">
        <f>IF(MOV_CC_INTL!B1227="","",MOV_CC_INTL!B1227)</f>
        <v/>
      </c>
      <c r="C1227" s="22" t="str">
        <f>IF(MOV_CC_INTL!C1227="","",MOV_CC_INTL!C1227)</f>
        <v/>
      </c>
      <c r="D1227" s="22" t="str">
        <f t="shared" si="1"/>
        <v>Other</v>
      </c>
      <c r="E1227" s="21" t="str">
        <f>IF(C1227="","",C1227*CONFIG!B5)</f>
        <v/>
      </c>
    </row>
    <row r="1228" ht="15.75" customHeight="1">
      <c r="A1228" s="22" t="str">
        <f>IF(MOV_CC_INTL!A1228="","",MOV_CC_INTL!A1228)</f>
        <v/>
      </c>
      <c r="B1228" s="22" t="str">
        <f>IF(MOV_CC_INTL!B1228="","",MOV_CC_INTL!B1228)</f>
        <v/>
      </c>
      <c r="C1228" s="22" t="str">
        <f>IF(MOV_CC_INTL!C1228="","",MOV_CC_INTL!C1228)</f>
        <v/>
      </c>
      <c r="D1228" s="22" t="str">
        <f t="shared" si="1"/>
        <v>Other</v>
      </c>
      <c r="E1228" s="21" t="str">
        <f>IF(C1228="","",C1228*CONFIG!B5)</f>
        <v/>
      </c>
    </row>
    <row r="1229" ht="15.75" customHeight="1">
      <c r="A1229" s="22" t="str">
        <f>IF(MOV_CC_INTL!A1229="","",MOV_CC_INTL!A1229)</f>
        <v/>
      </c>
      <c r="B1229" s="22" t="str">
        <f>IF(MOV_CC_INTL!B1229="","",MOV_CC_INTL!B1229)</f>
        <v/>
      </c>
      <c r="C1229" s="22" t="str">
        <f>IF(MOV_CC_INTL!C1229="","",MOV_CC_INTL!C1229)</f>
        <v/>
      </c>
      <c r="D1229" s="22" t="str">
        <f t="shared" si="1"/>
        <v>Other</v>
      </c>
      <c r="E1229" s="21" t="str">
        <f>IF(C1229="","",C1229*CONFIG!B5)</f>
        <v/>
      </c>
    </row>
    <row r="1230" ht="15.75" customHeight="1">
      <c r="A1230" s="22" t="str">
        <f>IF(MOV_CC_INTL!A1230="","",MOV_CC_INTL!A1230)</f>
        <v/>
      </c>
      <c r="B1230" s="22" t="str">
        <f>IF(MOV_CC_INTL!B1230="","",MOV_CC_INTL!B1230)</f>
        <v/>
      </c>
      <c r="C1230" s="22" t="str">
        <f>IF(MOV_CC_INTL!C1230="","",MOV_CC_INTL!C1230)</f>
        <v/>
      </c>
      <c r="D1230" s="22" t="str">
        <f t="shared" si="1"/>
        <v>Other</v>
      </c>
      <c r="E1230" s="21" t="str">
        <f>IF(C1230="","",C1230*CONFIG!B5)</f>
        <v/>
      </c>
    </row>
    <row r="1231" ht="15.75" customHeight="1">
      <c r="A1231" s="22" t="str">
        <f>IF(MOV_CC_INTL!A1231="","",MOV_CC_INTL!A1231)</f>
        <v/>
      </c>
      <c r="B1231" s="22" t="str">
        <f>IF(MOV_CC_INTL!B1231="","",MOV_CC_INTL!B1231)</f>
        <v/>
      </c>
      <c r="C1231" s="22" t="str">
        <f>IF(MOV_CC_INTL!C1231="","",MOV_CC_INTL!C1231)</f>
        <v/>
      </c>
      <c r="D1231" s="22" t="str">
        <f t="shared" si="1"/>
        <v>Other</v>
      </c>
      <c r="E1231" s="21" t="str">
        <f>IF(C1231="","",C1231*CONFIG!B5)</f>
        <v/>
      </c>
    </row>
    <row r="1232" ht="15.75" customHeight="1">
      <c r="A1232" s="22" t="str">
        <f>IF(MOV_CC_INTL!A1232="","",MOV_CC_INTL!A1232)</f>
        <v/>
      </c>
      <c r="B1232" s="22" t="str">
        <f>IF(MOV_CC_INTL!B1232="","",MOV_CC_INTL!B1232)</f>
        <v/>
      </c>
      <c r="C1232" s="22" t="str">
        <f>IF(MOV_CC_INTL!C1232="","",MOV_CC_INTL!C1232)</f>
        <v/>
      </c>
      <c r="D1232" s="22" t="str">
        <f t="shared" si="1"/>
        <v>Other</v>
      </c>
      <c r="E1232" s="21" t="str">
        <f>IF(C1232="","",C1232*CONFIG!B5)</f>
        <v/>
      </c>
    </row>
    <row r="1233" ht="15.75" customHeight="1">
      <c r="A1233" s="22" t="str">
        <f>IF(MOV_CC_INTL!A1233="","",MOV_CC_INTL!A1233)</f>
        <v/>
      </c>
      <c r="B1233" s="22" t="str">
        <f>IF(MOV_CC_INTL!B1233="","",MOV_CC_INTL!B1233)</f>
        <v/>
      </c>
      <c r="C1233" s="22" t="str">
        <f>IF(MOV_CC_INTL!C1233="","",MOV_CC_INTL!C1233)</f>
        <v/>
      </c>
      <c r="D1233" s="22" t="str">
        <f t="shared" si="1"/>
        <v>Other</v>
      </c>
      <c r="E1233" s="21" t="str">
        <f>IF(C1233="","",C1233*CONFIG!B5)</f>
        <v/>
      </c>
    </row>
    <row r="1234" ht="15.75" customHeight="1">
      <c r="A1234" s="22" t="str">
        <f>IF(MOV_CC_INTL!A1234="","",MOV_CC_INTL!A1234)</f>
        <v/>
      </c>
      <c r="B1234" s="22" t="str">
        <f>IF(MOV_CC_INTL!B1234="","",MOV_CC_INTL!B1234)</f>
        <v/>
      </c>
      <c r="C1234" s="22" t="str">
        <f>IF(MOV_CC_INTL!C1234="","",MOV_CC_INTL!C1234)</f>
        <v/>
      </c>
      <c r="D1234" s="22" t="str">
        <f t="shared" si="1"/>
        <v>Other</v>
      </c>
      <c r="E1234" s="21" t="str">
        <f>IF(C1234="","",C1234*CONFIG!B5)</f>
        <v/>
      </c>
    </row>
    <row r="1235" ht="15.75" customHeight="1">
      <c r="A1235" s="22" t="str">
        <f>IF(MOV_CC_INTL!A1235="","",MOV_CC_INTL!A1235)</f>
        <v/>
      </c>
      <c r="B1235" s="22" t="str">
        <f>IF(MOV_CC_INTL!B1235="","",MOV_CC_INTL!B1235)</f>
        <v/>
      </c>
      <c r="C1235" s="22" t="str">
        <f>IF(MOV_CC_INTL!C1235="","",MOV_CC_INTL!C1235)</f>
        <v/>
      </c>
      <c r="D1235" s="22" t="str">
        <f t="shared" si="1"/>
        <v>Other</v>
      </c>
      <c r="E1235" s="21" t="str">
        <f>IF(C1235="","",C1235*CONFIG!B5)</f>
        <v/>
      </c>
    </row>
    <row r="1236" ht="15.75" customHeight="1">
      <c r="A1236" s="22" t="str">
        <f>IF(MOV_CC_INTL!A1236="","",MOV_CC_INTL!A1236)</f>
        <v/>
      </c>
      <c r="B1236" s="22" t="str">
        <f>IF(MOV_CC_INTL!B1236="","",MOV_CC_INTL!B1236)</f>
        <v/>
      </c>
      <c r="C1236" s="22" t="str">
        <f>IF(MOV_CC_INTL!C1236="","",MOV_CC_INTL!C1236)</f>
        <v/>
      </c>
      <c r="D1236" s="22" t="str">
        <f t="shared" si="1"/>
        <v>Other</v>
      </c>
      <c r="E1236" s="21" t="str">
        <f>IF(C1236="","",C1236*CONFIG!B5)</f>
        <v/>
      </c>
    </row>
    <row r="1237" ht="15.75" customHeight="1">
      <c r="A1237" s="22" t="str">
        <f>IF(MOV_CC_INTL!A1237="","",MOV_CC_INTL!A1237)</f>
        <v/>
      </c>
      <c r="B1237" s="22" t="str">
        <f>IF(MOV_CC_INTL!B1237="","",MOV_CC_INTL!B1237)</f>
        <v/>
      </c>
      <c r="C1237" s="22" t="str">
        <f>IF(MOV_CC_INTL!C1237="","",MOV_CC_INTL!C1237)</f>
        <v/>
      </c>
      <c r="D1237" s="22" t="str">
        <f t="shared" si="1"/>
        <v>Other</v>
      </c>
      <c r="E1237" s="21" t="str">
        <f>IF(C1237="","",C1237*CONFIG!B5)</f>
        <v/>
      </c>
    </row>
    <row r="1238" ht="15.75" customHeight="1">
      <c r="A1238" s="22" t="str">
        <f>IF(MOV_CC_INTL!A1238="","",MOV_CC_INTL!A1238)</f>
        <v/>
      </c>
      <c r="B1238" s="22" t="str">
        <f>IF(MOV_CC_INTL!B1238="","",MOV_CC_INTL!B1238)</f>
        <v/>
      </c>
      <c r="C1238" s="22" t="str">
        <f>IF(MOV_CC_INTL!C1238="","",MOV_CC_INTL!C1238)</f>
        <v/>
      </c>
      <c r="D1238" s="22" t="str">
        <f t="shared" si="1"/>
        <v>Other</v>
      </c>
      <c r="E1238" s="21" t="str">
        <f>IF(C1238="","",C1238*CONFIG!B5)</f>
        <v/>
      </c>
    </row>
    <row r="1239" ht="15.75" customHeight="1">
      <c r="A1239" s="22" t="str">
        <f>IF(MOV_CC_INTL!A1239="","",MOV_CC_INTL!A1239)</f>
        <v/>
      </c>
      <c r="B1239" s="22" t="str">
        <f>IF(MOV_CC_INTL!B1239="","",MOV_CC_INTL!B1239)</f>
        <v/>
      </c>
      <c r="C1239" s="22" t="str">
        <f>IF(MOV_CC_INTL!C1239="","",MOV_CC_INTL!C1239)</f>
        <v/>
      </c>
      <c r="D1239" s="22" t="str">
        <f t="shared" si="1"/>
        <v>Other</v>
      </c>
      <c r="E1239" s="21" t="str">
        <f>IF(C1239="","",C1239*CONFIG!B5)</f>
        <v/>
      </c>
    </row>
    <row r="1240" ht="15.75" customHeight="1">
      <c r="A1240" s="22" t="str">
        <f>IF(MOV_CC_INTL!A1240="","",MOV_CC_INTL!A1240)</f>
        <v/>
      </c>
      <c r="B1240" s="22" t="str">
        <f>IF(MOV_CC_INTL!B1240="","",MOV_CC_INTL!B1240)</f>
        <v/>
      </c>
      <c r="C1240" s="22" t="str">
        <f>IF(MOV_CC_INTL!C1240="","",MOV_CC_INTL!C1240)</f>
        <v/>
      </c>
      <c r="D1240" s="22" t="str">
        <f t="shared" si="1"/>
        <v>Other</v>
      </c>
      <c r="E1240" s="21" t="str">
        <f>IF(C1240="","",C1240*CONFIG!B5)</f>
        <v/>
      </c>
    </row>
    <row r="1241" ht="15.75" customHeight="1">
      <c r="A1241" s="22" t="str">
        <f>IF(MOV_CC_INTL!A1241="","",MOV_CC_INTL!A1241)</f>
        <v/>
      </c>
      <c r="B1241" s="22" t="str">
        <f>IF(MOV_CC_INTL!B1241="","",MOV_CC_INTL!B1241)</f>
        <v/>
      </c>
      <c r="C1241" s="22" t="str">
        <f>IF(MOV_CC_INTL!C1241="","",MOV_CC_INTL!C1241)</f>
        <v/>
      </c>
      <c r="D1241" s="22" t="str">
        <f t="shared" si="1"/>
        <v>Other</v>
      </c>
      <c r="E1241" s="21" t="str">
        <f>IF(C1241="","",C1241*CONFIG!B5)</f>
        <v/>
      </c>
    </row>
    <row r="1242" ht="15.75" customHeight="1">
      <c r="A1242" s="22" t="str">
        <f>IF(MOV_CC_INTL!A1242="","",MOV_CC_INTL!A1242)</f>
        <v/>
      </c>
      <c r="B1242" s="22" t="str">
        <f>IF(MOV_CC_INTL!B1242="","",MOV_CC_INTL!B1242)</f>
        <v/>
      </c>
      <c r="C1242" s="22" t="str">
        <f>IF(MOV_CC_INTL!C1242="","",MOV_CC_INTL!C1242)</f>
        <v/>
      </c>
      <c r="D1242" s="22" t="str">
        <f t="shared" si="1"/>
        <v>Other</v>
      </c>
      <c r="E1242" s="21" t="str">
        <f>IF(C1242="","",C1242*CONFIG!B5)</f>
        <v/>
      </c>
    </row>
    <row r="1243" ht="15.75" customHeight="1">
      <c r="A1243" s="22" t="str">
        <f>IF(MOV_CC_INTL!A1243="","",MOV_CC_INTL!A1243)</f>
        <v/>
      </c>
      <c r="B1243" s="22" t="str">
        <f>IF(MOV_CC_INTL!B1243="","",MOV_CC_INTL!B1243)</f>
        <v/>
      </c>
      <c r="C1243" s="22" t="str">
        <f>IF(MOV_CC_INTL!C1243="","",MOV_CC_INTL!C1243)</f>
        <v/>
      </c>
      <c r="D1243" s="22" t="str">
        <f t="shared" si="1"/>
        <v>Other</v>
      </c>
      <c r="E1243" s="21" t="str">
        <f>IF(C1243="","",C1243*CONFIG!B5)</f>
        <v/>
      </c>
    </row>
    <row r="1244" ht="15.75" customHeight="1">
      <c r="A1244" s="22" t="str">
        <f>IF(MOV_CC_INTL!A1244="","",MOV_CC_INTL!A1244)</f>
        <v/>
      </c>
      <c r="B1244" s="22" t="str">
        <f>IF(MOV_CC_INTL!B1244="","",MOV_CC_INTL!B1244)</f>
        <v/>
      </c>
      <c r="C1244" s="22" t="str">
        <f>IF(MOV_CC_INTL!C1244="","",MOV_CC_INTL!C1244)</f>
        <v/>
      </c>
      <c r="D1244" s="22" t="str">
        <f t="shared" si="1"/>
        <v>Other</v>
      </c>
      <c r="E1244" s="21" t="str">
        <f>IF(C1244="","",C1244*CONFIG!B5)</f>
        <v/>
      </c>
    </row>
    <row r="1245" ht="15.75" customHeight="1">
      <c r="A1245" s="22" t="str">
        <f>IF(MOV_CC_INTL!A1245="","",MOV_CC_INTL!A1245)</f>
        <v/>
      </c>
      <c r="B1245" s="22" t="str">
        <f>IF(MOV_CC_INTL!B1245="","",MOV_CC_INTL!B1245)</f>
        <v/>
      </c>
      <c r="C1245" s="22" t="str">
        <f>IF(MOV_CC_INTL!C1245="","",MOV_CC_INTL!C1245)</f>
        <v/>
      </c>
      <c r="D1245" s="22" t="str">
        <f t="shared" si="1"/>
        <v>Other</v>
      </c>
      <c r="E1245" s="21" t="str">
        <f>IF(C1245="","",C1245*CONFIG!B5)</f>
        <v/>
      </c>
    </row>
    <row r="1246" ht="15.75" customHeight="1">
      <c r="A1246" s="22" t="str">
        <f>IF(MOV_CC_INTL!A1246="","",MOV_CC_INTL!A1246)</f>
        <v/>
      </c>
      <c r="B1246" s="22" t="str">
        <f>IF(MOV_CC_INTL!B1246="","",MOV_CC_INTL!B1246)</f>
        <v/>
      </c>
      <c r="C1246" s="22" t="str">
        <f>IF(MOV_CC_INTL!C1246="","",MOV_CC_INTL!C1246)</f>
        <v/>
      </c>
      <c r="D1246" s="22" t="str">
        <f t="shared" si="1"/>
        <v>Other</v>
      </c>
      <c r="E1246" s="21" t="str">
        <f>IF(C1246="","",C1246*CONFIG!B5)</f>
        <v/>
      </c>
    </row>
    <row r="1247" ht="15.75" customHeight="1">
      <c r="A1247" s="22" t="str">
        <f>IF(MOV_CC_INTL!A1247="","",MOV_CC_INTL!A1247)</f>
        <v/>
      </c>
      <c r="B1247" s="22" t="str">
        <f>IF(MOV_CC_INTL!B1247="","",MOV_CC_INTL!B1247)</f>
        <v/>
      </c>
      <c r="C1247" s="22" t="str">
        <f>IF(MOV_CC_INTL!C1247="","",MOV_CC_INTL!C1247)</f>
        <v/>
      </c>
      <c r="D1247" s="22" t="str">
        <f t="shared" si="1"/>
        <v>Other</v>
      </c>
      <c r="E1247" s="21" t="str">
        <f>IF(C1247="","",C1247*CONFIG!B5)</f>
        <v/>
      </c>
    </row>
    <row r="1248" ht="15.75" customHeight="1">
      <c r="A1248" s="22" t="str">
        <f>IF(MOV_CC_INTL!A1248="","",MOV_CC_INTL!A1248)</f>
        <v/>
      </c>
      <c r="B1248" s="22" t="str">
        <f>IF(MOV_CC_INTL!B1248="","",MOV_CC_INTL!B1248)</f>
        <v/>
      </c>
      <c r="C1248" s="22" t="str">
        <f>IF(MOV_CC_INTL!C1248="","",MOV_CC_INTL!C1248)</f>
        <v/>
      </c>
      <c r="D1248" s="22" t="str">
        <f t="shared" si="1"/>
        <v>Other</v>
      </c>
      <c r="E1248" s="21" t="str">
        <f>IF(C1248="","",C1248*CONFIG!B5)</f>
        <v/>
      </c>
    </row>
    <row r="1249" ht="15.75" customHeight="1">
      <c r="A1249" s="22" t="str">
        <f>IF(MOV_CC_INTL!A1249="","",MOV_CC_INTL!A1249)</f>
        <v/>
      </c>
      <c r="B1249" s="22" t="str">
        <f>IF(MOV_CC_INTL!B1249="","",MOV_CC_INTL!B1249)</f>
        <v/>
      </c>
      <c r="C1249" s="22" t="str">
        <f>IF(MOV_CC_INTL!C1249="","",MOV_CC_INTL!C1249)</f>
        <v/>
      </c>
      <c r="D1249" s="22" t="str">
        <f t="shared" si="1"/>
        <v>Other</v>
      </c>
      <c r="E1249" s="21" t="str">
        <f>IF(C1249="","",C1249*CONFIG!B5)</f>
        <v/>
      </c>
    </row>
    <row r="1250" ht="15.75" customHeight="1">
      <c r="A1250" s="22" t="str">
        <f>IF(MOV_CC_INTL!A1250="","",MOV_CC_INTL!A1250)</f>
        <v/>
      </c>
      <c r="B1250" s="22" t="str">
        <f>IF(MOV_CC_INTL!B1250="","",MOV_CC_INTL!B1250)</f>
        <v/>
      </c>
      <c r="C1250" s="22" t="str">
        <f>IF(MOV_CC_INTL!C1250="","",MOV_CC_INTL!C1250)</f>
        <v/>
      </c>
      <c r="D1250" s="22" t="str">
        <f t="shared" si="1"/>
        <v>Other</v>
      </c>
      <c r="E1250" s="21" t="str">
        <f>IF(C1250="","",C1250*CONFIG!B5)</f>
        <v/>
      </c>
    </row>
    <row r="1251" ht="15.75" customHeight="1">
      <c r="A1251" s="22" t="str">
        <f>IF(MOV_CC_INTL!A1251="","",MOV_CC_INTL!A1251)</f>
        <v/>
      </c>
      <c r="B1251" s="22" t="str">
        <f>IF(MOV_CC_INTL!B1251="","",MOV_CC_INTL!B1251)</f>
        <v/>
      </c>
      <c r="C1251" s="22" t="str">
        <f>IF(MOV_CC_INTL!C1251="","",MOV_CC_INTL!C1251)</f>
        <v/>
      </c>
      <c r="D1251" s="22" t="str">
        <f t="shared" si="1"/>
        <v>Other</v>
      </c>
      <c r="E1251" s="21" t="str">
        <f>IF(C1251="","",C1251*CONFIG!B5)</f>
        <v/>
      </c>
    </row>
    <row r="1252" ht="15.75" customHeight="1">
      <c r="A1252" s="22" t="str">
        <f>IF(MOV_CC_INTL!A1252="","",MOV_CC_INTL!A1252)</f>
        <v/>
      </c>
      <c r="B1252" s="22" t="str">
        <f>IF(MOV_CC_INTL!B1252="","",MOV_CC_INTL!B1252)</f>
        <v/>
      </c>
      <c r="C1252" s="22" t="str">
        <f>IF(MOV_CC_INTL!C1252="","",MOV_CC_INTL!C1252)</f>
        <v/>
      </c>
      <c r="D1252" s="22" t="str">
        <f t="shared" si="1"/>
        <v>Other</v>
      </c>
      <c r="E1252" s="21" t="str">
        <f>IF(C1252="","",C1252*CONFIG!B5)</f>
        <v/>
      </c>
    </row>
    <row r="1253" ht="15.75" customHeight="1">
      <c r="A1253" s="22" t="str">
        <f>IF(MOV_CC_INTL!A1253="","",MOV_CC_INTL!A1253)</f>
        <v/>
      </c>
      <c r="B1253" s="22" t="str">
        <f>IF(MOV_CC_INTL!B1253="","",MOV_CC_INTL!B1253)</f>
        <v/>
      </c>
      <c r="C1253" s="22" t="str">
        <f>IF(MOV_CC_INTL!C1253="","",MOV_CC_INTL!C1253)</f>
        <v/>
      </c>
      <c r="D1253" s="22" t="str">
        <f t="shared" si="1"/>
        <v>Other</v>
      </c>
      <c r="E1253" s="21" t="str">
        <f>IF(C1253="","",C1253*CONFIG!B5)</f>
        <v/>
      </c>
    </row>
    <row r="1254" ht="15.75" customHeight="1">
      <c r="A1254" s="22" t="str">
        <f>IF(MOV_CC_INTL!A1254="","",MOV_CC_INTL!A1254)</f>
        <v/>
      </c>
      <c r="B1254" s="22" t="str">
        <f>IF(MOV_CC_INTL!B1254="","",MOV_CC_INTL!B1254)</f>
        <v/>
      </c>
      <c r="C1254" s="22" t="str">
        <f>IF(MOV_CC_INTL!C1254="","",MOV_CC_INTL!C1254)</f>
        <v/>
      </c>
      <c r="D1254" s="22" t="str">
        <f t="shared" si="1"/>
        <v>Other</v>
      </c>
      <c r="E1254" s="21" t="str">
        <f>IF(C1254="","",C1254*CONFIG!B5)</f>
        <v/>
      </c>
    </row>
    <row r="1255" ht="15.75" customHeight="1">
      <c r="A1255" s="22" t="str">
        <f>IF(MOV_CC_INTL!A1255="","",MOV_CC_INTL!A1255)</f>
        <v/>
      </c>
      <c r="B1255" s="22" t="str">
        <f>IF(MOV_CC_INTL!B1255="","",MOV_CC_INTL!B1255)</f>
        <v/>
      </c>
      <c r="C1255" s="22" t="str">
        <f>IF(MOV_CC_INTL!C1255="","",MOV_CC_INTL!C1255)</f>
        <v/>
      </c>
      <c r="D1255" s="22" t="str">
        <f t="shared" si="1"/>
        <v>Other</v>
      </c>
      <c r="E1255" s="21" t="str">
        <f>IF(C1255="","",C1255*CONFIG!B5)</f>
        <v/>
      </c>
    </row>
    <row r="1256" ht="15.75" customHeight="1">
      <c r="A1256" s="22" t="str">
        <f>IF(MOV_CC_INTL!A1256="","",MOV_CC_INTL!A1256)</f>
        <v/>
      </c>
      <c r="B1256" s="22" t="str">
        <f>IF(MOV_CC_INTL!B1256="","",MOV_CC_INTL!B1256)</f>
        <v/>
      </c>
      <c r="C1256" s="22" t="str">
        <f>IF(MOV_CC_INTL!C1256="","",MOV_CC_INTL!C1256)</f>
        <v/>
      </c>
      <c r="D1256" s="22" t="str">
        <f t="shared" si="1"/>
        <v>Other</v>
      </c>
      <c r="E1256" s="21" t="str">
        <f>IF(C1256="","",C1256*CONFIG!B5)</f>
        <v/>
      </c>
    </row>
    <row r="1257" ht="15.75" customHeight="1">
      <c r="A1257" s="22" t="str">
        <f>IF(MOV_CC_INTL!A1257="","",MOV_CC_INTL!A1257)</f>
        <v/>
      </c>
      <c r="B1257" s="22" t="str">
        <f>IF(MOV_CC_INTL!B1257="","",MOV_CC_INTL!B1257)</f>
        <v/>
      </c>
      <c r="C1257" s="22" t="str">
        <f>IF(MOV_CC_INTL!C1257="","",MOV_CC_INTL!C1257)</f>
        <v/>
      </c>
      <c r="D1257" s="22" t="str">
        <f t="shared" si="1"/>
        <v>Other</v>
      </c>
      <c r="E1257" s="21" t="str">
        <f>IF(C1257="","",C1257*CONFIG!B5)</f>
        <v/>
      </c>
    </row>
    <row r="1258" ht="15.75" customHeight="1">
      <c r="A1258" s="22" t="str">
        <f>IF(MOV_CC_INTL!A1258="","",MOV_CC_INTL!A1258)</f>
        <v/>
      </c>
      <c r="B1258" s="22" t="str">
        <f>IF(MOV_CC_INTL!B1258="","",MOV_CC_INTL!B1258)</f>
        <v/>
      </c>
      <c r="C1258" s="22" t="str">
        <f>IF(MOV_CC_INTL!C1258="","",MOV_CC_INTL!C1258)</f>
        <v/>
      </c>
      <c r="D1258" s="22" t="str">
        <f t="shared" si="1"/>
        <v>Other</v>
      </c>
      <c r="E1258" s="21" t="str">
        <f>IF(C1258="","",C1258*CONFIG!B5)</f>
        <v/>
      </c>
    </row>
    <row r="1259" ht="15.75" customHeight="1">
      <c r="A1259" s="22" t="str">
        <f>IF(MOV_CC_INTL!A1259="","",MOV_CC_INTL!A1259)</f>
        <v/>
      </c>
      <c r="B1259" s="22" t="str">
        <f>IF(MOV_CC_INTL!B1259="","",MOV_CC_INTL!B1259)</f>
        <v/>
      </c>
      <c r="C1259" s="22" t="str">
        <f>IF(MOV_CC_INTL!C1259="","",MOV_CC_INTL!C1259)</f>
        <v/>
      </c>
      <c r="D1259" s="22" t="str">
        <f t="shared" si="1"/>
        <v>Other</v>
      </c>
      <c r="E1259" s="21" t="str">
        <f>IF(C1259="","",C1259*CONFIG!B5)</f>
        <v/>
      </c>
    </row>
    <row r="1260" ht="15.75" customHeight="1">
      <c r="A1260" s="22" t="str">
        <f>IF(MOV_CC_INTL!A1260="","",MOV_CC_INTL!A1260)</f>
        <v/>
      </c>
      <c r="B1260" s="22" t="str">
        <f>IF(MOV_CC_INTL!B1260="","",MOV_CC_INTL!B1260)</f>
        <v/>
      </c>
      <c r="C1260" s="22" t="str">
        <f>IF(MOV_CC_INTL!C1260="","",MOV_CC_INTL!C1260)</f>
        <v/>
      </c>
      <c r="D1260" s="22" t="str">
        <f t="shared" si="1"/>
        <v>Other</v>
      </c>
      <c r="E1260" s="21" t="str">
        <f>IF(C1260="","",C1260*CONFIG!B5)</f>
        <v/>
      </c>
    </row>
    <row r="1261" ht="15.75" customHeight="1">
      <c r="A1261" s="22" t="str">
        <f>IF(MOV_CC_INTL!A1261="","",MOV_CC_INTL!A1261)</f>
        <v/>
      </c>
      <c r="B1261" s="22" t="str">
        <f>IF(MOV_CC_INTL!B1261="","",MOV_CC_INTL!B1261)</f>
        <v/>
      </c>
      <c r="C1261" s="22" t="str">
        <f>IF(MOV_CC_INTL!C1261="","",MOV_CC_INTL!C1261)</f>
        <v/>
      </c>
      <c r="D1261" s="22" t="str">
        <f t="shared" si="1"/>
        <v>Other</v>
      </c>
      <c r="E1261" s="21" t="str">
        <f>IF(C1261="","",C1261*CONFIG!B5)</f>
        <v/>
      </c>
    </row>
    <row r="1262" ht="15.75" customHeight="1">
      <c r="A1262" s="22" t="str">
        <f>IF(MOV_CC_INTL!A1262="","",MOV_CC_INTL!A1262)</f>
        <v/>
      </c>
      <c r="B1262" s="22" t="str">
        <f>IF(MOV_CC_INTL!B1262="","",MOV_CC_INTL!B1262)</f>
        <v/>
      </c>
      <c r="C1262" s="22" t="str">
        <f>IF(MOV_CC_INTL!C1262="","",MOV_CC_INTL!C1262)</f>
        <v/>
      </c>
      <c r="D1262" s="22" t="str">
        <f t="shared" si="1"/>
        <v>Other</v>
      </c>
      <c r="E1262" s="21" t="str">
        <f>IF(C1262="","",C1262*CONFIG!B5)</f>
        <v/>
      </c>
    </row>
    <row r="1263" ht="15.75" customHeight="1">
      <c r="A1263" s="22" t="str">
        <f>IF(MOV_CC_INTL!A1263="","",MOV_CC_INTL!A1263)</f>
        <v/>
      </c>
      <c r="B1263" s="22" t="str">
        <f>IF(MOV_CC_INTL!B1263="","",MOV_CC_INTL!B1263)</f>
        <v/>
      </c>
      <c r="C1263" s="22" t="str">
        <f>IF(MOV_CC_INTL!C1263="","",MOV_CC_INTL!C1263)</f>
        <v/>
      </c>
      <c r="D1263" s="22" t="str">
        <f t="shared" si="1"/>
        <v>Other</v>
      </c>
      <c r="E1263" s="21" t="str">
        <f>IF(C1263="","",C1263*CONFIG!B5)</f>
        <v/>
      </c>
    </row>
    <row r="1264" ht="15.75" customHeight="1">
      <c r="A1264" s="22" t="str">
        <f>IF(MOV_CC_INTL!A1264="","",MOV_CC_INTL!A1264)</f>
        <v/>
      </c>
      <c r="B1264" s="22" t="str">
        <f>IF(MOV_CC_INTL!B1264="","",MOV_CC_INTL!B1264)</f>
        <v/>
      </c>
      <c r="C1264" s="22" t="str">
        <f>IF(MOV_CC_INTL!C1264="","",MOV_CC_INTL!C1264)</f>
        <v/>
      </c>
      <c r="D1264" s="22" t="str">
        <f t="shared" si="1"/>
        <v>Other</v>
      </c>
      <c r="E1264" s="21" t="str">
        <f>IF(C1264="","",C1264*CONFIG!B5)</f>
        <v/>
      </c>
    </row>
    <row r="1265" ht="15.75" customHeight="1">
      <c r="A1265" s="22" t="str">
        <f>IF(MOV_CC_INTL!A1265="","",MOV_CC_INTL!A1265)</f>
        <v/>
      </c>
      <c r="B1265" s="22" t="str">
        <f>IF(MOV_CC_INTL!B1265="","",MOV_CC_INTL!B1265)</f>
        <v/>
      </c>
      <c r="C1265" s="22" t="str">
        <f>IF(MOV_CC_INTL!C1265="","",MOV_CC_INTL!C1265)</f>
        <v/>
      </c>
      <c r="D1265" s="22" t="str">
        <f t="shared" si="1"/>
        <v>Other</v>
      </c>
      <c r="E1265" s="21" t="str">
        <f>IF(C1265="","",C1265*CONFIG!B5)</f>
        <v/>
      </c>
    </row>
    <row r="1266" ht="15.75" customHeight="1">
      <c r="A1266" s="22" t="str">
        <f>IF(MOV_CC_INTL!A1266="","",MOV_CC_INTL!A1266)</f>
        <v/>
      </c>
      <c r="B1266" s="22" t="str">
        <f>IF(MOV_CC_INTL!B1266="","",MOV_CC_INTL!B1266)</f>
        <v/>
      </c>
      <c r="C1266" s="22" t="str">
        <f>IF(MOV_CC_INTL!C1266="","",MOV_CC_INTL!C1266)</f>
        <v/>
      </c>
      <c r="D1266" s="22" t="str">
        <f t="shared" si="1"/>
        <v>Other</v>
      </c>
      <c r="E1266" s="21" t="str">
        <f>IF(C1266="","",C1266*CONFIG!B5)</f>
        <v/>
      </c>
    </row>
    <row r="1267" ht="15.75" customHeight="1">
      <c r="A1267" s="22" t="str">
        <f>IF(MOV_CC_INTL!A1267="","",MOV_CC_INTL!A1267)</f>
        <v/>
      </c>
      <c r="B1267" s="22" t="str">
        <f>IF(MOV_CC_INTL!B1267="","",MOV_CC_INTL!B1267)</f>
        <v/>
      </c>
      <c r="C1267" s="22" t="str">
        <f>IF(MOV_CC_INTL!C1267="","",MOV_CC_INTL!C1267)</f>
        <v/>
      </c>
      <c r="D1267" s="22" t="str">
        <f t="shared" si="1"/>
        <v>Other</v>
      </c>
      <c r="E1267" s="21" t="str">
        <f>IF(C1267="","",C1267*CONFIG!B5)</f>
        <v/>
      </c>
    </row>
    <row r="1268" ht="15.75" customHeight="1">
      <c r="A1268" s="22" t="str">
        <f>IF(MOV_CC_INTL!A1268="","",MOV_CC_INTL!A1268)</f>
        <v/>
      </c>
      <c r="B1268" s="22" t="str">
        <f>IF(MOV_CC_INTL!B1268="","",MOV_CC_INTL!B1268)</f>
        <v/>
      </c>
      <c r="C1268" s="22" t="str">
        <f>IF(MOV_CC_INTL!C1268="","",MOV_CC_INTL!C1268)</f>
        <v/>
      </c>
      <c r="D1268" s="22" t="str">
        <f t="shared" si="1"/>
        <v>Other</v>
      </c>
      <c r="E1268" s="21" t="str">
        <f>IF(C1268="","",C1268*CONFIG!B5)</f>
        <v/>
      </c>
    </row>
    <row r="1269" ht="15.75" customHeight="1">
      <c r="A1269" s="22" t="str">
        <f>IF(MOV_CC_INTL!A1269="","",MOV_CC_INTL!A1269)</f>
        <v/>
      </c>
      <c r="B1269" s="22" t="str">
        <f>IF(MOV_CC_INTL!B1269="","",MOV_CC_INTL!B1269)</f>
        <v/>
      </c>
      <c r="C1269" s="22" t="str">
        <f>IF(MOV_CC_INTL!C1269="","",MOV_CC_INTL!C1269)</f>
        <v/>
      </c>
      <c r="D1269" s="22" t="str">
        <f t="shared" si="1"/>
        <v>Other</v>
      </c>
      <c r="E1269" s="21" t="str">
        <f>IF(C1269="","",C1269*CONFIG!B5)</f>
        <v/>
      </c>
    </row>
    <row r="1270" ht="15.75" customHeight="1">
      <c r="A1270" s="22" t="str">
        <f>IF(MOV_CC_INTL!A1270="","",MOV_CC_INTL!A1270)</f>
        <v/>
      </c>
      <c r="B1270" s="22" t="str">
        <f>IF(MOV_CC_INTL!B1270="","",MOV_CC_INTL!B1270)</f>
        <v/>
      </c>
      <c r="C1270" s="22" t="str">
        <f>IF(MOV_CC_INTL!C1270="","",MOV_CC_INTL!C1270)</f>
        <v/>
      </c>
      <c r="D1270" s="22" t="str">
        <f t="shared" si="1"/>
        <v>Other</v>
      </c>
      <c r="E1270" s="21" t="str">
        <f>IF(C1270="","",C1270*CONFIG!B5)</f>
        <v/>
      </c>
    </row>
    <row r="1271" ht="15.75" customHeight="1">
      <c r="A1271" s="22" t="str">
        <f>IF(MOV_CC_INTL!A1271="","",MOV_CC_INTL!A1271)</f>
        <v/>
      </c>
      <c r="B1271" s="22" t="str">
        <f>IF(MOV_CC_INTL!B1271="","",MOV_CC_INTL!B1271)</f>
        <v/>
      </c>
      <c r="C1271" s="22" t="str">
        <f>IF(MOV_CC_INTL!C1271="","",MOV_CC_INTL!C1271)</f>
        <v/>
      </c>
      <c r="D1271" s="22" t="str">
        <f t="shared" si="1"/>
        <v>Other</v>
      </c>
      <c r="E1271" s="21" t="str">
        <f>IF(C1271="","",C1271*CONFIG!B5)</f>
        <v/>
      </c>
    </row>
    <row r="1272" ht="15.75" customHeight="1">
      <c r="A1272" s="22" t="str">
        <f>IF(MOV_CC_INTL!A1272="","",MOV_CC_INTL!A1272)</f>
        <v/>
      </c>
      <c r="B1272" s="22" t="str">
        <f>IF(MOV_CC_INTL!B1272="","",MOV_CC_INTL!B1272)</f>
        <v/>
      </c>
      <c r="C1272" s="22" t="str">
        <f>IF(MOV_CC_INTL!C1272="","",MOV_CC_INTL!C1272)</f>
        <v/>
      </c>
      <c r="D1272" s="22" t="str">
        <f t="shared" si="1"/>
        <v>Other</v>
      </c>
      <c r="E1272" s="21" t="str">
        <f>IF(C1272="","",C1272*CONFIG!B5)</f>
        <v/>
      </c>
    </row>
    <row r="1273" ht="15.75" customHeight="1">
      <c r="A1273" s="22" t="str">
        <f>IF(MOV_CC_INTL!A1273="","",MOV_CC_INTL!A1273)</f>
        <v/>
      </c>
      <c r="B1273" s="22" t="str">
        <f>IF(MOV_CC_INTL!B1273="","",MOV_CC_INTL!B1273)</f>
        <v/>
      </c>
      <c r="C1273" s="22" t="str">
        <f>IF(MOV_CC_INTL!C1273="","",MOV_CC_INTL!C1273)</f>
        <v/>
      </c>
      <c r="D1273" s="22" t="str">
        <f t="shared" si="1"/>
        <v>Other</v>
      </c>
      <c r="E1273" s="21" t="str">
        <f>IF(C1273="","",C1273*CONFIG!B5)</f>
        <v/>
      </c>
    </row>
    <row r="1274" ht="15.75" customHeight="1">
      <c r="A1274" s="22" t="str">
        <f>IF(MOV_CC_INTL!A1274="","",MOV_CC_INTL!A1274)</f>
        <v/>
      </c>
      <c r="B1274" s="22" t="str">
        <f>IF(MOV_CC_INTL!B1274="","",MOV_CC_INTL!B1274)</f>
        <v/>
      </c>
      <c r="C1274" s="22" t="str">
        <f>IF(MOV_CC_INTL!C1274="","",MOV_CC_INTL!C1274)</f>
        <v/>
      </c>
      <c r="D1274" s="22" t="str">
        <f t="shared" si="1"/>
        <v>Other</v>
      </c>
      <c r="E1274" s="21" t="str">
        <f>IF(C1274="","",C1274*CONFIG!B5)</f>
        <v/>
      </c>
    </row>
    <row r="1275" ht="15.75" customHeight="1">
      <c r="A1275" s="22" t="str">
        <f>IF(MOV_CC_INTL!A1275="","",MOV_CC_INTL!A1275)</f>
        <v/>
      </c>
      <c r="B1275" s="22" t="str">
        <f>IF(MOV_CC_INTL!B1275="","",MOV_CC_INTL!B1275)</f>
        <v/>
      </c>
      <c r="C1275" s="22" t="str">
        <f>IF(MOV_CC_INTL!C1275="","",MOV_CC_INTL!C1275)</f>
        <v/>
      </c>
      <c r="D1275" s="22" t="str">
        <f t="shared" si="1"/>
        <v>Other</v>
      </c>
      <c r="E1275" s="21" t="str">
        <f>IF(C1275="","",C1275*CONFIG!B5)</f>
        <v/>
      </c>
    </row>
    <row r="1276" ht="15.75" customHeight="1">
      <c r="A1276" s="22" t="str">
        <f>IF(MOV_CC_INTL!A1276="","",MOV_CC_INTL!A1276)</f>
        <v/>
      </c>
      <c r="B1276" s="22" t="str">
        <f>IF(MOV_CC_INTL!B1276="","",MOV_CC_INTL!B1276)</f>
        <v/>
      </c>
      <c r="C1276" s="22" t="str">
        <f>IF(MOV_CC_INTL!C1276="","",MOV_CC_INTL!C1276)</f>
        <v/>
      </c>
      <c r="D1276" s="22" t="str">
        <f t="shared" si="1"/>
        <v>Other</v>
      </c>
      <c r="E1276" s="21" t="str">
        <f>IF(C1276="","",C1276*CONFIG!B5)</f>
        <v/>
      </c>
    </row>
    <row r="1277" ht="15.75" customHeight="1">
      <c r="A1277" s="22" t="str">
        <f>IF(MOV_CC_INTL!A1277="","",MOV_CC_INTL!A1277)</f>
        <v/>
      </c>
      <c r="B1277" s="22" t="str">
        <f>IF(MOV_CC_INTL!B1277="","",MOV_CC_INTL!B1277)</f>
        <v/>
      </c>
      <c r="C1277" s="22" t="str">
        <f>IF(MOV_CC_INTL!C1277="","",MOV_CC_INTL!C1277)</f>
        <v/>
      </c>
      <c r="D1277" s="22" t="str">
        <f t="shared" si="1"/>
        <v>Other</v>
      </c>
      <c r="E1277" s="21" t="str">
        <f>IF(C1277="","",C1277*CONFIG!B5)</f>
        <v/>
      </c>
    </row>
    <row r="1278" ht="15.75" customHeight="1">
      <c r="A1278" s="22" t="str">
        <f>IF(MOV_CC_INTL!A1278="","",MOV_CC_INTL!A1278)</f>
        <v/>
      </c>
      <c r="B1278" s="22" t="str">
        <f>IF(MOV_CC_INTL!B1278="","",MOV_CC_INTL!B1278)</f>
        <v/>
      </c>
      <c r="C1278" s="22" t="str">
        <f>IF(MOV_CC_INTL!C1278="","",MOV_CC_INTL!C1278)</f>
        <v/>
      </c>
      <c r="D1278" s="22" t="str">
        <f t="shared" si="1"/>
        <v>Other</v>
      </c>
      <c r="E1278" s="21" t="str">
        <f>IF(C1278="","",C1278*CONFIG!B5)</f>
        <v/>
      </c>
    </row>
    <row r="1279" ht="15.75" customHeight="1">
      <c r="A1279" s="22" t="str">
        <f>IF(MOV_CC_INTL!A1279="","",MOV_CC_INTL!A1279)</f>
        <v/>
      </c>
      <c r="B1279" s="22" t="str">
        <f>IF(MOV_CC_INTL!B1279="","",MOV_CC_INTL!B1279)</f>
        <v/>
      </c>
      <c r="C1279" s="22" t="str">
        <f>IF(MOV_CC_INTL!C1279="","",MOV_CC_INTL!C1279)</f>
        <v/>
      </c>
      <c r="D1279" s="22" t="str">
        <f t="shared" si="1"/>
        <v>Other</v>
      </c>
      <c r="E1279" s="21" t="str">
        <f>IF(C1279="","",C1279*CONFIG!B5)</f>
        <v/>
      </c>
    </row>
    <row r="1280" ht="15.75" customHeight="1">
      <c r="A1280" s="22" t="str">
        <f>IF(MOV_CC_INTL!A1280="","",MOV_CC_INTL!A1280)</f>
        <v/>
      </c>
      <c r="B1280" s="22" t="str">
        <f>IF(MOV_CC_INTL!B1280="","",MOV_CC_INTL!B1280)</f>
        <v/>
      </c>
      <c r="C1280" s="22" t="str">
        <f>IF(MOV_CC_INTL!C1280="","",MOV_CC_INTL!C1280)</f>
        <v/>
      </c>
      <c r="D1280" s="22" t="str">
        <f t="shared" si="1"/>
        <v>Other</v>
      </c>
      <c r="E1280" s="21" t="str">
        <f>IF(C1280="","",C1280*CONFIG!B5)</f>
        <v/>
      </c>
    </row>
    <row r="1281" ht="15.75" customHeight="1">
      <c r="A1281" s="22" t="str">
        <f>IF(MOV_CC_INTL!A1281="","",MOV_CC_INTL!A1281)</f>
        <v/>
      </c>
      <c r="B1281" s="22" t="str">
        <f>IF(MOV_CC_INTL!B1281="","",MOV_CC_INTL!B1281)</f>
        <v/>
      </c>
      <c r="C1281" s="22" t="str">
        <f>IF(MOV_CC_INTL!C1281="","",MOV_CC_INTL!C1281)</f>
        <v/>
      </c>
      <c r="D1281" s="22" t="str">
        <f t="shared" si="1"/>
        <v>Other</v>
      </c>
      <c r="E1281" s="21" t="str">
        <f>IF(C1281="","",C1281*CONFIG!B5)</f>
        <v/>
      </c>
    </row>
    <row r="1282" ht="15.75" customHeight="1">
      <c r="A1282" s="22" t="str">
        <f>IF(MOV_CC_INTL!A1282="","",MOV_CC_INTL!A1282)</f>
        <v/>
      </c>
      <c r="B1282" s="22" t="str">
        <f>IF(MOV_CC_INTL!B1282="","",MOV_CC_INTL!B1282)</f>
        <v/>
      </c>
      <c r="C1282" s="22" t="str">
        <f>IF(MOV_CC_INTL!C1282="","",MOV_CC_INTL!C1282)</f>
        <v/>
      </c>
      <c r="D1282" s="22" t="str">
        <f t="shared" si="1"/>
        <v>Other</v>
      </c>
      <c r="E1282" s="21" t="str">
        <f>IF(C1282="","",C1282*CONFIG!B5)</f>
        <v/>
      </c>
    </row>
    <row r="1283" ht="15.75" customHeight="1">
      <c r="A1283" s="22" t="str">
        <f>IF(MOV_CC_INTL!A1283="","",MOV_CC_INTL!A1283)</f>
        <v/>
      </c>
      <c r="B1283" s="22" t="str">
        <f>IF(MOV_CC_INTL!B1283="","",MOV_CC_INTL!B1283)</f>
        <v/>
      </c>
      <c r="C1283" s="22" t="str">
        <f>IF(MOV_CC_INTL!C1283="","",MOV_CC_INTL!C1283)</f>
        <v/>
      </c>
      <c r="D1283" s="22" t="str">
        <f t="shared" si="1"/>
        <v>Other</v>
      </c>
      <c r="E1283" s="21" t="str">
        <f>IF(C1283="","",C1283*CONFIG!B5)</f>
        <v/>
      </c>
    </row>
    <row r="1284" ht="15.75" customHeight="1">
      <c r="A1284" s="22" t="str">
        <f>IF(MOV_CC_INTL!A1284="","",MOV_CC_INTL!A1284)</f>
        <v/>
      </c>
      <c r="B1284" s="22" t="str">
        <f>IF(MOV_CC_INTL!B1284="","",MOV_CC_INTL!B1284)</f>
        <v/>
      </c>
      <c r="C1284" s="22" t="str">
        <f>IF(MOV_CC_INTL!C1284="","",MOV_CC_INTL!C1284)</f>
        <v/>
      </c>
      <c r="D1284" s="22" t="str">
        <f t="shared" si="1"/>
        <v>Other</v>
      </c>
      <c r="E1284" s="21" t="str">
        <f>IF(C1284="","",C1284*CONFIG!B5)</f>
        <v/>
      </c>
    </row>
    <row r="1285" ht="15.75" customHeight="1">
      <c r="A1285" s="22" t="str">
        <f>IF(MOV_CC_INTL!A1285="","",MOV_CC_INTL!A1285)</f>
        <v/>
      </c>
      <c r="B1285" s="22" t="str">
        <f>IF(MOV_CC_INTL!B1285="","",MOV_CC_INTL!B1285)</f>
        <v/>
      </c>
      <c r="C1285" s="22" t="str">
        <f>IF(MOV_CC_INTL!C1285="","",MOV_CC_INTL!C1285)</f>
        <v/>
      </c>
      <c r="D1285" s="22" t="str">
        <f t="shared" si="1"/>
        <v>Other</v>
      </c>
      <c r="E1285" s="21" t="str">
        <f>IF(C1285="","",C1285*CONFIG!B5)</f>
        <v/>
      </c>
    </row>
    <row r="1286" ht="15.75" customHeight="1">
      <c r="A1286" s="22" t="str">
        <f>IF(MOV_CC_INTL!A1286="","",MOV_CC_INTL!A1286)</f>
        <v/>
      </c>
      <c r="B1286" s="22" t="str">
        <f>IF(MOV_CC_INTL!B1286="","",MOV_CC_INTL!B1286)</f>
        <v/>
      </c>
      <c r="C1286" s="22" t="str">
        <f>IF(MOV_CC_INTL!C1286="","",MOV_CC_INTL!C1286)</f>
        <v/>
      </c>
      <c r="D1286" s="22" t="str">
        <f t="shared" si="1"/>
        <v>Other</v>
      </c>
      <c r="E1286" s="21" t="str">
        <f>IF(C1286="","",C1286*CONFIG!B5)</f>
        <v/>
      </c>
    </row>
    <row r="1287" ht="15.75" customHeight="1">
      <c r="A1287" s="22" t="str">
        <f>IF(MOV_CC_INTL!A1287="","",MOV_CC_INTL!A1287)</f>
        <v/>
      </c>
      <c r="B1287" s="22" t="str">
        <f>IF(MOV_CC_INTL!B1287="","",MOV_CC_INTL!B1287)</f>
        <v/>
      </c>
      <c r="C1287" s="22" t="str">
        <f>IF(MOV_CC_INTL!C1287="","",MOV_CC_INTL!C1287)</f>
        <v/>
      </c>
      <c r="D1287" s="22" t="str">
        <f t="shared" si="1"/>
        <v>Other</v>
      </c>
      <c r="E1287" s="21" t="str">
        <f>IF(C1287="","",C1287*CONFIG!B5)</f>
        <v/>
      </c>
    </row>
    <row r="1288" ht="15.75" customHeight="1">
      <c r="A1288" s="22" t="str">
        <f>IF(MOV_CC_INTL!A1288="","",MOV_CC_INTL!A1288)</f>
        <v/>
      </c>
      <c r="B1288" s="22" t="str">
        <f>IF(MOV_CC_INTL!B1288="","",MOV_CC_INTL!B1288)</f>
        <v/>
      </c>
      <c r="C1288" s="22" t="str">
        <f>IF(MOV_CC_INTL!C1288="","",MOV_CC_INTL!C1288)</f>
        <v/>
      </c>
      <c r="D1288" s="22" t="str">
        <f t="shared" si="1"/>
        <v>Other</v>
      </c>
      <c r="E1288" s="21" t="str">
        <f>IF(C1288="","",C1288*CONFIG!B5)</f>
        <v/>
      </c>
    </row>
    <row r="1289" ht="15.75" customHeight="1">
      <c r="A1289" s="22" t="str">
        <f>IF(MOV_CC_INTL!A1289="","",MOV_CC_INTL!A1289)</f>
        <v/>
      </c>
      <c r="B1289" s="22" t="str">
        <f>IF(MOV_CC_INTL!B1289="","",MOV_CC_INTL!B1289)</f>
        <v/>
      </c>
      <c r="C1289" s="22" t="str">
        <f>IF(MOV_CC_INTL!C1289="","",MOV_CC_INTL!C1289)</f>
        <v/>
      </c>
      <c r="D1289" s="22" t="str">
        <f t="shared" si="1"/>
        <v>Other</v>
      </c>
      <c r="E1289" s="21" t="str">
        <f>IF(C1289="","",C1289*CONFIG!B5)</f>
        <v/>
      </c>
    </row>
    <row r="1290" ht="15.75" customHeight="1">
      <c r="A1290" s="22" t="str">
        <f>IF(MOV_CC_INTL!A1290="","",MOV_CC_INTL!A1290)</f>
        <v/>
      </c>
      <c r="B1290" s="22" t="str">
        <f>IF(MOV_CC_INTL!B1290="","",MOV_CC_INTL!B1290)</f>
        <v/>
      </c>
      <c r="C1290" s="22" t="str">
        <f>IF(MOV_CC_INTL!C1290="","",MOV_CC_INTL!C1290)</f>
        <v/>
      </c>
      <c r="D1290" s="22" t="str">
        <f t="shared" si="1"/>
        <v>Other</v>
      </c>
      <c r="E1290" s="21" t="str">
        <f>IF(C1290="","",C1290*CONFIG!B5)</f>
        <v/>
      </c>
    </row>
    <row r="1291" ht="15.75" customHeight="1">
      <c r="A1291" s="22" t="str">
        <f>IF(MOV_CC_INTL!A1291="","",MOV_CC_INTL!A1291)</f>
        <v/>
      </c>
      <c r="B1291" s="22" t="str">
        <f>IF(MOV_CC_INTL!B1291="","",MOV_CC_INTL!B1291)</f>
        <v/>
      </c>
      <c r="C1291" s="22" t="str">
        <f>IF(MOV_CC_INTL!C1291="","",MOV_CC_INTL!C1291)</f>
        <v/>
      </c>
      <c r="D1291" s="22" t="str">
        <f t="shared" si="1"/>
        <v>Other</v>
      </c>
      <c r="E1291" s="21" t="str">
        <f>IF(C1291="","",C1291*CONFIG!B5)</f>
        <v/>
      </c>
    </row>
    <row r="1292" ht="15.75" customHeight="1">
      <c r="A1292" s="22" t="str">
        <f>IF(MOV_CC_INTL!A1292="","",MOV_CC_INTL!A1292)</f>
        <v/>
      </c>
      <c r="B1292" s="22" t="str">
        <f>IF(MOV_CC_INTL!B1292="","",MOV_CC_INTL!B1292)</f>
        <v/>
      </c>
      <c r="C1292" s="22" t="str">
        <f>IF(MOV_CC_INTL!C1292="","",MOV_CC_INTL!C1292)</f>
        <v/>
      </c>
      <c r="D1292" s="22" t="str">
        <f t="shared" si="1"/>
        <v>Other</v>
      </c>
      <c r="E1292" s="21" t="str">
        <f>IF(C1292="","",C1292*CONFIG!B5)</f>
        <v/>
      </c>
    </row>
    <row r="1293" ht="15.75" customHeight="1">
      <c r="A1293" s="22" t="str">
        <f>IF(MOV_CC_INTL!A1293="","",MOV_CC_INTL!A1293)</f>
        <v/>
      </c>
      <c r="B1293" s="22" t="str">
        <f>IF(MOV_CC_INTL!B1293="","",MOV_CC_INTL!B1293)</f>
        <v/>
      </c>
      <c r="C1293" s="22" t="str">
        <f>IF(MOV_CC_INTL!C1293="","",MOV_CC_INTL!C1293)</f>
        <v/>
      </c>
      <c r="D1293" s="22" t="str">
        <f t="shared" si="1"/>
        <v>Other</v>
      </c>
      <c r="E1293" s="21" t="str">
        <f>IF(C1293="","",C1293*CONFIG!B5)</f>
        <v/>
      </c>
    </row>
    <row r="1294" ht="15.75" customHeight="1">
      <c r="A1294" s="22" t="str">
        <f>IF(MOV_CC_INTL!A1294="","",MOV_CC_INTL!A1294)</f>
        <v/>
      </c>
      <c r="B1294" s="22" t="str">
        <f>IF(MOV_CC_INTL!B1294="","",MOV_CC_INTL!B1294)</f>
        <v/>
      </c>
      <c r="C1294" s="22" t="str">
        <f>IF(MOV_CC_INTL!C1294="","",MOV_CC_INTL!C1294)</f>
        <v/>
      </c>
      <c r="D1294" s="22" t="str">
        <f t="shared" si="1"/>
        <v>Other</v>
      </c>
      <c r="E1294" s="21" t="str">
        <f>IF(C1294="","",C1294*CONFIG!B5)</f>
        <v/>
      </c>
    </row>
    <row r="1295" ht="15.75" customHeight="1">
      <c r="A1295" s="22" t="str">
        <f>IF(MOV_CC_INTL!A1295="","",MOV_CC_INTL!A1295)</f>
        <v/>
      </c>
      <c r="B1295" s="22" t="str">
        <f>IF(MOV_CC_INTL!B1295="","",MOV_CC_INTL!B1295)</f>
        <v/>
      </c>
      <c r="C1295" s="22" t="str">
        <f>IF(MOV_CC_INTL!C1295="","",MOV_CC_INTL!C1295)</f>
        <v/>
      </c>
      <c r="D1295" s="22" t="str">
        <f t="shared" si="1"/>
        <v>Other</v>
      </c>
      <c r="E1295" s="21" t="str">
        <f>IF(C1295="","",C1295*CONFIG!B5)</f>
        <v/>
      </c>
    </row>
    <row r="1296" ht="15.75" customHeight="1">
      <c r="A1296" s="22" t="str">
        <f>IF(MOV_CC_INTL!A1296="","",MOV_CC_INTL!A1296)</f>
        <v/>
      </c>
      <c r="B1296" s="22" t="str">
        <f>IF(MOV_CC_INTL!B1296="","",MOV_CC_INTL!B1296)</f>
        <v/>
      </c>
      <c r="C1296" s="22" t="str">
        <f>IF(MOV_CC_INTL!C1296="","",MOV_CC_INTL!C1296)</f>
        <v/>
      </c>
      <c r="D1296" s="22" t="str">
        <f t="shared" si="1"/>
        <v>Other</v>
      </c>
      <c r="E1296" s="21" t="str">
        <f>IF(C1296="","",C1296*CONFIG!B5)</f>
        <v/>
      </c>
    </row>
    <row r="1297" ht="15.75" customHeight="1">
      <c r="A1297" s="22" t="str">
        <f>IF(MOV_CC_INTL!A1297="","",MOV_CC_INTL!A1297)</f>
        <v/>
      </c>
      <c r="B1297" s="22" t="str">
        <f>IF(MOV_CC_INTL!B1297="","",MOV_CC_INTL!B1297)</f>
        <v/>
      </c>
      <c r="C1297" s="22" t="str">
        <f>IF(MOV_CC_INTL!C1297="","",MOV_CC_INTL!C1297)</f>
        <v/>
      </c>
      <c r="D1297" s="22" t="str">
        <f t="shared" si="1"/>
        <v>Other</v>
      </c>
      <c r="E1297" s="21" t="str">
        <f>IF(C1297="","",C1297*CONFIG!B5)</f>
        <v/>
      </c>
    </row>
    <row r="1298" ht="15.75" customHeight="1">
      <c r="A1298" s="22" t="str">
        <f>IF(MOV_CC_INTL!A1298="","",MOV_CC_INTL!A1298)</f>
        <v/>
      </c>
      <c r="B1298" s="22" t="str">
        <f>IF(MOV_CC_INTL!B1298="","",MOV_CC_INTL!B1298)</f>
        <v/>
      </c>
      <c r="C1298" s="22" t="str">
        <f>IF(MOV_CC_INTL!C1298="","",MOV_CC_INTL!C1298)</f>
        <v/>
      </c>
      <c r="D1298" s="22" t="str">
        <f t="shared" si="1"/>
        <v>Other</v>
      </c>
      <c r="E1298" s="21" t="str">
        <f>IF(C1298="","",C1298*CONFIG!B5)</f>
        <v/>
      </c>
    </row>
    <row r="1299" ht="15.75" customHeight="1">
      <c r="A1299" s="22" t="str">
        <f>IF(MOV_CC_INTL!A1299="","",MOV_CC_INTL!A1299)</f>
        <v/>
      </c>
      <c r="B1299" s="22" t="str">
        <f>IF(MOV_CC_INTL!B1299="","",MOV_CC_INTL!B1299)</f>
        <v/>
      </c>
      <c r="C1299" s="22" t="str">
        <f>IF(MOV_CC_INTL!C1299="","",MOV_CC_INTL!C1299)</f>
        <v/>
      </c>
      <c r="D1299" s="22" t="str">
        <f t="shared" si="1"/>
        <v>Other</v>
      </c>
      <c r="E1299" s="21" t="str">
        <f>IF(C1299="","",C1299*CONFIG!B5)</f>
        <v/>
      </c>
    </row>
    <row r="1300" ht="15.75" customHeight="1">
      <c r="A1300" s="22" t="str">
        <f>IF(MOV_CC_INTL!A1300="","",MOV_CC_INTL!A1300)</f>
        <v/>
      </c>
      <c r="B1300" s="22" t="str">
        <f>IF(MOV_CC_INTL!B1300="","",MOV_CC_INTL!B1300)</f>
        <v/>
      </c>
      <c r="C1300" s="22" t="str">
        <f>IF(MOV_CC_INTL!C1300="","",MOV_CC_INTL!C1300)</f>
        <v/>
      </c>
      <c r="D1300" s="22" t="str">
        <f t="shared" si="1"/>
        <v>Other</v>
      </c>
      <c r="E1300" s="21" t="str">
        <f>IF(C1300="","",C1300*CONFIG!B5)</f>
        <v/>
      </c>
    </row>
    <row r="1301" ht="15.75" customHeight="1">
      <c r="A1301" s="22" t="str">
        <f>IF(MOV_CC_INTL!A1301="","",MOV_CC_INTL!A1301)</f>
        <v/>
      </c>
      <c r="B1301" s="22" t="str">
        <f>IF(MOV_CC_INTL!B1301="","",MOV_CC_INTL!B1301)</f>
        <v/>
      </c>
      <c r="C1301" s="22" t="str">
        <f>IF(MOV_CC_INTL!C1301="","",MOV_CC_INTL!C1301)</f>
        <v/>
      </c>
      <c r="D1301" s="22" t="str">
        <f t="shared" si="1"/>
        <v>Other</v>
      </c>
      <c r="E1301" s="21" t="str">
        <f>IF(C1301="","",C1301*CONFIG!B5)</f>
        <v/>
      </c>
    </row>
    <row r="1302" ht="15.75" customHeight="1">
      <c r="A1302" s="22" t="str">
        <f>IF(MOV_CC_INTL!A1302="","",MOV_CC_INTL!A1302)</f>
        <v/>
      </c>
      <c r="B1302" s="22" t="str">
        <f>IF(MOV_CC_INTL!B1302="","",MOV_CC_INTL!B1302)</f>
        <v/>
      </c>
      <c r="C1302" s="22" t="str">
        <f>IF(MOV_CC_INTL!C1302="","",MOV_CC_INTL!C1302)</f>
        <v/>
      </c>
      <c r="D1302" s="22" t="str">
        <f t="shared" si="1"/>
        <v>Other</v>
      </c>
      <c r="E1302" s="21" t="str">
        <f>IF(C1302="","",C1302*CONFIG!B5)</f>
        <v/>
      </c>
    </row>
    <row r="1303" ht="15.75" customHeight="1">
      <c r="A1303" s="22" t="str">
        <f>IF(MOV_CC_INTL!A1303="","",MOV_CC_INTL!A1303)</f>
        <v/>
      </c>
      <c r="B1303" s="22" t="str">
        <f>IF(MOV_CC_INTL!B1303="","",MOV_CC_INTL!B1303)</f>
        <v/>
      </c>
      <c r="C1303" s="22" t="str">
        <f>IF(MOV_CC_INTL!C1303="","",MOV_CC_INTL!C1303)</f>
        <v/>
      </c>
      <c r="D1303" s="22" t="str">
        <f t="shared" si="1"/>
        <v>Other</v>
      </c>
      <c r="E1303" s="21" t="str">
        <f>IF(C1303="","",C1303*CONFIG!B5)</f>
        <v/>
      </c>
    </row>
    <row r="1304" ht="15.75" customHeight="1">
      <c r="A1304" s="22" t="str">
        <f>IF(MOV_CC_INTL!A1304="","",MOV_CC_INTL!A1304)</f>
        <v/>
      </c>
      <c r="B1304" s="22" t="str">
        <f>IF(MOV_CC_INTL!B1304="","",MOV_CC_INTL!B1304)</f>
        <v/>
      </c>
      <c r="C1304" s="22" t="str">
        <f>IF(MOV_CC_INTL!C1304="","",MOV_CC_INTL!C1304)</f>
        <v/>
      </c>
      <c r="D1304" s="22" t="str">
        <f t="shared" si="1"/>
        <v>Other</v>
      </c>
      <c r="E1304" s="21" t="str">
        <f>IF(C1304="","",C1304*CONFIG!B5)</f>
        <v/>
      </c>
    </row>
    <row r="1305" ht="15.75" customHeight="1">
      <c r="A1305" s="22" t="str">
        <f>IF(MOV_CC_INTL!A1305="","",MOV_CC_INTL!A1305)</f>
        <v/>
      </c>
      <c r="B1305" s="22" t="str">
        <f>IF(MOV_CC_INTL!B1305="","",MOV_CC_INTL!B1305)</f>
        <v/>
      </c>
      <c r="C1305" s="22" t="str">
        <f>IF(MOV_CC_INTL!C1305="","",MOV_CC_INTL!C1305)</f>
        <v/>
      </c>
      <c r="D1305" s="22" t="str">
        <f t="shared" si="1"/>
        <v>Other</v>
      </c>
      <c r="E1305" s="21" t="str">
        <f>IF(C1305="","",C1305*CONFIG!B5)</f>
        <v/>
      </c>
    </row>
    <row r="1306" ht="15.75" customHeight="1">
      <c r="A1306" s="22" t="str">
        <f>IF(MOV_CC_INTL!A1306="","",MOV_CC_INTL!A1306)</f>
        <v/>
      </c>
      <c r="B1306" s="22" t="str">
        <f>IF(MOV_CC_INTL!B1306="","",MOV_CC_INTL!B1306)</f>
        <v/>
      </c>
      <c r="C1306" s="22" t="str">
        <f>IF(MOV_CC_INTL!C1306="","",MOV_CC_INTL!C1306)</f>
        <v/>
      </c>
      <c r="D1306" s="22" t="str">
        <f t="shared" si="1"/>
        <v>Other</v>
      </c>
      <c r="E1306" s="21" t="str">
        <f>IF(C1306="","",C1306*CONFIG!B5)</f>
        <v/>
      </c>
    </row>
    <row r="1307" ht="15.75" customHeight="1">
      <c r="A1307" s="22" t="str">
        <f>IF(MOV_CC_INTL!A1307="","",MOV_CC_INTL!A1307)</f>
        <v/>
      </c>
      <c r="B1307" s="22" t="str">
        <f>IF(MOV_CC_INTL!B1307="","",MOV_CC_INTL!B1307)</f>
        <v/>
      </c>
      <c r="C1307" s="22" t="str">
        <f>IF(MOV_CC_INTL!C1307="","",MOV_CC_INTL!C1307)</f>
        <v/>
      </c>
      <c r="D1307" s="22" t="str">
        <f t="shared" si="1"/>
        <v>Other</v>
      </c>
      <c r="E1307" s="21" t="str">
        <f>IF(C1307="","",C1307*CONFIG!B5)</f>
        <v/>
      </c>
    </row>
    <row r="1308" ht="15.75" customHeight="1">
      <c r="A1308" s="22" t="str">
        <f>IF(MOV_CC_INTL!A1308="","",MOV_CC_INTL!A1308)</f>
        <v/>
      </c>
      <c r="B1308" s="22" t="str">
        <f>IF(MOV_CC_INTL!B1308="","",MOV_CC_INTL!B1308)</f>
        <v/>
      </c>
      <c r="C1308" s="22" t="str">
        <f>IF(MOV_CC_INTL!C1308="","",MOV_CC_INTL!C1308)</f>
        <v/>
      </c>
      <c r="D1308" s="22" t="str">
        <f t="shared" si="1"/>
        <v>Other</v>
      </c>
      <c r="E1308" s="21" t="str">
        <f>IF(C1308="","",C1308*CONFIG!B5)</f>
        <v/>
      </c>
    </row>
    <row r="1309" ht="15.75" customHeight="1">
      <c r="A1309" s="22" t="str">
        <f>IF(MOV_CC_INTL!A1309="","",MOV_CC_INTL!A1309)</f>
        <v/>
      </c>
      <c r="B1309" s="22" t="str">
        <f>IF(MOV_CC_INTL!B1309="","",MOV_CC_INTL!B1309)</f>
        <v/>
      </c>
      <c r="C1309" s="22" t="str">
        <f>IF(MOV_CC_INTL!C1309="","",MOV_CC_INTL!C1309)</f>
        <v/>
      </c>
      <c r="D1309" s="22" t="str">
        <f t="shared" si="1"/>
        <v>Other</v>
      </c>
      <c r="E1309" s="21" t="str">
        <f>IF(C1309="","",C1309*CONFIG!B5)</f>
        <v/>
      </c>
    </row>
    <row r="1310" ht="15.75" customHeight="1">
      <c r="A1310" s="22" t="str">
        <f>IF(MOV_CC_INTL!A1310="","",MOV_CC_INTL!A1310)</f>
        <v/>
      </c>
      <c r="B1310" s="22" t="str">
        <f>IF(MOV_CC_INTL!B1310="","",MOV_CC_INTL!B1310)</f>
        <v/>
      </c>
      <c r="C1310" s="22" t="str">
        <f>IF(MOV_CC_INTL!C1310="","",MOV_CC_INTL!C1310)</f>
        <v/>
      </c>
      <c r="D1310" s="22" t="str">
        <f t="shared" si="1"/>
        <v>Other</v>
      </c>
      <c r="E1310" s="21" t="str">
        <f>IF(C1310="","",C1310*CONFIG!B5)</f>
        <v/>
      </c>
    </row>
    <row r="1311" ht="15.75" customHeight="1">
      <c r="A1311" s="22" t="str">
        <f>IF(MOV_CC_INTL!A1311="","",MOV_CC_INTL!A1311)</f>
        <v/>
      </c>
      <c r="B1311" s="22" t="str">
        <f>IF(MOV_CC_INTL!B1311="","",MOV_CC_INTL!B1311)</f>
        <v/>
      </c>
      <c r="C1311" s="22" t="str">
        <f>IF(MOV_CC_INTL!C1311="","",MOV_CC_INTL!C1311)</f>
        <v/>
      </c>
      <c r="D1311" s="22" t="str">
        <f t="shared" si="1"/>
        <v>Other</v>
      </c>
      <c r="E1311" s="21" t="str">
        <f>IF(C1311="","",C1311*CONFIG!B5)</f>
        <v/>
      </c>
    </row>
    <row r="1312" ht="15.75" customHeight="1">
      <c r="A1312" s="22" t="str">
        <f>IF(MOV_CC_INTL!A1312="","",MOV_CC_INTL!A1312)</f>
        <v/>
      </c>
      <c r="B1312" s="22" t="str">
        <f>IF(MOV_CC_INTL!B1312="","",MOV_CC_INTL!B1312)</f>
        <v/>
      </c>
      <c r="C1312" s="22" t="str">
        <f>IF(MOV_CC_INTL!C1312="","",MOV_CC_INTL!C1312)</f>
        <v/>
      </c>
      <c r="D1312" s="22" t="str">
        <f t="shared" si="1"/>
        <v>Other</v>
      </c>
      <c r="E1312" s="21" t="str">
        <f>IF(C1312="","",C1312*CONFIG!B5)</f>
        <v/>
      </c>
    </row>
    <row r="1313" ht="15.75" customHeight="1">
      <c r="A1313" s="22" t="str">
        <f>IF(MOV_CC_INTL!A1313="","",MOV_CC_INTL!A1313)</f>
        <v/>
      </c>
      <c r="B1313" s="22" t="str">
        <f>IF(MOV_CC_INTL!B1313="","",MOV_CC_INTL!B1313)</f>
        <v/>
      </c>
      <c r="C1313" s="22" t="str">
        <f>IF(MOV_CC_INTL!C1313="","",MOV_CC_INTL!C1313)</f>
        <v/>
      </c>
      <c r="D1313" s="22" t="str">
        <f t="shared" si="1"/>
        <v>Other</v>
      </c>
      <c r="E1313" s="21" t="str">
        <f>IF(C1313="","",C1313*CONFIG!B5)</f>
        <v/>
      </c>
    </row>
    <row r="1314" ht="15.75" customHeight="1">
      <c r="A1314" s="22" t="str">
        <f>IF(MOV_CC_INTL!A1314="","",MOV_CC_INTL!A1314)</f>
        <v/>
      </c>
      <c r="B1314" s="22" t="str">
        <f>IF(MOV_CC_INTL!B1314="","",MOV_CC_INTL!B1314)</f>
        <v/>
      </c>
      <c r="C1314" s="22" t="str">
        <f>IF(MOV_CC_INTL!C1314="","",MOV_CC_INTL!C1314)</f>
        <v/>
      </c>
      <c r="D1314" s="22" t="str">
        <f t="shared" si="1"/>
        <v>Other</v>
      </c>
      <c r="E1314" s="21" t="str">
        <f>IF(C1314="","",C1314*CONFIG!B5)</f>
        <v/>
      </c>
    </row>
    <row r="1315" ht="15.75" customHeight="1">
      <c r="A1315" s="22" t="str">
        <f>IF(MOV_CC_INTL!A1315="","",MOV_CC_INTL!A1315)</f>
        <v/>
      </c>
      <c r="B1315" s="22" t="str">
        <f>IF(MOV_CC_INTL!B1315="","",MOV_CC_INTL!B1315)</f>
        <v/>
      </c>
      <c r="C1315" s="22" t="str">
        <f>IF(MOV_CC_INTL!C1315="","",MOV_CC_INTL!C1315)</f>
        <v/>
      </c>
      <c r="D1315" s="22" t="str">
        <f t="shared" si="1"/>
        <v>Other</v>
      </c>
      <c r="E1315" s="21" t="str">
        <f>IF(C1315="","",C1315*CONFIG!B5)</f>
        <v/>
      </c>
    </row>
    <row r="1316" ht="15.75" customHeight="1">
      <c r="A1316" s="22" t="str">
        <f>IF(MOV_CC_INTL!A1316="","",MOV_CC_INTL!A1316)</f>
        <v/>
      </c>
      <c r="B1316" s="22" t="str">
        <f>IF(MOV_CC_INTL!B1316="","",MOV_CC_INTL!B1316)</f>
        <v/>
      </c>
      <c r="C1316" s="22" t="str">
        <f>IF(MOV_CC_INTL!C1316="","",MOV_CC_INTL!C1316)</f>
        <v/>
      </c>
      <c r="D1316" s="22" t="str">
        <f t="shared" si="1"/>
        <v>Other</v>
      </c>
      <c r="E1316" s="21" t="str">
        <f>IF(C1316="","",C1316*CONFIG!B5)</f>
        <v/>
      </c>
    </row>
    <row r="1317" ht="15.75" customHeight="1">
      <c r="A1317" s="22" t="str">
        <f>IF(MOV_CC_INTL!A1317="","",MOV_CC_INTL!A1317)</f>
        <v/>
      </c>
      <c r="B1317" s="22" t="str">
        <f>IF(MOV_CC_INTL!B1317="","",MOV_CC_INTL!B1317)</f>
        <v/>
      </c>
      <c r="C1317" s="22" t="str">
        <f>IF(MOV_CC_INTL!C1317="","",MOV_CC_INTL!C1317)</f>
        <v/>
      </c>
      <c r="D1317" s="22" t="str">
        <f t="shared" si="1"/>
        <v>Other</v>
      </c>
      <c r="E1317" s="21" t="str">
        <f>IF(C1317="","",C1317*CONFIG!B5)</f>
        <v/>
      </c>
    </row>
    <row r="1318" ht="15.75" customHeight="1">
      <c r="A1318" s="22" t="str">
        <f>IF(MOV_CC_INTL!A1318="","",MOV_CC_INTL!A1318)</f>
        <v/>
      </c>
      <c r="B1318" s="22" t="str">
        <f>IF(MOV_CC_INTL!B1318="","",MOV_CC_INTL!B1318)</f>
        <v/>
      </c>
      <c r="C1318" s="22" t="str">
        <f>IF(MOV_CC_INTL!C1318="","",MOV_CC_INTL!C1318)</f>
        <v/>
      </c>
      <c r="D1318" s="22" t="str">
        <f t="shared" si="1"/>
        <v>Other</v>
      </c>
      <c r="E1318" s="21" t="str">
        <f>IF(C1318="","",C1318*CONFIG!B5)</f>
        <v/>
      </c>
    </row>
    <row r="1319" ht="15.75" customHeight="1">
      <c r="A1319" s="22" t="str">
        <f>IF(MOV_CC_INTL!A1319="","",MOV_CC_INTL!A1319)</f>
        <v/>
      </c>
      <c r="B1319" s="22" t="str">
        <f>IF(MOV_CC_INTL!B1319="","",MOV_CC_INTL!B1319)</f>
        <v/>
      </c>
      <c r="C1319" s="22" t="str">
        <f>IF(MOV_CC_INTL!C1319="","",MOV_CC_INTL!C1319)</f>
        <v/>
      </c>
      <c r="D1319" s="22" t="str">
        <f t="shared" si="1"/>
        <v>Other</v>
      </c>
      <c r="E1319" s="21" t="str">
        <f>IF(C1319="","",C1319*CONFIG!B5)</f>
        <v/>
      </c>
    </row>
    <row r="1320" ht="15.75" customHeight="1">
      <c r="A1320" s="22" t="str">
        <f>IF(MOV_CC_INTL!A1320="","",MOV_CC_INTL!A1320)</f>
        <v/>
      </c>
      <c r="B1320" s="22" t="str">
        <f>IF(MOV_CC_INTL!B1320="","",MOV_CC_INTL!B1320)</f>
        <v/>
      </c>
      <c r="C1320" s="22" t="str">
        <f>IF(MOV_CC_INTL!C1320="","",MOV_CC_INTL!C1320)</f>
        <v/>
      </c>
      <c r="D1320" s="22" t="str">
        <f t="shared" si="1"/>
        <v>Other</v>
      </c>
      <c r="E1320" s="21" t="str">
        <f>IF(C1320="","",C1320*CONFIG!B5)</f>
        <v/>
      </c>
    </row>
    <row r="1321" ht="15.75" customHeight="1">
      <c r="A1321" s="22" t="str">
        <f>IF(MOV_CC_INTL!A1321="","",MOV_CC_INTL!A1321)</f>
        <v/>
      </c>
      <c r="B1321" s="22" t="str">
        <f>IF(MOV_CC_INTL!B1321="","",MOV_CC_INTL!B1321)</f>
        <v/>
      </c>
      <c r="C1321" s="22" t="str">
        <f>IF(MOV_CC_INTL!C1321="","",MOV_CC_INTL!C1321)</f>
        <v/>
      </c>
      <c r="D1321" s="22" t="str">
        <f t="shared" si="1"/>
        <v>Other</v>
      </c>
      <c r="E1321" s="21" t="str">
        <f>IF(C1321="","",C1321*CONFIG!B5)</f>
        <v/>
      </c>
    </row>
    <row r="1322" ht="15.75" customHeight="1">
      <c r="A1322" s="22" t="str">
        <f>IF(MOV_CC_INTL!A1322="","",MOV_CC_INTL!A1322)</f>
        <v/>
      </c>
      <c r="B1322" s="22" t="str">
        <f>IF(MOV_CC_INTL!B1322="","",MOV_CC_INTL!B1322)</f>
        <v/>
      </c>
      <c r="C1322" s="22" t="str">
        <f>IF(MOV_CC_INTL!C1322="","",MOV_CC_INTL!C1322)</f>
        <v/>
      </c>
      <c r="D1322" s="22" t="str">
        <f t="shared" si="1"/>
        <v>Other</v>
      </c>
      <c r="E1322" s="21" t="str">
        <f>IF(C1322="","",C1322*CONFIG!B5)</f>
        <v/>
      </c>
    </row>
    <row r="1323" ht="15.75" customHeight="1">
      <c r="A1323" s="22" t="str">
        <f>IF(MOV_CC_INTL!A1323="","",MOV_CC_INTL!A1323)</f>
        <v/>
      </c>
      <c r="B1323" s="22" t="str">
        <f>IF(MOV_CC_INTL!B1323="","",MOV_CC_INTL!B1323)</f>
        <v/>
      </c>
      <c r="C1323" s="22" t="str">
        <f>IF(MOV_CC_INTL!C1323="","",MOV_CC_INTL!C1323)</f>
        <v/>
      </c>
      <c r="D1323" s="22" t="str">
        <f t="shared" si="1"/>
        <v>Other</v>
      </c>
      <c r="E1323" s="21" t="str">
        <f>IF(C1323="","",C1323*CONFIG!B5)</f>
        <v/>
      </c>
    </row>
    <row r="1324" ht="15.75" customHeight="1">
      <c r="A1324" s="22" t="str">
        <f>IF(MOV_CC_INTL!A1324="","",MOV_CC_INTL!A1324)</f>
        <v/>
      </c>
      <c r="B1324" s="22" t="str">
        <f>IF(MOV_CC_INTL!B1324="","",MOV_CC_INTL!B1324)</f>
        <v/>
      </c>
      <c r="C1324" s="22" t="str">
        <f>IF(MOV_CC_INTL!C1324="","",MOV_CC_INTL!C1324)</f>
        <v/>
      </c>
      <c r="D1324" s="22" t="str">
        <f t="shared" si="1"/>
        <v>Other</v>
      </c>
      <c r="E1324" s="21" t="str">
        <f>IF(C1324="","",C1324*CONFIG!B5)</f>
        <v/>
      </c>
    </row>
    <row r="1325" ht="15.75" customHeight="1">
      <c r="A1325" s="22" t="str">
        <f>IF(MOV_CC_INTL!A1325="","",MOV_CC_INTL!A1325)</f>
        <v/>
      </c>
      <c r="B1325" s="22" t="str">
        <f>IF(MOV_CC_INTL!B1325="","",MOV_CC_INTL!B1325)</f>
        <v/>
      </c>
      <c r="C1325" s="22" t="str">
        <f>IF(MOV_CC_INTL!C1325="","",MOV_CC_INTL!C1325)</f>
        <v/>
      </c>
      <c r="D1325" s="22" t="str">
        <f t="shared" si="1"/>
        <v>Other</v>
      </c>
      <c r="E1325" s="21" t="str">
        <f>IF(C1325="","",C1325*CONFIG!B5)</f>
        <v/>
      </c>
    </row>
    <row r="1326" ht="15.75" customHeight="1">
      <c r="A1326" s="22" t="str">
        <f>IF(MOV_CC_INTL!A1326="","",MOV_CC_INTL!A1326)</f>
        <v/>
      </c>
      <c r="B1326" s="22" t="str">
        <f>IF(MOV_CC_INTL!B1326="","",MOV_CC_INTL!B1326)</f>
        <v/>
      </c>
      <c r="C1326" s="22" t="str">
        <f>IF(MOV_CC_INTL!C1326="","",MOV_CC_INTL!C1326)</f>
        <v/>
      </c>
      <c r="D1326" s="22" t="str">
        <f t="shared" si="1"/>
        <v>Other</v>
      </c>
      <c r="E1326" s="21" t="str">
        <f>IF(C1326="","",C1326*CONFIG!B5)</f>
        <v/>
      </c>
    </row>
    <row r="1327" ht="15.75" customHeight="1">
      <c r="A1327" s="22" t="str">
        <f>IF(MOV_CC_INTL!A1327="","",MOV_CC_INTL!A1327)</f>
        <v/>
      </c>
      <c r="B1327" s="22" t="str">
        <f>IF(MOV_CC_INTL!B1327="","",MOV_CC_INTL!B1327)</f>
        <v/>
      </c>
      <c r="C1327" s="22" t="str">
        <f>IF(MOV_CC_INTL!C1327="","",MOV_CC_INTL!C1327)</f>
        <v/>
      </c>
      <c r="D1327" s="22" t="str">
        <f t="shared" si="1"/>
        <v>Other</v>
      </c>
      <c r="E1327" s="21" t="str">
        <f>IF(C1327="","",C1327*CONFIG!B5)</f>
        <v/>
      </c>
    </row>
    <row r="1328" ht="15.75" customHeight="1">
      <c r="A1328" s="22" t="str">
        <f>IF(MOV_CC_INTL!A1328="","",MOV_CC_INTL!A1328)</f>
        <v/>
      </c>
      <c r="B1328" s="22" t="str">
        <f>IF(MOV_CC_INTL!B1328="","",MOV_CC_INTL!B1328)</f>
        <v/>
      </c>
      <c r="C1328" s="22" t="str">
        <f>IF(MOV_CC_INTL!C1328="","",MOV_CC_INTL!C1328)</f>
        <v/>
      </c>
      <c r="D1328" s="22" t="str">
        <f t="shared" si="1"/>
        <v>Other</v>
      </c>
      <c r="E1328" s="21" t="str">
        <f>IF(C1328="","",C1328*CONFIG!B5)</f>
        <v/>
      </c>
    </row>
    <row r="1329" ht="15.75" customHeight="1">
      <c r="A1329" s="22" t="str">
        <f>IF(MOV_CC_INTL!A1329="","",MOV_CC_INTL!A1329)</f>
        <v/>
      </c>
      <c r="B1329" s="22" t="str">
        <f>IF(MOV_CC_INTL!B1329="","",MOV_CC_INTL!B1329)</f>
        <v/>
      </c>
      <c r="C1329" s="22" t="str">
        <f>IF(MOV_CC_INTL!C1329="","",MOV_CC_INTL!C1329)</f>
        <v/>
      </c>
      <c r="D1329" s="22" t="str">
        <f t="shared" si="1"/>
        <v>Other</v>
      </c>
      <c r="E1329" s="21" t="str">
        <f>IF(C1329="","",C1329*CONFIG!B5)</f>
        <v/>
      </c>
    </row>
    <row r="1330" ht="15.75" customHeight="1">
      <c r="A1330" s="22" t="str">
        <f>IF(MOV_CC_INTL!A1330="","",MOV_CC_INTL!A1330)</f>
        <v/>
      </c>
      <c r="B1330" s="22" t="str">
        <f>IF(MOV_CC_INTL!B1330="","",MOV_CC_INTL!B1330)</f>
        <v/>
      </c>
      <c r="C1330" s="22" t="str">
        <f>IF(MOV_CC_INTL!C1330="","",MOV_CC_INTL!C1330)</f>
        <v/>
      </c>
      <c r="D1330" s="22" t="str">
        <f t="shared" si="1"/>
        <v>Other</v>
      </c>
      <c r="E1330" s="21" t="str">
        <f>IF(C1330="","",C1330*CONFIG!B5)</f>
        <v/>
      </c>
    </row>
    <row r="1331" ht="15.75" customHeight="1">
      <c r="A1331" s="22" t="str">
        <f>IF(MOV_CC_INTL!A1331="","",MOV_CC_INTL!A1331)</f>
        <v/>
      </c>
      <c r="B1331" s="22" t="str">
        <f>IF(MOV_CC_INTL!B1331="","",MOV_CC_INTL!B1331)</f>
        <v/>
      </c>
      <c r="C1331" s="22" t="str">
        <f>IF(MOV_CC_INTL!C1331="","",MOV_CC_INTL!C1331)</f>
        <v/>
      </c>
      <c r="D1331" s="22" t="str">
        <f t="shared" si="1"/>
        <v>Other</v>
      </c>
      <c r="E1331" s="21" t="str">
        <f>IF(C1331="","",C1331*CONFIG!B5)</f>
        <v/>
      </c>
    </row>
    <row r="1332" ht="15.75" customHeight="1">
      <c r="A1332" s="22" t="str">
        <f>IF(MOV_CC_INTL!A1332="","",MOV_CC_INTL!A1332)</f>
        <v/>
      </c>
      <c r="B1332" s="22" t="str">
        <f>IF(MOV_CC_INTL!B1332="","",MOV_CC_INTL!B1332)</f>
        <v/>
      </c>
      <c r="C1332" s="22" t="str">
        <f>IF(MOV_CC_INTL!C1332="","",MOV_CC_INTL!C1332)</f>
        <v/>
      </c>
      <c r="D1332" s="22" t="str">
        <f t="shared" si="1"/>
        <v>Other</v>
      </c>
      <c r="E1332" s="21" t="str">
        <f>IF(C1332="","",C1332*CONFIG!B5)</f>
        <v/>
      </c>
    </row>
    <row r="1333" ht="15.75" customHeight="1">
      <c r="A1333" s="22" t="str">
        <f>IF(MOV_CC_INTL!A1333="","",MOV_CC_INTL!A1333)</f>
        <v/>
      </c>
      <c r="B1333" s="22" t="str">
        <f>IF(MOV_CC_INTL!B1333="","",MOV_CC_INTL!B1333)</f>
        <v/>
      </c>
      <c r="C1333" s="22" t="str">
        <f>IF(MOV_CC_INTL!C1333="","",MOV_CC_INTL!C1333)</f>
        <v/>
      </c>
      <c r="D1333" s="22" t="str">
        <f t="shared" si="1"/>
        <v>Other</v>
      </c>
      <c r="E1333" s="21" t="str">
        <f>IF(C1333="","",C1333*CONFIG!B5)</f>
        <v/>
      </c>
    </row>
    <row r="1334" ht="15.75" customHeight="1">
      <c r="A1334" s="22" t="str">
        <f>IF(MOV_CC_INTL!A1334="","",MOV_CC_INTL!A1334)</f>
        <v/>
      </c>
      <c r="B1334" s="22" t="str">
        <f>IF(MOV_CC_INTL!B1334="","",MOV_CC_INTL!B1334)</f>
        <v/>
      </c>
      <c r="C1334" s="22" t="str">
        <f>IF(MOV_CC_INTL!C1334="","",MOV_CC_INTL!C1334)</f>
        <v/>
      </c>
      <c r="D1334" s="22" t="str">
        <f t="shared" si="1"/>
        <v>Other</v>
      </c>
      <c r="E1334" s="21" t="str">
        <f>IF(C1334="","",C1334*CONFIG!B5)</f>
        <v/>
      </c>
    </row>
    <row r="1335" ht="15.75" customHeight="1">
      <c r="A1335" s="22" t="str">
        <f>IF(MOV_CC_INTL!A1335="","",MOV_CC_INTL!A1335)</f>
        <v/>
      </c>
      <c r="B1335" s="22" t="str">
        <f>IF(MOV_CC_INTL!B1335="","",MOV_CC_INTL!B1335)</f>
        <v/>
      </c>
      <c r="C1335" s="22" t="str">
        <f>IF(MOV_CC_INTL!C1335="","",MOV_CC_INTL!C1335)</f>
        <v/>
      </c>
      <c r="D1335" s="22" t="str">
        <f t="shared" si="1"/>
        <v>Other</v>
      </c>
      <c r="E1335" s="21" t="str">
        <f>IF(C1335="","",C1335*CONFIG!B5)</f>
        <v/>
      </c>
    </row>
    <row r="1336" ht="15.75" customHeight="1">
      <c r="A1336" s="22" t="str">
        <f>IF(MOV_CC_INTL!A1336="","",MOV_CC_INTL!A1336)</f>
        <v/>
      </c>
      <c r="B1336" s="22" t="str">
        <f>IF(MOV_CC_INTL!B1336="","",MOV_CC_INTL!B1336)</f>
        <v/>
      </c>
      <c r="C1336" s="22" t="str">
        <f>IF(MOV_CC_INTL!C1336="","",MOV_CC_INTL!C1336)</f>
        <v/>
      </c>
      <c r="D1336" s="22" t="str">
        <f t="shared" si="1"/>
        <v>Other</v>
      </c>
      <c r="E1336" s="21" t="str">
        <f>IF(C1336="","",C1336*CONFIG!B5)</f>
        <v/>
      </c>
    </row>
    <row r="1337" ht="15.75" customHeight="1">
      <c r="A1337" s="22" t="str">
        <f>IF(MOV_CC_INTL!A1337="","",MOV_CC_INTL!A1337)</f>
        <v/>
      </c>
      <c r="B1337" s="22" t="str">
        <f>IF(MOV_CC_INTL!B1337="","",MOV_CC_INTL!B1337)</f>
        <v/>
      </c>
      <c r="C1337" s="22" t="str">
        <f>IF(MOV_CC_INTL!C1337="","",MOV_CC_INTL!C1337)</f>
        <v/>
      </c>
      <c r="D1337" s="22" t="str">
        <f t="shared" si="1"/>
        <v>Other</v>
      </c>
      <c r="E1337" s="21" t="str">
        <f>IF(C1337="","",C1337*CONFIG!B5)</f>
        <v/>
      </c>
    </row>
    <row r="1338" ht="15.75" customHeight="1">
      <c r="A1338" s="22" t="str">
        <f>IF(MOV_CC_INTL!A1338="","",MOV_CC_INTL!A1338)</f>
        <v/>
      </c>
      <c r="B1338" s="22" t="str">
        <f>IF(MOV_CC_INTL!B1338="","",MOV_CC_INTL!B1338)</f>
        <v/>
      </c>
      <c r="C1338" s="22" t="str">
        <f>IF(MOV_CC_INTL!C1338="","",MOV_CC_INTL!C1338)</f>
        <v/>
      </c>
      <c r="D1338" s="22" t="str">
        <f t="shared" si="1"/>
        <v>Other</v>
      </c>
      <c r="E1338" s="21" t="str">
        <f>IF(C1338="","",C1338*CONFIG!B5)</f>
        <v/>
      </c>
    </row>
    <row r="1339" ht="15.75" customHeight="1">
      <c r="A1339" s="22" t="str">
        <f>IF(MOV_CC_INTL!A1339="","",MOV_CC_INTL!A1339)</f>
        <v/>
      </c>
      <c r="B1339" s="22" t="str">
        <f>IF(MOV_CC_INTL!B1339="","",MOV_CC_INTL!B1339)</f>
        <v/>
      </c>
      <c r="C1339" s="22" t="str">
        <f>IF(MOV_CC_INTL!C1339="","",MOV_CC_INTL!C1339)</f>
        <v/>
      </c>
      <c r="D1339" s="22" t="str">
        <f t="shared" si="1"/>
        <v>Other</v>
      </c>
      <c r="E1339" s="21" t="str">
        <f>IF(C1339="","",C1339*CONFIG!B5)</f>
        <v/>
      </c>
    </row>
    <row r="1340" ht="15.75" customHeight="1">
      <c r="A1340" s="22" t="str">
        <f>IF(MOV_CC_INTL!A1340="","",MOV_CC_INTL!A1340)</f>
        <v/>
      </c>
      <c r="B1340" s="22" t="str">
        <f>IF(MOV_CC_INTL!B1340="","",MOV_CC_INTL!B1340)</f>
        <v/>
      </c>
      <c r="C1340" s="22" t="str">
        <f>IF(MOV_CC_INTL!C1340="","",MOV_CC_INTL!C1340)</f>
        <v/>
      </c>
      <c r="D1340" s="22" t="str">
        <f t="shared" si="1"/>
        <v>Other</v>
      </c>
      <c r="E1340" s="21" t="str">
        <f>IF(C1340="","",C1340*CONFIG!B5)</f>
        <v/>
      </c>
    </row>
    <row r="1341" ht="15.75" customHeight="1">
      <c r="A1341" s="22" t="str">
        <f>IF(MOV_CC_INTL!A1341="","",MOV_CC_INTL!A1341)</f>
        <v/>
      </c>
      <c r="B1341" s="22" t="str">
        <f>IF(MOV_CC_INTL!B1341="","",MOV_CC_INTL!B1341)</f>
        <v/>
      </c>
      <c r="C1341" s="22" t="str">
        <f>IF(MOV_CC_INTL!C1341="","",MOV_CC_INTL!C1341)</f>
        <v/>
      </c>
      <c r="D1341" s="22" t="str">
        <f t="shared" si="1"/>
        <v>Other</v>
      </c>
      <c r="E1341" s="21" t="str">
        <f>IF(C1341="","",C1341*CONFIG!B5)</f>
        <v/>
      </c>
    </row>
    <row r="1342" ht="15.75" customHeight="1">
      <c r="A1342" s="22" t="str">
        <f>IF(MOV_CC_INTL!A1342="","",MOV_CC_INTL!A1342)</f>
        <v/>
      </c>
      <c r="B1342" s="22" t="str">
        <f>IF(MOV_CC_INTL!B1342="","",MOV_CC_INTL!B1342)</f>
        <v/>
      </c>
      <c r="C1342" s="22" t="str">
        <f>IF(MOV_CC_INTL!C1342="","",MOV_CC_INTL!C1342)</f>
        <v/>
      </c>
      <c r="D1342" s="22" t="str">
        <f t="shared" si="1"/>
        <v>Other</v>
      </c>
      <c r="E1342" s="21" t="str">
        <f>IF(C1342="","",C1342*CONFIG!B5)</f>
        <v/>
      </c>
    </row>
    <row r="1343" ht="15.75" customHeight="1">
      <c r="A1343" s="22" t="str">
        <f>IF(MOV_CC_INTL!A1343="","",MOV_CC_INTL!A1343)</f>
        <v/>
      </c>
      <c r="B1343" s="22" t="str">
        <f>IF(MOV_CC_INTL!B1343="","",MOV_CC_INTL!B1343)</f>
        <v/>
      </c>
      <c r="C1343" s="22" t="str">
        <f>IF(MOV_CC_INTL!C1343="","",MOV_CC_INTL!C1343)</f>
        <v/>
      </c>
      <c r="D1343" s="22" t="str">
        <f t="shared" si="1"/>
        <v>Other</v>
      </c>
      <c r="E1343" s="21" t="str">
        <f>IF(C1343="","",C1343*CONFIG!B5)</f>
        <v/>
      </c>
    </row>
    <row r="1344" ht="15.75" customHeight="1">
      <c r="A1344" s="22" t="str">
        <f>IF(MOV_CC_INTL!A1344="","",MOV_CC_INTL!A1344)</f>
        <v/>
      </c>
      <c r="B1344" s="22" t="str">
        <f>IF(MOV_CC_INTL!B1344="","",MOV_CC_INTL!B1344)</f>
        <v/>
      </c>
      <c r="C1344" s="22" t="str">
        <f>IF(MOV_CC_INTL!C1344="","",MOV_CC_INTL!C1344)</f>
        <v/>
      </c>
      <c r="D1344" s="22" t="str">
        <f t="shared" si="1"/>
        <v>Other</v>
      </c>
      <c r="E1344" s="21" t="str">
        <f>IF(C1344="","",C1344*CONFIG!B5)</f>
        <v/>
      </c>
    </row>
    <row r="1345" ht="15.75" customHeight="1">
      <c r="A1345" s="22" t="str">
        <f>IF(MOV_CC_INTL!A1345="","",MOV_CC_INTL!A1345)</f>
        <v/>
      </c>
      <c r="B1345" s="22" t="str">
        <f>IF(MOV_CC_INTL!B1345="","",MOV_CC_INTL!B1345)</f>
        <v/>
      </c>
      <c r="C1345" s="22" t="str">
        <f>IF(MOV_CC_INTL!C1345="","",MOV_CC_INTL!C1345)</f>
        <v/>
      </c>
      <c r="D1345" s="22" t="str">
        <f t="shared" si="1"/>
        <v>Other</v>
      </c>
      <c r="E1345" s="21" t="str">
        <f>IF(C1345="","",C1345*CONFIG!B5)</f>
        <v/>
      </c>
    </row>
    <row r="1346" ht="15.75" customHeight="1">
      <c r="A1346" s="22" t="str">
        <f>IF(MOV_CC_INTL!A1346="","",MOV_CC_INTL!A1346)</f>
        <v/>
      </c>
      <c r="B1346" s="22" t="str">
        <f>IF(MOV_CC_INTL!B1346="","",MOV_CC_INTL!B1346)</f>
        <v/>
      </c>
      <c r="C1346" s="22" t="str">
        <f>IF(MOV_CC_INTL!C1346="","",MOV_CC_INTL!C1346)</f>
        <v/>
      </c>
      <c r="D1346" s="22" t="str">
        <f t="shared" si="1"/>
        <v>Other</v>
      </c>
      <c r="E1346" s="21" t="str">
        <f>IF(C1346="","",C1346*CONFIG!B5)</f>
        <v/>
      </c>
    </row>
    <row r="1347" ht="15.75" customHeight="1">
      <c r="A1347" s="22" t="str">
        <f>IF(MOV_CC_INTL!A1347="","",MOV_CC_INTL!A1347)</f>
        <v/>
      </c>
      <c r="B1347" s="22" t="str">
        <f>IF(MOV_CC_INTL!B1347="","",MOV_CC_INTL!B1347)</f>
        <v/>
      </c>
      <c r="C1347" s="22" t="str">
        <f>IF(MOV_CC_INTL!C1347="","",MOV_CC_INTL!C1347)</f>
        <v/>
      </c>
      <c r="D1347" s="22" t="str">
        <f t="shared" si="1"/>
        <v>Other</v>
      </c>
      <c r="E1347" s="21" t="str">
        <f>IF(C1347="","",C1347*CONFIG!B5)</f>
        <v/>
      </c>
    </row>
    <row r="1348" ht="15.75" customHeight="1">
      <c r="A1348" s="22" t="str">
        <f>IF(MOV_CC_INTL!A1348="","",MOV_CC_INTL!A1348)</f>
        <v/>
      </c>
      <c r="B1348" s="22" t="str">
        <f>IF(MOV_CC_INTL!B1348="","",MOV_CC_INTL!B1348)</f>
        <v/>
      </c>
      <c r="C1348" s="22" t="str">
        <f>IF(MOV_CC_INTL!C1348="","",MOV_CC_INTL!C1348)</f>
        <v/>
      </c>
      <c r="D1348" s="22" t="str">
        <f t="shared" si="1"/>
        <v>Other</v>
      </c>
      <c r="E1348" s="21" t="str">
        <f>IF(C1348="","",C1348*CONFIG!B5)</f>
        <v/>
      </c>
    </row>
    <row r="1349" ht="15.75" customHeight="1">
      <c r="A1349" s="22" t="str">
        <f>IF(MOV_CC_INTL!A1349="","",MOV_CC_INTL!A1349)</f>
        <v/>
      </c>
      <c r="B1349" s="22" t="str">
        <f>IF(MOV_CC_INTL!B1349="","",MOV_CC_INTL!B1349)</f>
        <v/>
      </c>
      <c r="C1349" s="22" t="str">
        <f>IF(MOV_CC_INTL!C1349="","",MOV_CC_INTL!C1349)</f>
        <v/>
      </c>
      <c r="D1349" s="22" t="str">
        <f t="shared" si="1"/>
        <v>Other</v>
      </c>
      <c r="E1349" s="21" t="str">
        <f>IF(C1349="","",C1349*CONFIG!B5)</f>
        <v/>
      </c>
    </row>
    <row r="1350" ht="15.75" customHeight="1">
      <c r="A1350" s="22" t="str">
        <f>IF(MOV_CC_INTL!A1350="","",MOV_CC_INTL!A1350)</f>
        <v/>
      </c>
      <c r="B1350" s="22" t="str">
        <f>IF(MOV_CC_INTL!B1350="","",MOV_CC_INTL!B1350)</f>
        <v/>
      </c>
      <c r="C1350" s="22" t="str">
        <f>IF(MOV_CC_INTL!C1350="","",MOV_CC_INTL!C1350)</f>
        <v/>
      </c>
      <c r="D1350" s="22" t="str">
        <f t="shared" si="1"/>
        <v>Other</v>
      </c>
      <c r="E1350" s="21" t="str">
        <f>IF(C1350="","",C1350*CONFIG!B5)</f>
        <v/>
      </c>
    </row>
    <row r="1351" ht="15.75" customHeight="1">
      <c r="A1351" s="22" t="str">
        <f>IF(MOV_CC_INTL!A1351="","",MOV_CC_INTL!A1351)</f>
        <v/>
      </c>
      <c r="B1351" s="22" t="str">
        <f>IF(MOV_CC_INTL!B1351="","",MOV_CC_INTL!B1351)</f>
        <v/>
      </c>
      <c r="C1351" s="22" t="str">
        <f>IF(MOV_CC_INTL!C1351="","",MOV_CC_INTL!C1351)</f>
        <v/>
      </c>
      <c r="D1351" s="22" t="str">
        <f t="shared" si="1"/>
        <v>Other</v>
      </c>
      <c r="E1351" s="21" t="str">
        <f>IF(C1351="","",C1351*CONFIG!B5)</f>
        <v/>
      </c>
    </row>
    <row r="1352" ht="15.75" customHeight="1">
      <c r="A1352" s="22" t="str">
        <f>IF(MOV_CC_INTL!A1352="","",MOV_CC_INTL!A1352)</f>
        <v/>
      </c>
      <c r="B1352" s="22" t="str">
        <f>IF(MOV_CC_INTL!B1352="","",MOV_CC_INTL!B1352)</f>
        <v/>
      </c>
      <c r="C1352" s="22" t="str">
        <f>IF(MOV_CC_INTL!C1352="","",MOV_CC_INTL!C1352)</f>
        <v/>
      </c>
      <c r="D1352" s="22" t="str">
        <f t="shared" si="1"/>
        <v>Other</v>
      </c>
      <c r="E1352" s="21" t="str">
        <f>IF(C1352="","",C1352*CONFIG!B5)</f>
        <v/>
      </c>
    </row>
    <row r="1353" ht="15.75" customHeight="1">
      <c r="A1353" s="22" t="str">
        <f>IF(MOV_CC_INTL!A1353="","",MOV_CC_INTL!A1353)</f>
        <v/>
      </c>
      <c r="B1353" s="22" t="str">
        <f>IF(MOV_CC_INTL!B1353="","",MOV_CC_INTL!B1353)</f>
        <v/>
      </c>
      <c r="C1353" s="22" t="str">
        <f>IF(MOV_CC_INTL!C1353="","",MOV_CC_INTL!C1353)</f>
        <v/>
      </c>
      <c r="D1353" s="22" t="str">
        <f t="shared" si="1"/>
        <v>Other</v>
      </c>
      <c r="E1353" s="21" t="str">
        <f>IF(C1353="","",C1353*CONFIG!B5)</f>
        <v/>
      </c>
    </row>
    <row r="1354" ht="15.75" customHeight="1">
      <c r="A1354" s="22" t="str">
        <f>IF(MOV_CC_INTL!A1354="","",MOV_CC_INTL!A1354)</f>
        <v/>
      </c>
      <c r="B1354" s="22" t="str">
        <f>IF(MOV_CC_INTL!B1354="","",MOV_CC_INTL!B1354)</f>
        <v/>
      </c>
      <c r="C1354" s="22" t="str">
        <f>IF(MOV_CC_INTL!C1354="","",MOV_CC_INTL!C1354)</f>
        <v/>
      </c>
      <c r="D1354" s="22" t="str">
        <f t="shared" si="1"/>
        <v>Other</v>
      </c>
      <c r="E1354" s="21" t="str">
        <f>IF(C1354="","",C1354*CONFIG!B5)</f>
        <v/>
      </c>
    </row>
    <row r="1355" ht="15.75" customHeight="1">
      <c r="A1355" s="22" t="str">
        <f>IF(MOV_CC_INTL!A1355="","",MOV_CC_INTL!A1355)</f>
        <v/>
      </c>
      <c r="B1355" s="22" t="str">
        <f>IF(MOV_CC_INTL!B1355="","",MOV_CC_INTL!B1355)</f>
        <v/>
      </c>
      <c r="C1355" s="22" t="str">
        <f>IF(MOV_CC_INTL!C1355="","",MOV_CC_INTL!C1355)</f>
        <v/>
      </c>
      <c r="D1355" s="22" t="str">
        <f t="shared" si="1"/>
        <v>Other</v>
      </c>
      <c r="E1355" s="21" t="str">
        <f>IF(C1355="","",C1355*CONFIG!B5)</f>
        <v/>
      </c>
    </row>
    <row r="1356" ht="15.75" customHeight="1">
      <c r="A1356" s="22" t="str">
        <f>IF(MOV_CC_INTL!A1356="","",MOV_CC_INTL!A1356)</f>
        <v/>
      </c>
      <c r="B1356" s="22" t="str">
        <f>IF(MOV_CC_INTL!B1356="","",MOV_CC_INTL!B1356)</f>
        <v/>
      </c>
      <c r="C1356" s="22" t="str">
        <f>IF(MOV_CC_INTL!C1356="","",MOV_CC_INTL!C1356)</f>
        <v/>
      </c>
      <c r="D1356" s="22" t="str">
        <f t="shared" si="1"/>
        <v>Other</v>
      </c>
      <c r="E1356" s="21" t="str">
        <f>IF(C1356="","",C1356*CONFIG!B5)</f>
        <v/>
      </c>
    </row>
    <row r="1357" ht="15.75" customHeight="1">
      <c r="A1357" s="22" t="str">
        <f>IF(MOV_CC_INTL!A1357="","",MOV_CC_INTL!A1357)</f>
        <v/>
      </c>
      <c r="B1357" s="22" t="str">
        <f>IF(MOV_CC_INTL!B1357="","",MOV_CC_INTL!B1357)</f>
        <v/>
      </c>
      <c r="C1357" s="22" t="str">
        <f>IF(MOV_CC_INTL!C1357="","",MOV_CC_INTL!C1357)</f>
        <v/>
      </c>
      <c r="D1357" s="22" t="str">
        <f t="shared" si="1"/>
        <v>Other</v>
      </c>
      <c r="E1357" s="21" t="str">
        <f>IF(C1357="","",C1357*CONFIG!B5)</f>
        <v/>
      </c>
    </row>
    <row r="1358" ht="15.75" customHeight="1">
      <c r="A1358" s="22" t="str">
        <f>IF(MOV_CC_INTL!A1358="","",MOV_CC_INTL!A1358)</f>
        <v/>
      </c>
      <c r="B1358" s="22" t="str">
        <f>IF(MOV_CC_INTL!B1358="","",MOV_CC_INTL!B1358)</f>
        <v/>
      </c>
      <c r="C1358" s="22" t="str">
        <f>IF(MOV_CC_INTL!C1358="","",MOV_CC_INTL!C1358)</f>
        <v/>
      </c>
      <c r="D1358" s="22" t="str">
        <f t="shared" si="1"/>
        <v>Other</v>
      </c>
      <c r="E1358" s="21" t="str">
        <f>IF(C1358="","",C1358*CONFIG!B5)</f>
        <v/>
      </c>
    </row>
    <row r="1359" ht="15.75" customHeight="1">
      <c r="A1359" s="22" t="str">
        <f>IF(MOV_CC_INTL!A1359="","",MOV_CC_INTL!A1359)</f>
        <v/>
      </c>
      <c r="B1359" s="22" t="str">
        <f>IF(MOV_CC_INTL!B1359="","",MOV_CC_INTL!B1359)</f>
        <v/>
      </c>
      <c r="C1359" s="22" t="str">
        <f>IF(MOV_CC_INTL!C1359="","",MOV_CC_INTL!C1359)</f>
        <v/>
      </c>
      <c r="D1359" s="22" t="str">
        <f t="shared" si="1"/>
        <v>Other</v>
      </c>
      <c r="E1359" s="21" t="str">
        <f>IF(C1359="","",C1359*CONFIG!B5)</f>
        <v/>
      </c>
    </row>
    <row r="1360" ht="15.75" customHeight="1">
      <c r="A1360" s="22" t="str">
        <f>IF(MOV_CC_INTL!A1360="","",MOV_CC_INTL!A1360)</f>
        <v/>
      </c>
      <c r="B1360" s="22" t="str">
        <f>IF(MOV_CC_INTL!B1360="","",MOV_CC_INTL!B1360)</f>
        <v/>
      </c>
      <c r="C1360" s="22" t="str">
        <f>IF(MOV_CC_INTL!C1360="","",MOV_CC_INTL!C1360)</f>
        <v/>
      </c>
      <c r="D1360" s="22" t="str">
        <f t="shared" si="1"/>
        <v>Other</v>
      </c>
      <c r="E1360" s="21" t="str">
        <f>IF(C1360="","",C1360*CONFIG!B5)</f>
        <v/>
      </c>
    </row>
    <row r="1361" ht="15.75" customHeight="1">
      <c r="A1361" s="22" t="str">
        <f>IF(MOV_CC_INTL!A1361="","",MOV_CC_INTL!A1361)</f>
        <v/>
      </c>
      <c r="B1361" s="22" t="str">
        <f>IF(MOV_CC_INTL!B1361="","",MOV_CC_INTL!B1361)</f>
        <v/>
      </c>
      <c r="C1361" s="22" t="str">
        <f>IF(MOV_CC_INTL!C1361="","",MOV_CC_INTL!C1361)</f>
        <v/>
      </c>
      <c r="D1361" s="22" t="str">
        <f t="shared" si="1"/>
        <v>Other</v>
      </c>
      <c r="E1361" s="21" t="str">
        <f>IF(C1361="","",C1361*CONFIG!B5)</f>
        <v/>
      </c>
    </row>
    <row r="1362" ht="15.75" customHeight="1">
      <c r="A1362" s="22" t="str">
        <f>IF(MOV_CC_INTL!A1362="","",MOV_CC_INTL!A1362)</f>
        <v/>
      </c>
      <c r="B1362" s="22" t="str">
        <f>IF(MOV_CC_INTL!B1362="","",MOV_CC_INTL!B1362)</f>
        <v/>
      </c>
      <c r="C1362" s="22" t="str">
        <f>IF(MOV_CC_INTL!C1362="","",MOV_CC_INTL!C1362)</f>
        <v/>
      </c>
      <c r="D1362" s="22" t="str">
        <f t="shared" si="1"/>
        <v>Other</v>
      </c>
      <c r="E1362" s="21" t="str">
        <f>IF(C1362="","",C1362*CONFIG!B5)</f>
        <v/>
      </c>
    </row>
    <row r="1363" ht="15.75" customHeight="1">
      <c r="A1363" s="22" t="str">
        <f>IF(MOV_CC_INTL!A1363="","",MOV_CC_INTL!A1363)</f>
        <v/>
      </c>
      <c r="B1363" s="22" t="str">
        <f>IF(MOV_CC_INTL!B1363="","",MOV_CC_INTL!B1363)</f>
        <v/>
      </c>
      <c r="C1363" s="22" t="str">
        <f>IF(MOV_CC_INTL!C1363="","",MOV_CC_INTL!C1363)</f>
        <v/>
      </c>
      <c r="D1363" s="22" t="str">
        <f t="shared" si="1"/>
        <v>Other</v>
      </c>
      <c r="E1363" s="21" t="str">
        <f>IF(C1363="","",C1363*CONFIG!B5)</f>
        <v/>
      </c>
    </row>
    <row r="1364" ht="15.75" customHeight="1">
      <c r="A1364" s="22" t="str">
        <f>IF(MOV_CC_INTL!A1364="","",MOV_CC_INTL!A1364)</f>
        <v/>
      </c>
      <c r="B1364" s="22" t="str">
        <f>IF(MOV_CC_INTL!B1364="","",MOV_CC_INTL!B1364)</f>
        <v/>
      </c>
      <c r="C1364" s="22" t="str">
        <f>IF(MOV_CC_INTL!C1364="","",MOV_CC_INTL!C1364)</f>
        <v/>
      </c>
      <c r="D1364" s="22" t="str">
        <f t="shared" si="1"/>
        <v>Other</v>
      </c>
      <c r="E1364" s="21" t="str">
        <f>IF(C1364="","",C1364*CONFIG!B5)</f>
        <v/>
      </c>
    </row>
    <row r="1365" ht="15.75" customHeight="1">
      <c r="A1365" s="22" t="str">
        <f>IF(MOV_CC_INTL!A1365="","",MOV_CC_INTL!A1365)</f>
        <v/>
      </c>
      <c r="B1365" s="22" t="str">
        <f>IF(MOV_CC_INTL!B1365="","",MOV_CC_INTL!B1365)</f>
        <v/>
      </c>
      <c r="C1365" s="22" t="str">
        <f>IF(MOV_CC_INTL!C1365="","",MOV_CC_INTL!C1365)</f>
        <v/>
      </c>
      <c r="D1365" s="22" t="str">
        <f t="shared" si="1"/>
        <v>Other</v>
      </c>
      <c r="E1365" s="21" t="str">
        <f>IF(C1365="","",C1365*CONFIG!B5)</f>
        <v/>
      </c>
    </row>
    <row r="1366" ht="15.75" customHeight="1">
      <c r="A1366" s="22" t="str">
        <f>IF(MOV_CC_INTL!A1366="","",MOV_CC_INTL!A1366)</f>
        <v/>
      </c>
      <c r="B1366" s="22" t="str">
        <f>IF(MOV_CC_INTL!B1366="","",MOV_CC_INTL!B1366)</f>
        <v/>
      </c>
      <c r="C1366" s="22" t="str">
        <f>IF(MOV_CC_INTL!C1366="","",MOV_CC_INTL!C1366)</f>
        <v/>
      </c>
      <c r="D1366" s="22" t="str">
        <f t="shared" si="1"/>
        <v>Other</v>
      </c>
      <c r="E1366" s="21" t="str">
        <f>IF(C1366="","",C1366*CONFIG!B5)</f>
        <v/>
      </c>
    </row>
    <row r="1367" ht="15.75" customHeight="1">
      <c r="A1367" s="22" t="str">
        <f>IF(MOV_CC_INTL!A1367="","",MOV_CC_INTL!A1367)</f>
        <v/>
      </c>
      <c r="B1367" s="22" t="str">
        <f>IF(MOV_CC_INTL!B1367="","",MOV_CC_INTL!B1367)</f>
        <v/>
      </c>
      <c r="C1367" s="22" t="str">
        <f>IF(MOV_CC_INTL!C1367="","",MOV_CC_INTL!C1367)</f>
        <v/>
      </c>
      <c r="D1367" s="22" t="str">
        <f t="shared" si="1"/>
        <v>Other</v>
      </c>
      <c r="E1367" s="21" t="str">
        <f>IF(C1367="","",C1367*CONFIG!B5)</f>
        <v/>
      </c>
    </row>
    <row r="1368" ht="15.75" customHeight="1">
      <c r="A1368" s="22" t="str">
        <f>IF(MOV_CC_INTL!A1368="","",MOV_CC_INTL!A1368)</f>
        <v/>
      </c>
      <c r="B1368" s="22" t="str">
        <f>IF(MOV_CC_INTL!B1368="","",MOV_CC_INTL!B1368)</f>
        <v/>
      </c>
      <c r="C1368" s="22" t="str">
        <f>IF(MOV_CC_INTL!C1368="","",MOV_CC_INTL!C1368)</f>
        <v/>
      </c>
      <c r="D1368" s="22" t="str">
        <f t="shared" si="1"/>
        <v>Other</v>
      </c>
      <c r="E1368" s="21" t="str">
        <f>IF(C1368="","",C1368*CONFIG!B5)</f>
        <v/>
      </c>
    </row>
    <row r="1369" ht="15.75" customHeight="1">
      <c r="A1369" s="22" t="str">
        <f>IF(MOV_CC_INTL!A1369="","",MOV_CC_INTL!A1369)</f>
        <v/>
      </c>
      <c r="B1369" s="22" t="str">
        <f>IF(MOV_CC_INTL!B1369="","",MOV_CC_INTL!B1369)</f>
        <v/>
      </c>
      <c r="C1369" s="22" t="str">
        <f>IF(MOV_CC_INTL!C1369="","",MOV_CC_INTL!C1369)</f>
        <v/>
      </c>
      <c r="D1369" s="22" t="str">
        <f t="shared" si="1"/>
        <v>Other</v>
      </c>
      <c r="E1369" s="21" t="str">
        <f>IF(C1369="","",C1369*CONFIG!B5)</f>
        <v/>
      </c>
    </row>
    <row r="1370" ht="15.75" customHeight="1">
      <c r="A1370" s="22" t="str">
        <f>IF(MOV_CC_INTL!A1370="","",MOV_CC_INTL!A1370)</f>
        <v/>
      </c>
      <c r="B1370" s="22" t="str">
        <f>IF(MOV_CC_INTL!B1370="","",MOV_CC_INTL!B1370)</f>
        <v/>
      </c>
      <c r="C1370" s="22" t="str">
        <f>IF(MOV_CC_INTL!C1370="","",MOV_CC_INTL!C1370)</f>
        <v/>
      </c>
      <c r="D1370" s="22" t="str">
        <f t="shared" si="1"/>
        <v>Other</v>
      </c>
      <c r="E1370" s="21" t="str">
        <f>IF(C1370="","",C1370*CONFIG!B5)</f>
        <v/>
      </c>
    </row>
    <row r="1371" ht="15.75" customHeight="1">
      <c r="A1371" s="22" t="str">
        <f>IF(MOV_CC_INTL!A1371="","",MOV_CC_INTL!A1371)</f>
        <v/>
      </c>
      <c r="B1371" s="22" t="str">
        <f>IF(MOV_CC_INTL!B1371="","",MOV_CC_INTL!B1371)</f>
        <v/>
      </c>
      <c r="C1371" s="22" t="str">
        <f>IF(MOV_CC_INTL!C1371="","",MOV_CC_INTL!C1371)</f>
        <v/>
      </c>
      <c r="D1371" s="22" t="str">
        <f t="shared" si="1"/>
        <v>Other</v>
      </c>
      <c r="E1371" s="21" t="str">
        <f>IF(C1371="","",C1371*CONFIG!B5)</f>
        <v/>
      </c>
    </row>
    <row r="1372" ht="15.75" customHeight="1">
      <c r="A1372" s="22" t="str">
        <f>IF(MOV_CC_INTL!A1372="","",MOV_CC_INTL!A1372)</f>
        <v/>
      </c>
      <c r="B1372" s="22" t="str">
        <f>IF(MOV_CC_INTL!B1372="","",MOV_CC_INTL!B1372)</f>
        <v/>
      </c>
      <c r="C1372" s="22" t="str">
        <f>IF(MOV_CC_INTL!C1372="","",MOV_CC_INTL!C1372)</f>
        <v/>
      </c>
      <c r="D1372" s="22" t="str">
        <f t="shared" si="1"/>
        <v>Other</v>
      </c>
      <c r="E1372" s="21" t="str">
        <f>IF(C1372="","",C1372*CONFIG!B5)</f>
        <v/>
      </c>
    </row>
    <row r="1373" ht="15.75" customHeight="1">
      <c r="A1373" s="22" t="str">
        <f>IF(MOV_CC_INTL!A1373="","",MOV_CC_INTL!A1373)</f>
        <v/>
      </c>
      <c r="B1373" s="22" t="str">
        <f>IF(MOV_CC_INTL!B1373="","",MOV_CC_INTL!B1373)</f>
        <v/>
      </c>
      <c r="C1373" s="22" t="str">
        <f>IF(MOV_CC_INTL!C1373="","",MOV_CC_INTL!C1373)</f>
        <v/>
      </c>
      <c r="D1373" s="22" t="str">
        <f t="shared" si="1"/>
        <v>Other</v>
      </c>
      <c r="E1373" s="21" t="str">
        <f>IF(C1373="","",C1373*CONFIG!B5)</f>
        <v/>
      </c>
    </row>
    <row r="1374" ht="15.75" customHeight="1">
      <c r="A1374" s="22" t="str">
        <f>IF(MOV_CC_INTL!A1374="","",MOV_CC_INTL!A1374)</f>
        <v/>
      </c>
      <c r="B1374" s="22" t="str">
        <f>IF(MOV_CC_INTL!B1374="","",MOV_CC_INTL!B1374)</f>
        <v/>
      </c>
      <c r="C1374" s="22" t="str">
        <f>IF(MOV_CC_INTL!C1374="","",MOV_CC_INTL!C1374)</f>
        <v/>
      </c>
      <c r="D1374" s="22" t="str">
        <f t="shared" si="1"/>
        <v>Other</v>
      </c>
      <c r="E1374" s="21" t="str">
        <f>IF(C1374="","",C1374*CONFIG!B5)</f>
        <v/>
      </c>
    </row>
    <row r="1375" ht="15.75" customHeight="1">
      <c r="A1375" s="22" t="str">
        <f>IF(MOV_CC_INTL!A1375="","",MOV_CC_INTL!A1375)</f>
        <v/>
      </c>
      <c r="B1375" s="22" t="str">
        <f>IF(MOV_CC_INTL!B1375="","",MOV_CC_INTL!B1375)</f>
        <v/>
      </c>
      <c r="C1375" s="22" t="str">
        <f>IF(MOV_CC_INTL!C1375="","",MOV_CC_INTL!C1375)</f>
        <v/>
      </c>
      <c r="D1375" s="22" t="str">
        <f t="shared" si="1"/>
        <v>Other</v>
      </c>
      <c r="E1375" s="21" t="str">
        <f>IF(C1375="","",C1375*CONFIG!B5)</f>
        <v/>
      </c>
    </row>
    <row r="1376" ht="15.75" customHeight="1">
      <c r="A1376" s="22" t="str">
        <f>IF(MOV_CC_INTL!A1376="","",MOV_CC_INTL!A1376)</f>
        <v/>
      </c>
      <c r="B1376" s="22" t="str">
        <f>IF(MOV_CC_INTL!B1376="","",MOV_CC_INTL!B1376)</f>
        <v/>
      </c>
      <c r="C1376" s="22" t="str">
        <f>IF(MOV_CC_INTL!C1376="","",MOV_CC_INTL!C1376)</f>
        <v/>
      </c>
      <c r="D1376" s="22" t="str">
        <f t="shared" si="1"/>
        <v>Other</v>
      </c>
      <c r="E1376" s="21" t="str">
        <f>IF(C1376="","",C1376*CONFIG!B5)</f>
        <v/>
      </c>
    </row>
    <row r="1377" ht="15.75" customHeight="1">
      <c r="A1377" s="22" t="str">
        <f>IF(MOV_CC_INTL!A1377="","",MOV_CC_INTL!A1377)</f>
        <v/>
      </c>
      <c r="B1377" s="22" t="str">
        <f>IF(MOV_CC_INTL!B1377="","",MOV_CC_INTL!B1377)</f>
        <v/>
      </c>
      <c r="C1377" s="22" t="str">
        <f>IF(MOV_CC_INTL!C1377="","",MOV_CC_INTL!C1377)</f>
        <v/>
      </c>
      <c r="D1377" s="22" t="str">
        <f t="shared" si="1"/>
        <v>Other</v>
      </c>
      <c r="E1377" s="21" t="str">
        <f>IF(C1377="","",C1377*CONFIG!B5)</f>
        <v/>
      </c>
    </row>
    <row r="1378" ht="15.75" customHeight="1">
      <c r="A1378" s="22" t="str">
        <f>IF(MOV_CC_INTL!A1378="","",MOV_CC_INTL!A1378)</f>
        <v/>
      </c>
      <c r="B1378" s="22" t="str">
        <f>IF(MOV_CC_INTL!B1378="","",MOV_CC_INTL!B1378)</f>
        <v/>
      </c>
      <c r="C1378" s="22" t="str">
        <f>IF(MOV_CC_INTL!C1378="","",MOV_CC_INTL!C1378)</f>
        <v/>
      </c>
      <c r="D1378" s="22" t="str">
        <f t="shared" si="1"/>
        <v>Other</v>
      </c>
      <c r="E1378" s="21" t="str">
        <f>IF(C1378="","",C1378*CONFIG!B5)</f>
        <v/>
      </c>
    </row>
    <row r="1379" ht="15.75" customHeight="1">
      <c r="A1379" s="22" t="str">
        <f>IF(MOV_CC_INTL!A1379="","",MOV_CC_INTL!A1379)</f>
        <v/>
      </c>
      <c r="B1379" s="22" t="str">
        <f>IF(MOV_CC_INTL!B1379="","",MOV_CC_INTL!B1379)</f>
        <v/>
      </c>
      <c r="C1379" s="22" t="str">
        <f>IF(MOV_CC_INTL!C1379="","",MOV_CC_INTL!C1379)</f>
        <v/>
      </c>
      <c r="D1379" s="22" t="str">
        <f t="shared" si="1"/>
        <v>Other</v>
      </c>
      <c r="E1379" s="21" t="str">
        <f>IF(C1379="","",C1379*CONFIG!B5)</f>
        <v/>
      </c>
    </row>
    <row r="1380" ht="15.75" customHeight="1">
      <c r="A1380" s="22" t="str">
        <f>IF(MOV_CC_INTL!A1380="","",MOV_CC_INTL!A1380)</f>
        <v/>
      </c>
      <c r="B1380" s="22" t="str">
        <f>IF(MOV_CC_INTL!B1380="","",MOV_CC_INTL!B1380)</f>
        <v/>
      </c>
      <c r="C1380" s="22" t="str">
        <f>IF(MOV_CC_INTL!C1380="","",MOV_CC_INTL!C1380)</f>
        <v/>
      </c>
      <c r="D1380" s="22" t="str">
        <f t="shared" si="1"/>
        <v>Other</v>
      </c>
      <c r="E1380" s="21" t="str">
        <f>IF(C1380="","",C1380*CONFIG!B5)</f>
        <v/>
      </c>
    </row>
    <row r="1381" ht="15.75" customHeight="1">
      <c r="A1381" s="22" t="str">
        <f>IF(MOV_CC_INTL!A1381="","",MOV_CC_INTL!A1381)</f>
        <v/>
      </c>
      <c r="B1381" s="22" t="str">
        <f>IF(MOV_CC_INTL!B1381="","",MOV_CC_INTL!B1381)</f>
        <v/>
      </c>
      <c r="C1381" s="22" t="str">
        <f>IF(MOV_CC_INTL!C1381="","",MOV_CC_INTL!C1381)</f>
        <v/>
      </c>
      <c r="D1381" s="22" t="str">
        <f t="shared" si="1"/>
        <v>Other</v>
      </c>
      <c r="E1381" s="21" t="str">
        <f>IF(C1381="","",C1381*CONFIG!B5)</f>
        <v/>
      </c>
    </row>
    <row r="1382" ht="15.75" customHeight="1">
      <c r="A1382" s="22" t="str">
        <f>IF(MOV_CC_INTL!A1382="","",MOV_CC_INTL!A1382)</f>
        <v/>
      </c>
      <c r="B1382" s="22" t="str">
        <f>IF(MOV_CC_INTL!B1382="","",MOV_CC_INTL!B1382)</f>
        <v/>
      </c>
      <c r="C1382" s="22" t="str">
        <f>IF(MOV_CC_INTL!C1382="","",MOV_CC_INTL!C1382)</f>
        <v/>
      </c>
      <c r="D1382" s="22" t="str">
        <f t="shared" si="1"/>
        <v>Other</v>
      </c>
      <c r="E1382" s="21" t="str">
        <f>IF(C1382="","",C1382*CONFIG!B5)</f>
        <v/>
      </c>
    </row>
    <row r="1383" ht="15.75" customHeight="1">
      <c r="A1383" s="22" t="str">
        <f>IF(MOV_CC_INTL!A1383="","",MOV_CC_INTL!A1383)</f>
        <v/>
      </c>
      <c r="B1383" s="22" t="str">
        <f>IF(MOV_CC_INTL!B1383="","",MOV_CC_INTL!B1383)</f>
        <v/>
      </c>
      <c r="C1383" s="22" t="str">
        <f>IF(MOV_CC_INTL!C1383="","",MOV_CC_INTL!C1383)</f>
        <v/>
      </c>
      <c r="D1383" s="22" t="str">
        <f t="shared" si="1"/>
        <v>Other</v>
      </c>
      <c r="E1383" s="21" t="str">
        <f>IF(C1383="","",C1383*CONFIG!B5)</f>
        <v/>
      </c>
    </row>
    <row r="1384" ht="15.75" customHeight="1">
      <c r="A1384" s="22" t="str">
        <f>IF(MOV_CC_INTL!A1384="","",MOV_CC_INTL!A1384)</f>
        <v/>
      </c>
      <c r="B1384" s="22" t="str">
        <f>IF(MOV_CC_INTL!B1384="","",MOV_CC_INTL!B1384)</f>
        <v/>
      </c>
      <c r="C1384" s="22" t="str">
        <f>IF(MOV_CC_INTL!C1384="","",MOV_CC_INTL!C1384)</f>
        <v/>
      </c>
      <c r="D1384" s="22" t="str">
        <f t="shared" si="1"/>
        <v>Other</v>
      </c>
      <c r="E1384" s="21" t="str">
        <f>IF(C1384="","",C1384*CONFIG!B5)</f>
        <v/>
      </c>
    </row>
    <row r="1385" ht="15.75" customHeight="1">
      <c r="A1385" s="22" t="str">
        <f>IF(MOV_CC_INTL!A1385="","",MOV_CC_INTL!A1385)</f>
        <v/>
      </c>
      <c r="B1385" s="22" t="str">
        <f>IF(MOV_CC_INTL!B1385="","",MOV_CC_INTL!B1385)</f>
        <v/>
      </c>
      <c r="C1385" s="22" t="str">
        <f>IF(MOV_CC_INTL!C1385="","",MOV_CC_INTL!C1385)</f>
        <v/>
      </c>
      <c r="D1385" s="22" t="str">
        <f t="shared" si="1"/>
        <v>Other</v>
      </c>
      <c r="E1385" s="21" t="str">
        <f>IF(C1385="","",C1385*CONFIG!B5)</f>
        <v/>
      </c>
    </row>
    <row r="1386" ht="15.75" customHeight="1">
      <c r="A1386" s="22" t="str">
        <f>IF(MOV_CC_INTL!A1386="","",MOV_CC_INTL!A1386)</f>
        <v/>
      </c>
      <c r="B1386" s="22" t="str">
        <f>IF(MOV_CC_INTL!B1386="","",MOV_CC_INTL!B1386)</f>
        <v/>
      </c>
      <c r="C1386" s="22" t="str">
        <f>IF(MOV_CC_INTL!C1386="","",MOV_CC_INTL!C1386)</f>
        <v/>
      </c>
      <c r="D1386" s="22" t="str">
        <f t="shared" si="1"/>
        <v>Other</v>
      </c>
      <c r="E1386" s="21" t="str">
        <f>IF(C1386="","",C1386*CONFIG!B5)</f>
        <v/>
      </c>
    </row>
    <row r="1387" ht="15.75" customHeight="1">
      <c r="A1387" s="22" t="str">
        <f>IF(MOV_CC_INTL!A1387="","",MOV_CC_INTL!A1387)</f>
        <v/>
      </c>
      <c r="B1387" s="22" t="str">
        <f>IF(MOV_CC_INTL!B1387="","",MOV_CC_INTL!B1387)</f>
        <v/>
      </c>
      <c r="C1387" s="22" t="str">
        <f>IF(MOV_CC_INTL!C1387="","",MOV_CC_INTL!C1387)</f>
        <v/>
      </c>
      <c r="D1387" s="22" t="str">
        <f t="shared" si="1"/>
        <v>Other</v>
      </c>
      <c r="E1387" s="21" t="str">
        <f>IF(C1387="","",C1387*CONFIG!B5)</f>
        <v/>
      </c>
    </row>
    <row r="1388" ht="15.75" customHeight="1">
      <c r="A1388" s="22" t="str">
        <f>IF(MOV_CC_INTL!A1388="","",MOV_CC_INTL!A1388)</f>
        <v/>
      </c>
      <c r="B1388" s="22" t="str">
        <f>IF(MOV_CC_INTL!B1388="","",MOV_CC_INTL!B1388)</f>
        <v/>
      </c>
      <c r="C1388" s="22" t="str">
        <f>IF(MOV_CC_INTL!C1388="","",MOV_CC_INTL!C1388)</f>
        <v/>
      </c>
      <c r="D1388" s="22" t="str">
        <f t="shared" si="1"/>
        <v>Other</v>
      </c>
      <c r="E1388" s="21" t="str">
        <f>IF(C1388="","",C1388*CONFIG!B5)</f>
        <v/>
      </c>
    </row>
    <row r="1389" ht="15.75" customHeight="1">
      <c r="A1389" s="22" t="str">
        <f>IF(MOV_CC_INTL!A1389="","",MOV_CC_INTL!A1389)</f>
        <v/>
      </c>
      <c r="B1389" s="22" t="str">
        <f>IF(MOV_CC_INTL!B1389="","",MOV_CC_INTL!B1389)</f>
        <v/>
      </c>
      <c r="C1389" s="22" t="str">
        <f>IF(MOV_CC_INTL!C1389="","",MOV_CC_INTL!C1389)</f>
        <v/>
      </c>
      <c r="D1389" s="22" t="str">
        <f t="shared" si="1"/>
        <v>Other</v>
      </c>
      <c r="E1389" s="21" t="str">
        <f>IF(C1389="","",C1389*CONFIG!B5)</f>
        <v/>
      </c>
    </row>
    <row r="1390" ht="15.75" customHeight="1">
      <c r="A1390" s="22" t="str">
        <f>IF(MOV_CC_INTL!A1390="","",MOV_CC_INTL!A1390)</f>
        <v/>
      </c>
      <c r="B1390" s="22" t="str">
        <f>IF(MOV_CC_INTL!B1390="","",MOV_CC_INTL!B1390)</f>
        <v/>
      </c>
      <c r="C1390" s="22" t="str">
        <f>IF(MOV_CC_INTL!C1390="","",MOV_CC_INTL!C1390)</f>
        <v/>
      </c>
      <c r="D1390" s="22" t="str">
        <f t="shared" si="1"/>
        <v>Other</v>
      </c>
      <c r="E1390" s="21" t="str">
        <f>IF(C1390="","",C1390*CONFIG!B5)</f>
        <v/>
      </c>
    </row>
    <row r="1391" ht="15.75" customHeight="1">
      <c r="A1391" s="22" t="str">
        <f>IF(MOV_CC_INTL!A1391="","",MOV_CC_INTL!A1391)</f>
        <v/>
      </c>
      <c r="B1391" s="22" t="str">
        <f>IF(MOV_CC_INTL!B1391="","",MOV_CC_INTL!B1391)</f>
        <v/>
      </c>
      <c r="C1391" s="22" t="str">
        <f>IF(MOV_CC_INTL!C1391="","",MOV_CC_INTL!C1391)</f>
        <v/>
      </c>
      <c r="D1391" s="22" t="str">
        <f t="shared" si="1"/>
        <v>Other</v>
      </c>
      <c r="E1391" s="21" t="str">
        <f>IF(C1391="","",C1391*CONFIG!B5)</f>
        <v/>
      </c>
    </row>
    <row r="1392" ht="15.75" customHeight="1">
      <c r="A1392" s="22" t="str">
        <f>IF(MOV_CC_INTL!A1392="","",MOV_CC_INTL!A1392)</f>
        <v/>
      </c>
      <c r="B1392" s="22" t="str">
        <f>IF(MOV_CC_INTL!B1392="","",MOV_CC_INTL!B1392)</f>
        <v/>
      </c>
      <c r="C1392" s="22" t="str">
        <f>IF(MOV_CC_INTL!C1392="","",MOV_CC_INTL!C1392)</f>
        <v/>
      </c>
      <c r="D1392" s="22" t="str">
        <f t="shared" si="1"/>
        <v>Other</v>
      </c>
      <c r="E1392" s="21" t="str">
        <f>IF(C1392="","",C1392*CONFIG!B5)</f>
        <v/>
      </c>
    </row>
    <row r="1393" ht="15.75" customHeight="1">
      <c r="A1393" s="22" t="str">
        <f>IF(MOV_CC_INTL!A1393="","",MOV_CC_INTL!A1393)</f>
        <v/>
      </c>
      <c r="B1393" s="22" t="str">
        <f>IF(MOV_CC_INTL!B1393="","",MOV_CC_INTL!B1393)</f>
        <v/>
      </c>
      <c r="C1393" s="22" t="str">
        <f>IF(MOV_CC_INTL!C1393="","",MOV_CC_INTL!C1393)</f>
        <v/>
      </c>
      <c r="D1393" s="22" t="str">
        <f t="shared" si="1"/>
        <v>Other</v>
      </c>
      <c r="E1393" s="21" t="str">
        <f>IF(C1393="","",C1393*CONFIG!B5)</f>
        <v/>
      </c>
    </row>
    <row r="1394" ht="15.75" customHeight="1">
      <c r="A1394" s="22" t="str">
        <f>IF(MOV_CC_INTL!A1394="","",MOV_CC_INTL!A1394)</f>
        <v/>
      </c>
      <c r="B1394" s="22" t="str">
        <f>IF(MOV_CC_INTL!B1394="","",MOV_CC_INTL!B1394)</f>
        <v/>
      </c>
      <c r="C1394" s="22" t="str">
        <f>IF(MOV_CC_INTL!C1394="","",MOV_CC_INTL!C1394)</f>
        <v/>
      </c>
      <c r="D1394" s="22" t="str">
        <f t="shared" si="1"/>
        <v>Other</v>
      </c>
      <c r="E1394" s="21" t="str">
        <f>IF(C1394="","",C1394*CONFIG!B5)</f>
        <v/>
      </c>
    </row>
    <row r="1395" ht="15.75" customHeight="1">
      <c r="A1395" s="22" t="str">
        <f>IF(MOV_CC_INTL!A1395="","",MOV_CC_INTL!A1395)</f>
        <v/>
      </c>
      <c r="B1395" s="22" t="str">
        <f>IF(MOV_CC_INTL!B1395="","",MOV_CC_INTL!B1395)</f>
        <v/>
      </c>
      <c r="C1395" s="22" t="str">
        <f>IF(MOV_CC_INTL!C1395="","",MOV_CC_INTL!C1395)</f>
        <v/>
      </c>
      <c r="D1395" s="22" t="str">
        <f t="shared" si="1"/>
        <v>Other</v>
      </c>
      <c r="E1395" s="21" t="str">
        <f>IF(C1395="","",C1395*CONFIG!B5)</f>
        <v/>
      </c>
    </row>
    <row r="1396" ht="15.75" customHeight="1">
      <c r="A1396" s="22" t="str">
        <f>IF(MOV_CC_INTL!A1396="","",MOV_CC_INTL!A1396)</f>
        <v/>
      </c>
      <c r="B1396" s="22" t="str">
        <f>IF(MOV_CC_INTL!B1396="","",MOV_CC_INTL!B1396)</f>
        <v/>
      </c>
      <c r="C1396" s="22" t="str">
        <f>IF(MOV_CC_INTL!C1396="","",MOV_CC_INTL!C1396)</f>
        <v/>
      </c>
      <c r="D1396" s="22" t="str">
        <f t="shared" si="1"/>
        <v>Other</v>
      </c>
      <c r="E1396" s="21" t="str">
        <f>IF(C1396="","",C1396*CONFIG!B5)</f>
        <v/>
      </c>
    </row>
    <row r="1397" ht="15.75" customHeight="1">
      <c r="A1397" s="22" t="str">
        <f>IF(MOV_CC_INTL!A1397="","",MOV_CC_INTL!A1397)</f>
        <v/>
      </c>
      <c r="B1397" s="22" t="str">
        <f>IF(MOV_CC_INTL!B1397="","",MOV_CC_INTL!B1397)</f>
        <v/>
      </c>
      <c r="C1397" s="22" t="str">
        <f>IF(MOV_CC_INTL!C1397="","",MOV_CC_INTL!C1397)</f>
        <v/>
      </c>
      <c r="D1397" s="22" t="str">
        <f t="shared" si="1"/>
        <v>Other</v>
      </c>
      <c r="E1397" s="21" t="str">
        <f>IF(C1397="","",C1397*CONFIG!B5)</f>
        <v/>
      </c>
    </row>
    <row r="1398" ht="15.75" customHeight="1">
      <c r="A1398" s="22" t="str">
        <f>IF(MOV_CC_INTL!A1398="","",MOV_CC_INTL!A1398)</f>
        <v/>
      </c>
      <c r="B1398" s="22" t="str">
        <f>IF(MOV_CC_INTL!B1398="","",MOV_CC_INTL!B1398)</f>
        <v/>
      </c>
      <c r="C1398" s="22" t="str">
        <f>IF(MOV_CC_INTL!C1398="","",MOV_CC_INTL!C1398)</f>
        <v/>
      </c>
      <c r="D1398" s="22" t="str">
        <f t="shared" si="1"/>
        <v>Other</v>
      </c>
      <c r="E1398" s="21" t="str">
        <f>IF(C1398="","",C1398*CONFIG!B5)</f>
        <v/>
      </c>
    </row>
    <row r="1399" ht="15.75" customHeight="1">
      <c r="A1399" s="22" t="str">
        <f>IF(MOV_CC_INTL!A1399="","",MOV_CC_INTL!A1399)</f>
        <v/>
      </c>
      <c r="B1399" s="22" t="str">
        <f>IF(MOV_CC_INTL!B1399="","",MOV_CC_INTL!B1399)</f>
        <v/>
      </c>
      <c r="C1399" s="22" t="str">
        <f>IF(MOV_CC_INTL!C1399="","",MOV_CC_INTL!C1399)</f>
        <v/>
      </c>
      <c r="D1399" s="22" t="str">
        <f t="shared" si="1"/>
        <v>Other</v>
      </c>
      <c r="E1399" s="21" t="str">
        <f>IF(C1399="","",C1399*CONFIG!B5)</f>
        <v/>
      </c>
    </row>
    <row r="1400" ht="15.75" customHeight="1">
      <c r="A1400" s="22" t="str">
        <f>IF(MOV_CC_INTL!A1400="","",MOV_CC_INTL!A1400)</f>
        <v/>
      </c>
      <c r="B1400" s="22" t="str">
        <f>IF(MOV_CC_INTL!B1400="","",MOV_CC_INTL!B1400)</f>
        <v/>
      </c>
      <c r="C1400" s="22" t="str">
        <f>IF(MOV_CC_INTL!C1400="","",MOV_CC_INTL!C1400)</f>
        <v/>
      </c>
      <c r="D1400" s="22" t="str">
        <f t="shared" si="1"/>
        <v>Other</v>
      </c>
      <c r="E1400" s="21" t="str">
        <f>IF(C1400="","",C1400*CONFIG!B5)</f>
        <v/>
      </c>
    </row>
    <row r="1401" ht="15.75" customHeight="1">
      <c r="A1401" s="22" t="str">
        <f>IF(MOV_CC_INTL!A1401="","",MOV_CC_INTL!A1401)</f>
        <v/>
      </c>
      <c r="B1401" s="22" t="str">
        <f>IF(MOV_CC_INTL!B1401="","",MOV_CC_INTL!B1401)</f>
        <v/>
      </c>
      <c r="C1401" s="22" t="str">
        <f>IF(MOV_CC_INTL!C1401="","",MOV_CC_INTL!C1401)</f>
        <v/>
      </c>
      <c r="D1401" s="22" t="str">
        <f t="shared" si="1"/>
        <v>Other</v>
      </c>
      <c r="E1401" s="21" t="str">
        <f>IF(C1401="","",C1401*CONFIG!B5)</f>
        <v/>
      </c>
    </row>
    <row r="1402" ht="15.75" customHeight="1">
      <c r="A1402" s="22" t="str">
        <f>IF(MOV_CC_INTL!A1402="","",MOV_CC_INTL!A1402)</f>
        <v/>
      </c>
      <c r="B1402" s="22" t="str">
        <f>IF(MOV_CC_INTL!B1402="","",MOV_CC_INTL!B1402)</f>
        <v/>
      </c>
      <c r="C1402" s="22" t="str">
        <f>IF(MOV_CC_INTL!C1402="","",MOV_CC_INTL!C1402)</f>
        <v/>
      </c>
      <c r="D1402" s="22" t="str">
        <f t="shared" si="1"/>
        <v>Other</v>
      </c>
      <c r="E1402" s="21" t="str">
        <f>IF(C1402="","",C1402*CONFIG!B5)</f>
        <v/>
      </c>
    </row>
    <row r="1403" ht="15.75" customHeight="1">
      <c r="A1403" s="22" t="str">
        <f>IF(MOV_CC_INTL!A1403="","",MOV_CC_INTL!A1403)</f>
        <v/>
      </c>
      <c r="B1403" s="22" t="str">
        <f>IF(MOV_CC_INTL!B1403="","",MOV_CC_INTL!B1403)</f>
        <v/>
      </c>
      <c r="C1403" s="22" t="str">
        <f>IF(MOV_CC_INTL!C1403="","",MOV_CC_INTL!C1403)</f>
        <v/>
      </c>
      <c r="D1403" s="22" t="str">
        <f t="shared" si="1"/>
        <v>Other</v>
      </c>
      <c r="E1403" s="21" t="str">
        <f>IF(C1403="","",C1403*CONFIG!B5)</f>
        <v/>
      </c>
    </row>
    <row r="1404" ht="15.75" customHeight="1">
      <c r="A1404" s="22" t="str">
        <f>IF(MOV_CC_INTL!A1404="","",MOV_CC_INTL!A1404)</f>
        <v/>
      </c>
      <c r="B1404" s="22" t="str">
        <f>IF(MOV_CC_INTL!B1404="","",MOV_CC_INTL!B1404)</f>
        <v/>
      </c>
      <c r="C1404" s="22" t="str">
        <f>IF(MOV_CC_INTL!C1404="","",MOV_CC_INTL!C1404)</f>
        <v/>
      </c>
      <c r="D1404" s="22" t="str">
        <f t="shared" si="1"/>
        <v>Other</v>
      </c>
      <c r="E1404" s="21" t="str">
        <f>IF(C1404="","",C1404*CONFIG!B5)</f>
        <v/>
      </c>
    </row>
    <row r="1405" ht="15.75" customHeight="1">
      <c r="A1405" s="22" t="str">
        <f>IF(MOV_CC_INTL!A1405="","",MOV_CC_INTL!A1405)</f>
        <v/>
      </c>
      <c r="B1405" s="22" t="str">
        <f>IF(MOV_CC_INTL!B1405="","",MOV_CC_INTL!B1405)</f>
        <v/>
      </c>
      <c r="C1405" s="22" t="str">
        <f>IF(MOV_CC_INTL!C1405="","",MOV_CC_INTL!C1405)</f>
        <v/>
      </c>
      <c r="D1405" s="22" t="str">
        <f t="shared" si="1"/>
        <v>Other</v>
      </c>
      <c r="E1405" s="21" t="str">
        <f>IF(C1405="","",C1405*CONFIG!B5)</f>
        <v/>
      </c>
    </row>
    <row r="1406" ht="15.75" customHeight="1">
      <c r="A1406" s="22" t="str">
        <f>IF(MOV_CC_INTL!A1406="","",MOV_CC_INTL!A1406)</f>
        <v/>
      </c>
      <c r="B1406" s="22" t="str">
        <f>IF(MOV_CC_INTL!B1406="","",MOV_CC_INTL!B1406)</f>
        <v/>
      </c>
      <c r="C1406" s="22" t="str">
        <f>IF(MOV_CC_INTL!C1406="","",MOV_CC_INTL!C1406)</f>
        <v/>
      </c>
      <c r="D1406" s="22" t="str">
        <f t="shared" si="1"/>
        <v>Other</v>
      </c>
      <c r="E1406" s="21" t="str">
        <f>IF(C1406="","",C1406*CONFIG!B5)</f>
        <v/>
      </c>
    </row>
    <row r="1407" ht="15.75" customHeight="1">
      <c r="A1407" s="22" t="str">
        <f>IF(MOV_CC_INTL!A1407="","",MOV_CC_INTL!A1407)</f>
        <v/>
      </c>
      <c r="B1407" s="22" t="str">
        <f>IF(MOV_CC_INTL!B1407="","",MOV_CC_INTL!B1407)</f>
        <v/>
      </c>
      <c r="C1407" s="22" t="str">
        <f>IF(MOV_CC_INTL!C1407="","",MOV_CC_INTL!C1407)</f>
        <v/>
      </c>
      <c r="D1407" s="22" t="str">
        <f t="shared" si="1"/>
        <v>Other</v>
      </c>
      <c r="E1407" s="21" t="str">
        <f>IF(C1407="","",C1407*CONFIG!B5)</f>
        <v/>
      </c>
    </row>
    <row r="1408" ht="15.75" customHeight="1">
      <c r="A1408" s="22" t="str">
        <f>IF(MOV_CC_INTL!A1408="","",MOV_CC_INTL!A1408)</f>
        <v/>
      </c>
      <c r="B1408" s="22" t="str">
        <f>IF(MOV_CC_INTL!B1408="","",MOV_CC_INTL!B1408)</f>
        <v/>
      </c>
      <c r="C1408" s="22" t="str">
        <f>IF(MOV_CC_INTL!C1408="","",MOV_CC_INTL!C1408)</f>
        <v/>
      </c>
      <c r="D1408" s="22" t="str">
        <f t="shared" si="1"/>
        <v>Other</v>
      </c>
      <c r="E1408" s="21" t="str">
        <f>IF(C1408="","",C1408*CONFIG!B5)</f>
        <v/>
      </c>
    </row>
    <row r="1409" ht="15.75" customHeight="1">
      <c r="A1409" s="22" t="str">
        <f>IF(MOV_CC_INTL!A1409="","",MOV_CC_INTL!A1409)</f>
        <v/>
      </c>
      <c r="B1409" s="22" t="str">
        <f>IF(MOV_CC_INTL!B1409="","",MOV_CC_INTL!B1409)</f>
        <v/>
      </c>
      <c r="C1409" s="22" t="str">
        <f>IF(MOV_CC_INTL!C1409="","",MOV_CC_INTL!C1409)</f>
        <v/>
      </c>
      <c r="D1409" s="22" t="str">
        <f t="shared" si="1"/>
        <v>Other</v>
      </c>
      <c r="E1409" s="21" t="str">
        <f>IF(C1409="","",C1409*CONFIG!B5)</f>
        <v/>
      </c>
    </row>
    <row r="1410" ht="15.75" customHeight="1">
      <c r="A1410" s="22" t="str">
        <f>IF(MOV_CC_INTL!A1410="","",MOV_CC_INTL!A1410)</f>
        <v/>
      </c>
      <c r="B1410" s="22" t="str">
        <f>IF(MOV_CC_INTL!B1410="","",MOV_CC_INTL!B1410)</f>
        <v/>
      </c>
      <c r="C1410" s="22" t="str">
        <f>IF(MOV_CC_INTL!C1410="","",MOV_CC_INTL!C1410)</f>
        <v/>
      </c>
      <c r="D1410" s="22" t="str">
        <f t="shared" si="1"/>
        <v>Other</v>
      </c>
      <c r="E1410" s="21" t="str">
        <f>IF(C1410="","",C1410*CONFIG!B5)</f>
        <v/>
      </c>
    </row>
    <row r="1411" ht="15.75" customHeight="1">
      <c r="A1411" s="22" t="str">
        <f>IF(MOV_CC_INTL!A1411="","",MOV_CC_INTL!A1411)</f>
        <v/>
      </c>
      <c r="B1411" s="22" t="str">
        <f>IF(MOV_CC_INTL!B1411="","",MOV_CC_INTL!B1411)</f>
        <v/>
      </c>
      <c r="C1411" s="22" t="str">
        <f>IF(MOV_CC_INTL!C1411="","",MOV_CC_INTL!C1411)</f>
        <v/>
      </c>
      <c r="D1411" s="22" t="str">
        <f t="shared" si="1"/>
        <v>Other</v>
      </c>
      <c r="E1411" s="21" t="str">
        <f>IF(C1411="","",C1411*CONFIG!B5)</f>
        <v/>
      </c>
    </row>
    <row r="1412" ht="15.75" customHeight="1">
      <c r="A1412" s="22" t="str">
        <f>IF(MOV_CC_INTL!A1412="","",MOV_CC_INTL!A1412)</f>
        <v/>
      </c>
      <c r="B1412" s="22" t="str">
        <f>IF(MOV_CC_INTL!B1412="","",MOV_CC_INTL!B1412)</f>
        <v/>
      </c>
      <c r="C1412" s="22" t="str">
        <f>IF(MOV_CC_INTL!C1412="","",MOV_CC_INTL!C1412)</f>
        <v/>
      </c>
      <c r="D1412" s="22" t="str">
        <f t="shared" si="1"/>
        <v>Other</v>
      </c>
      <c r="E1412" s="21" t="str">
        <f>IF(C1412="","",C1412*CONFIG!B5)</f>
        <v/>
      </c>
    </row>
    <row r="1413" ht="15.75" customHeight="1">
      <c r="A1413" s="22" t="str">
        <f>IF(MOV_CC_INTL!A1413="","",MOV_CC_INTL!A1413)</f>
        <v/>
      </c>
      <c r="B1413" s="22" t="str">
        <f>IF(MOV_CC_INTL!B1413="","",MOV_CC_INTL!B1413)</f>
        <v/>
      </c>
      <c r="C1413" s="22" t="str">
        <f>IF(MOV_CC_INTL!C1413="","",MOV_CC_INTL!C1413)</f>
        <v/>
      </c>
      <c r="D1413" s="22" t="str">
        <f t="shared" si="1"/>
        <v>Other</v>
      </c>
      <c r="E1413" s="21" t="str">
        <f>IF(C1413="","",C1413*CONFIG!B5)</f>
        <v/>
      </c>
    </row>
    <row r="1414" ht="15.75" customHeight="1">
      <c r="A1414" s="22" t="str">
        <f>IF(MOV_CC_INTL!A1414="","",MOV_CC_INTL!A1414)</f>
        <v/>
      </c>
      <c r="B1414" s="22" t="str">
        <f>IF(MOV_CC_INTL!B1414="","",MOV_CC_INTL!B1414)</f>
        <v/>
      </c>
      <c r="C1414" s="22" t="str">
        <f>IF(MOV_CC_INTL!C1414="","",MOV_CC_INTL!C1414)</f>
        <v/>
      </c>
      <c r="D1414" s="22" t="str">
        <f t="shared" si="1"/>
        <v>Other</v>
      </c>
      <c r="E1414" s="21" t="str">
        <f>IF(C1414="","",C1414*CONFIG!B5)</f>
        <v/>
      </c>
    </row>
    <row r="1415" ht="15.75" customHeight="1">
      <c r="A1415" s="22" t="str">
        <f>IF(MOV_CC_INTL!A1415="","",MOV_CC_INTL!A1415)</f>
        <v/>
      </c>
      <c r="B1415" s="22" t="str">
        <f>IF(MOV_CC_INTL!B1415="","",MOV_CC_INTL!B1415)</f>
        <v/>
      </c>
      <c r="C1415" s="22" t="str">
        <f>IF(MOV_CC_INTL!C1415="","",MOV_CC_INTL!C1415)</f>
        <v/>
      </c>
      <c r="D1415" s="22" t="str">
        <f t="shared" si="1"/>
        <v>Other</v>
      </c>
      <c r="E1415" s="21" t="str">
        <f>IF(C1415="","",C1415*CONFIG!B5)</f>
        <v/>
      </c>
    </row>
    <row r="1416" ht="15.75" customHeight="1">
      <c r="A1416" s="22" t="str">
        <f>IF(MOV_CC_INTL!A1416="","",MOV_CC_INTL!A1416)</f>
        <v/>
      </c>
      <c r="B1416" s="22" t="str">
        <f>IF(MOV_CC_INTL!B1416="","",MOV_CC_INTL!B1416)</f>
        <v/>
      </c>
      <c r="C1416" s="22" t="str">
        <f>IF(MOV_CC_INTL!C1416="","",MOV_CC_INTL!C1416)</f>
        <v/>
      </c>
      <c r="D1416" s="22" t="str">
        <f t="shared" si="1"/>
        <v>Other</v>
      </c>
      <c r="E1416" s="21" t="str">
        <f>IF(C1416="","",C1416*CONFIG!B5)</f>
        <v/>
      </c>
    </row>
    <row r="1417" ht="15.75" customHeight="1">
      <c r="A1417" s="22" t="str">
        <f>IF(MOV_CC_INTL!A1417="","",MOV_CC_INTL!A1417)</f>
        <v/>
      </c>
      <c r="B1417" s="22" t="str">
        <f>IF(MOV_CC_INTL!B1417="","",MOV_CC_INTL!B1417)</f>
        <v/>
      </c>
      <c r="C1417" s="22" t="str">
        <f>IF(MOV_CC_INTL!C1417="","",MOV_CC_INTL!C1417)</f>
        <v/>
      </c>
      <c r="D1417" s="22" t="str">
        <f t="shared" si="1"/>
        <v>Other</v>
      </c>
      <c r="E1417" s="21" t="str">
        <f>IF(C1417="","",C1417*CONFIG!B5)</f>
        <v/>
      </c>
    </row>
    <row r="1418" ht="15.75" customHeight="1">
      <c r="A1418" s="22" t="str">
        <f>IF(MOV_CC_INTL!A1418="","",MOV_CC_INTL!A1418)</f>
        <v/>
      </c>
      <c r="B1418" s="22" t="str">
        <f>IF(MOV_CC_INTL!B1418="","",MOV_CC_INTL!B1418)</f>
        <v/>
      </c>
      <c r="C1418" s="22" t="str">
        <f>IF(MOV_CC_INTL!C1418="","",MOV_CC_INTL!C1418)</f>
        <v/>
      </c>
      <c r="D1418" s="22" t="str">
        <f t="shared" si="1"/>
        <v>Other</v>
      </c>
      <c r="E1418" s="21" t="str">
        <f>IF(C1418="","",C1418*CONFIG!B5)</f>
        <v/>
      </c>
    </row>
    <row r="1419" ht="15.75" customHeight="1">
      <c r="A1419" s="22" t="str">
        <f>IF(MOV_CC_INTL!A1419="","",MOV_CC_INTL!A1419)</f>
        <v/>
      </c>
      <c r="B1419" s="22" t="str">
        <f>IF(MOV_CC_INTL!B1419="","",MOV_CC_INTL!B1419)</f>
        <v/>
      </c>
      <c r="C1419" s="22" t="str">
        <f>IF(MOV_CC_INTL!C1419="","",MOV_CC_INTL!C1419)</f>
        <v/>
      </c>
      <c r="D1419" s="22" t="str">
        <f t="shared" si="1"/>
        <v>Other</v>
      </c>
      <c r="E1419" s="21" t="str">
        <f>IF(C1419="","",C1419*CONFIG!B5)</f>
        <v/>
      </c>
    </row>
    <row r="1420" ht="15.75" customHeight="1">
      <c r="A1420" s="22" t="str">
        <f>IF(MOV_CC_INTL!A1420="","",MOV_CC_INTL!A1420)</f>
        <v/>
      </c>
      <c r="B1420" s="22" t="str">
        <f>IF(MOV_CC_INTL!B1420="","",MOV_CC_INTL!B1420)</f>
        <v/>
      </c>
      <c r="C1420" s="22" t="str">
        <f>IF(MOV_CC_INTL!C1420="","",MOV_CC_INTL!C1420)</f>
        <v/>
      </c>
      <c r="D1420" s="22" t="str">
        <f t="shared" si="1"/>
        <v>Other</v>
      </c>
      <c r="E1420" s="21" t="str">
        <f>IF(C1420="","",C1420*CONFIG!B5)</f>
        <v/>
      </c>
    </row>
    <row r="1421" ht="15.75" customHeight="1">
      <c r="A1421" s="22" t="str">
        <f>IF(MOV_CC_INTL!A1421="","",MOV_CC_INTL!A1421)</f>
        <v/>
      </c>
      <c r="B1421" s="22" t="str">
        <f>IF(MOV_CC_INTL!B1421="","",MOV_CC_INTL!B1421)</f>
        <v/>
      </c>
      <c r="C1421" s="22" t="str">
        <f>IF(MOV_CC_INTL!C1421="","",MOV_CC_INTL!C1421)</f>
        <v/>
      </c>
      <c r="D1421" s="22" t="str">
        <f t="shared" si="1"/>
        <v>Other</v>
      </c>
      <c r="E1421" s="21" t="str">
        <f>IF(C1421="","",C1421*CONFIG!B5)</f>
        <v/>
      </c>
    </row>
    <row r="1422" ht="15.75" customHeight="1">
      <c r="A1422" s="22" t="str">
        <f>IF(MOV_CC_INTL!A1422="","",MOV_CC_INTL!A1422)</f>
        <v/>
      </c>
      <c r="B1422" s="22" t="str">
        <f>IF(MOV_CC_INTL!B1422="","",MOV_CC_INTL!B1422)</f>
        <v/>
      </c>
      <c r="C1422" s="22" t="str">
        <f>IF(MOV_CC_INTL!C1422="","",MOV_CC_INTL!C1422)</f>
        <v/>
      </c>
      <c r="D1422" s="22" t="str">
        <f t="shared" si="1"/>
        <v>Other</v>
      </c>
      <c r="E1422" s="21" t="str">
        <f>IF(C1422="","",C1422*CONFIG!B5)</f>
        <v/>
      </c>
    </row>
    <row r="1423" ht="15.75" customHeight="1">
      <c r="A1423" s="22" t="str">
        <f>IF(MOV_CC_INTL!A1423="","",MOV_CC_INTL!A1423)</f>
        <v/>
      </c>
      <c r="B1423" s="22" t="str">
        <f>IF(MOV_CC_INTL!B1423="","",MOV_CC_INTL!B1423)</f>
        <v/>
      </c>
      <c r="C1423" s="22" t="str">
        <f>IF(MOV_CC_INTL!C1423="","",MOV_CC_INTL!C1423)</f>
        <v/>
      </c>
      <c r="D1423" s="22" t="str">
        <f t="shared" si="1"/>
        <v>Other</v>
      </c>
      <c r="E1423" s="21" t="str">
        <f>IF(C1423="","",C1423*CONFIG!B5)</f>
        <v/>
      </c>
    </row>
    <row r="1424" ht="15.75" customHeight="1">
      <c r="A1424" s="22" t="str">
        <f>IF(MOV_CC_INTL!A1424="","",MOV_CC_INTL!A1424)</f>
        <v/>
      </c>
      <c r="B1424" s="22" t="str">
        <f>IF(MOV_CC_INTL!B1424="","",MOV_CC_INTL!B1424)</f>
        <v/>
      </c>
      <c r="C1424" s="22" t="str">
        <f>IF(MOV_CC_INTL!C1424="","",MOV_CC_INTL!C1424)</f>
        <v/>
      </c>
      <c r="D1424" s="22" t="str">
        <f t="shared" si="1"/>
        <v>Other</v>
      </c>
      <c r="E1424" s="21" t="str">
        <f>IF(C1424="","",C1424*CONFIG!B5)</f>
        <v/>
      </c>
    </row>
    <row r="1425" ht="15.75" customHeight="1">
      <c r="A1425" s="22" t="str">
        <f>IF(MOV_CC_INTL!A1425="","",MOV_CC_INTL!A1425)</f>
        <v/>
      </c>
      <c r="B1425" s="22" t="str">
        <f>IF(MOV_CC_INTL!B1425="","",MOV_CC_INTL!B1425)</f>
        <v/>
      </c>
      <c r="C1425" s="22" t="str">
        <f>IF(MOV_CC_INTL!C1425="","",MOV_CC_INTL!C1425)</f>
        <v/>
      </c>
      <c r="D1425" s="22" t="str">
        <f t="shared" si="1"/>
        <v>Other</v>
      </c>
      <c r="E1425" s="21" t="str">
        <f>IF(C1425="","",C1425*CONFIG!B5)</f>
        <v/>
      </c>
    </row>
    <row r="1426" ht="15.75" customHeight="1">
      <c r="A1426" s="22" t="str">
        <f>IF(MOV_CC_INTL!A1426="","",MOV_CC_INTL!A1426)</f>
        <v/>
      </c>
      <c r="B1426" s="22" t="str">
        <f>IF(MOV_CC_INTL!B1426="","",MOV_CC_INTL!B1426)</f>
        <v/>
      </c>
      <c r="C1426" s="22" t="str">
        <f>IF(MOV_CC_INTL!C1426="","",MOV_CC_INTL!C1426)</f>
        <v/>
      </c>
      <c r="D1426" s="22" t="str">
        <f t="shared" si="1"/>
        <v>Other</v>
      </c>
      <c r="E1426" s="21" t="str">
        <f>IF(C1426="","",C1426*CONFIG!B5)</f>
        <v/>
      </c>
    </row>
    <row r="1427" ht="15.75" customHeight="1">
      <c r="A1427" s="22" t="str">
        <f>IF(MOV_CC_INTL!A1427="","",MOV_CC_INTL!A1427)</f>
        <v/>
      </c>
      <c r="B1427" s="22" t="str">
        <f>IF(MOV_CC_INTL!B1427="","",MOV_CC_INTL!B1427)</f>
        <v/>
      </c>
      <c r="C1427" s="22" t="str">
        <f>IF(MOV_CC_INTL!C1427="","",MOV_CC_INTL!C1427)</f>
        <v/>
      </c>
      <c r="D1427" s="22" t="str">
        <f t="shared" si="1"/>
        <v>Other</v>
      </c>
      <c r="E1427" s="21" t="str">
        <f>IF(C1427="","",C1427*CONFIG!B5)</f>
        <v/>
      </c>
    </row>
    <row r="1428" ht="15.75" customHeight="1">
      <c r="A1428" s="22" t="str">
        <f>IF(MOV_CC_INTL!A1428="","",MOV_CC_INTL!A1428)</f>
        <v/>
      </c>
      <c r="B1428" s="22" t="str">
        <f>IF(MOV_CC_INTL!B1428="","",MOV_CC_INTL!B1428)</f>
        <v/>
      </c>
      <c r="C1428" s="22" t="str">
        <f>IF(MOV_CC_INTL!C1428="","",MOV_CC_INTL!C1428)</f>
        <v/>
      </c>
      <c r="D1428" s="22" t="str">
        <f t="shared" si="1"/>
        <v>Other</v>
      </c>
      <c r="E1428" s="21" t="str">
        <f>IF(C1428="","",C1428*CONFIG!B5)</f>
        <v/>
      </c>
    </row>
    <row r="1429" ht="15.75" customHeight="1">
      <c r="A1429" s="22" t="str">
        <f>IF(MOV_CC_INTL!A1429="","",MOV_CC_INTL!A1429)</f>
        <v/>
      </c>
      <c r="B1429" s="22" t="str">
        <f>IF(MOV_CC_INTL!B1429="","",MOV_CC_INTL!B1429)</f>
        <v/>
      </c>
      <c r="C1429" s="22" t="str">
        <f>IF(MOV_CC_INTL!C1429="","",MOV_CC_INTL!C1429)</f>
        <v/>
      </c>
      <c r="D1429" s="22" t="str">
        <f t="shared" si="1"/>
        <v>Other</v>
      </c>
      <c r="E1429" s="21" t="str">
        <f>IF(C1429="","",C1429*CONFIG!B5)</f>
        <v/>
      </c>
    </row>
    <row r="1430" ht="15.75" customHeight="1">
      <c r="A1430" s="22" t="str">
        <f>IF(MOV_CC_INTL!A1430="","",MOV_CC_INTL!A1430)</f>
        <v/>
      </c>
      <c r="B1430" s="22" t="str">
        <f>IF(MOV_CC_INTL!B1430="","",MOV_CC_INTL!B1430)</f>
        <v/>
      </c>
      <c r="C1430" s="22" t="str">
        <f>IF(MOV_CC_INTL!C1430="","",MOV_CC_INTL!C1430)</f>
        <v/>
      </c>
      <c r="D1430" s="22" t="str">
        <f t="shared" si="1"/>
        <v>Other</v>
      </c>
      <c r="E1430" s="21" t="str">
        <f>IF(C1430="","",C1430*CONFIG!B5)</f>
        <v/>
      </c>
    </row>
    <row r="1431" ht="15.75" customHeight="1">
      <c r="A1431" s="22" t="str">
        <f>IF(MOV_CC_INTL!A1431="","",MOV_CC_INTL!A1431)</f>
        <v/>
      </c>
      <c r="B1431" s="22" t="str">
        <f>IF(MOV_CC_INTL!B1431="","",MOV_CC_INTL!B1431)</f>
        <v/>
      </c>
      <c r="C1431" s="22" t="str">
        <f>IF(MOV_CC_INTL!C1431="","",MOV_CC_INTL!C1431)</f>
        <v/>
      </c>
      <c r="D1431" s="22" t="str">
        <f t="shared" si="1"/>
        <v>Other</v>
      </c>
      <c r="E1431" s="21" t="str">
        <f>IF(C1431="","",C1431*CONFIG!B5)</f>
        <v/>
      </c>
    </row>
    <row r="1432" ht="15.75" customHeight="1">
      <c r="A1432" s="22" t="str">
        <f>IF(MOV_CC_INTL!A1432="","",MOV_CC_INTL!A1432)</f>
        <v/>
      </c>
      <c r="B1432" s="22" t="str">
        <f>IF(MOV_CC_INTL!B1432="","",MOV_CC_INTL!B1432)</f>
        <v/>
      </c>
      <c r="C1432" s="22" t="str">
        <f>IF(MOV_CC_INTL!C1432="","",MOV_CC_INTL!C1432)</f>
        <v/>
      </c>
      <c r="D1432" s="22" t="str">
        <f t="shared" si="1"/>
        <v>Other</v>
      </c>
      <c r="E1432" s="21" t="str">
        <f>IF(C1432="","",C1432*CONFIG!B5)</f>
        <v/>
      </c>
    </row>
    <row r="1433" ht="15.75" customHeight="1">
      <c r="A1433" s="22" t="str">
        <f>IF(MOV_CC_INTL!A1433="","",MOV_CC_INTL!A1433)</f>
        <v/>
      </c>
      <c r="B1433" s="22" t="str">
        <f>IF(MOV_CC_INTL!B1433="","",MOV_CC_INTL!B1433)</f>
        <v/>
      </c>
      <c r="C1433" s="22" t="str">
        <f>IF(MOV_CC_INTL!C1433="","",MOV_CC_INTL!C1433)</f>
        <v/>
      </c>
      <c r="D1433" s="22" t="str">
        <f t="shared" si="1"/>
        <v>Other</v>
      </c>
      <c r="E1433" s="21" t="str">
        <f>IF(C1433="","",C1433*CONFIG!B5)</f>
        <v/>
      </c>
    </row>
    <row r="1434" ht="15.75" customHeight="1">
      <c r="A1434" s="22" t="str">
        <f>IF(MOV_CC_INTL!A1434="","",MOV_CC_INTL!A1434)</f>
        <v/>
      </c>
      <c r="B1434" s="22" t="str">
        <f>IF(MOV_CC_INTL!B1434="","",MOV_CC_INTL!B1434)</f>
        <v/>
      </c>
      <c r="C1434" s="22" t="str">
        <f>IF(MOV_CC_INTL!C1434="","",MOV_CC_INTL!C1434)</f>
        <v/>
      </c>
      <c r="D1434" s="22" t="str">
        <f t="shared" si="1"/>
        <v>Other</v>
      </c>
      <c r="E1434" s="21" t="str">
        <f>IF(C1434="","",C1434*CONFIG!B5)</f>
        <v/>
      </c>
    </row>
    <row r="1435" ht="15.75" customHeight="1">
      <c r="A1435" s="22" t="str">
        <f>IF(MOV_CC_INTL!A1435="","",MOV_CC_INTL!A1435)</f>
        <v/>
      </c>
      <c r="B1435" s="22" t="str">
        <f>IF(MOV_CC_INTL!B1435="","",MOV_CC_INTL!B1435)</f>
        <v/>
      </c>
      <c r="C1435" s="22" t="str">
        <f>IF(MOV_CC_INTL!C1435="","",MOV_CC_INTL!C1435)</f>
        <v/>
      </c>
      <c r="D1435" s="22" t="str">
        <f t="shared" si="1"/>
        <v>Other</v>
      </c>
      <c r="E1435" s="21" t="str">
        <f>IF(C1435="","",C1435*CONFIG!B5)</f>
        <v/>
      </c>
    </row>
    <row r="1436" ht="15.75" customHeight="1">
      <c r="A1436" s="22" t="str">
        <f>IF(MOV_CC_INTL!A1436="","",MOV_CC_INTL!A1436)</f>
        <v/>
      </c>
      <c r="B1436" s="22" t="str">
        <f>IF(MOV_CC_INTL!B1436="","",MOV_CC_INTL!B1436)</f>
        <v/>
      </c>
      <c r="C1436" s="22" t="str">
        <f>IF(MOV_CC_INTL!C1436="","",MOV_CC_INTL!C1436)</f>
        <v/>
      </c>
      <c r="D1436" s="22" t="str">
        <f t="shared" si="1"/>
        <v>Other</v>
      </c>
      <c r="E1436" s="21" t="str">
        <f>IF(C1436="","",C1436*CONFIG!B5)</f>
        <v/>
      </c>
    </row>
    <row r="1437" ht="15.75" customHeight="1">
      <c r="A1437" s="22" t="str">
        <f>IF(MOV_CC_INTL!A1437="","",MOV_CC_INTL!A1437)</f>
        <v/>
      </c>
      <c r="B1437" s="22" t="str">
        <f>IF(MOV_CC_INTL!B1437="","",MOV_CC_INTL!B1437)</f>
        <v/>
      </c>
      <c r="C1437" s="22" t="str">
        <f>IF(MOV_CC_INTL!C1437="","",MOV_CC_INTL!C1437)</f>
        <v/>
      </c>
      <c r="D1437" s="22" t="str">
        <f t="shared" si="1"/>
        <v>Other</v>
      </c>
      <c r="E1437" s="21" t="str">
        <f>IF(C1437="","",C1437*CONFIG!B5)</f>
        <v/>
      </c>
    </row>
    <row r="1438" ht="15.75" customHeight="1">
      <c r="A1438" s="22" t="str">
        <f>IF(MOV_CC_INTL!A1438="","",MOV_CC_INTL!A1438)</f>
        <v/>
      </c>
      <c r="B1438" s="22" t="str">
        <f>IF(MOV_CC_INTL!B1438="","",MOV_CC_INTL!B1438)</f>
        <v/>
      </c>
      <c r="C1438" s="22" t="str">
        <f>IF(MOV_CC_INTL!C1438="","",MOV_CC_INTL!C1438)</f>
        <v/>
      </c>
      <c r="D1438" s="22" t="str">
        <f t="shared" si="1"/>
        <v>Other</v>
      </c>
      <c r="E1438" s="21" t="str">
        <f>IF(C1438="","",C1438*CONFIG!B5)</f>
        <v/>
      </c>
    </row>
    <row r="1439" ht="15.75" customHeight="1">
      <c r="A1439" s="22" t="str">
        <f>IF(MOV_CC_INTL!A1439="","",MOV_CC_INTL!A1439)</f>
        <v/>
      </c>
      <c r="B1439" s="22" t="str">
        <f>IF(MOV_CC_INTL!B1439="","",MOV_CC_INTL!B1439)</f>
        <v/>
      </c>
      <c r="C1439" s="22" t="str">
        <f>IF(MOV_CC_INTL!C1439="","",MOV_CC_INTL!C1439)</f>
        <v/>
      </c>
      <c r="D1439" s="22" t="str">
        <f t="shared" si="1"/>
        <v>Other</v>
      </c>
      <c r="E1439" s="21" t="str">
        <f>IF(C1439="","",C1439*CONFIG!B5)</f>
        <v/>
      </c>
    </row>
    <row r="1440" ht="15.75" customHeight="1">
      <c r="A1440" s="22" t="str">
        <f>IF(MOV_CC_INTL!A1440="","",MOV_CC_INTL!A1440)</f>
        <v/>
      </c>
      <c r="B1440" s="22" t="str">
        <f>IF(MOV_CC_INTL!B1440="","",MOV_CC_INTL!B1440)</f>
        <v/>
      </c>
      <c r="C1440" s="22" t="str">
        <f>IF(MOV_CC_INTL!C1440="","",MOV_CC_INTL!C1440)</f>
        <v/>
      </c>
      <c r="D1440" s="22" t="str">
        <f t="shared" si="1"/>
        <v>Other</v>
      </c>
      <c r="E1440" s="21" t="str">
        <f>IF(C1440="","",C1440*CONFIG!B5)</f>
        <v/>
      </c>
    </row>
    <row r="1441" ht="15.75" customHeight="1">
      <c r="A1441" s="22" t="str">
        <f>IF(MOV_CC_INTL!A1441="","",MOV_CC_INTL!A1441)</f>
        <v/>
      </c>
      <c r="B1441" s="22" t="str">
        <f>IF(MOV_CC_INTL!B1441="","",MOV_CC_INTL!B1441)</f>
        <v/>
      </c>
      <c r="C1441" s="22" t="str">
        <f>IF(MOV_CC_INTL!C1441="","",MOV_CC_INTL!C1441)</f>
        <v/>
      </c>
      <c r="D1441" s="22" t="str">
        <f t="shared" si="1"/>
        <v>Other</v>
      </c>
      <c r="E1441" s="21" t="str">
        <f>IF(C1441="","",C1441*CONFIG!B5)</f>
        <v/>
      </c>
    </row>
    <row r="1442" ht="15.75" customHeight="1">
      <c r="A1442" s="22" t="str">
        <f>IF(MOV_CC_INTL!A1442="","",MOV_CC_INTL!A1442)</f>
        <v/>
      </c>
      <c r="B1442" s="22" t="str">
        <f>IF(MOV_CC_INTL!B1442="","",MOV_CC_INTL!B1442)</f>
        <v/>
      </c>
      <c r="C1442" s="22" t="str">
        <f>IF(MOV_CC_INTL!C1442="","",MOV_CC_INTL!C1442)</f>
        <v/>
      </c>
      <c r="D1442" s="22" t="str">
        <f t="shared" si="1"/>
        <v>Other</v>
      </c>
      <c r="E1442" s="21" t="str">
        <f>IF(C1442="","",C1442*CONFIG!B5)</f>
        <v/>
      </c>
    </row>
    <row r="1443" ht="15.75" customHeight="1">
      <c r="A1443" s="22" t="str">
        <f>IF(MOV_CC_INTL!A1443="","",MOV_CC_INTL!A1443)</f>
        <v/>
      </c>
      <c r="B1443" s="22" t="str">
        <f>IF(MOV_CC_INTL!B1443="","",MOV_CC_INTL!B1443)</f>
        <v/>
      </c>
      <c r="C1443" s="22" t="str">
        <f>IF(MOV_CC_INTL!C1443="","",MOV_CC_INTL!C1443)</f>
        <v/>
      </c>
      <c r="D1443" s="22" t="str">
        <f t="shared" si="1"/>
        <v>Other</v>
      </c>
      <c r="E1443" s="21" t="str">
        <f>IF(C1443="","",C1443*CONFIG!B5)</f>
        <v/>
      </c>
    </row>
    <row r="1444" ht="15.75" customHeight="1">
      <c r="A1444" s="22" t="str">
        <f>IF(MOV_CC_INTL!A1444="","",MOV_CC_INTL!A1444)</f>
        <v/>
      </c>
      <c r="B1444" s="22" t="str">
        <f>IF(MOV_CC_INTL!B1444="","",MOV_CC_INTL!B1444)</f>
        <v/>
      </c>
      <c r="C1444" s="22" t="str">
        <f>IF(MOV_CC_INTL!C1444="","",MOV_CC_INTL!C1444)</f>
        <v/>
      </c>
      <c r="D1444" s="22" t="str">
        <f t="shared" si="1"/>
        <v>Other</v>
      </c>
      <c r="E1444" s="21" t="str">
        <f>IF(C1444="","",C1444*CONFIG!B5)</f>
        <v/>
      </c>
    </row>
    <row r="1445" ht="15.75" customHeight="1">
      <c r="A1445" s="22" t="str">
        <f>IF(MOV_CC_INTL!A1445="","",MOV_CC_INTL!A1445)</f>
        <v/>
      </c>
      <c r="B1445" s="22" t="str">
        <f>IF(MOV_CC_INTL!B1445="","",MOV_CC_INTL!B1445)</f>
        <v/>
      </c>
      <c r="C1445" s="22" t="str">
        <f>IF(MOV_CC_INTL!C1445="","",MOV_CC_INTL!C1445)</f>
        <v/>
      </c>
      <c r="D1445" s="22" t="str">
        <f t="shared" si="1"/>
        <v>Other</v>
      </c>
      <c r="E1445" s="21" t="str">
        <f>IF(C1445="","",C1445*CONFIG!B5)</f>
        <v/>
      </c>
    </row>
    <row r="1446" ht="15.75" customHeight="1">
      <c r="A1446" s="22" t="str">
        <f>IF(MOV_CC_INTL!A1446="","",MOV_CC_INTL!A1446)</f>
        <v/>
      </c>
      <c r="B1446" s="22" t="str">
        <f>IF(MOV_CC_INTL!B1446="","",MOV_CC_INTL!B1446)</f>
        <v/>
      </c>
      <c r="C1446" s="22" t="str">
        <f>IF(MOV_CC_INTL!C1446="","",MOV_CC_INTL!C1446)</f>
        <v/>
      </c>
      <c r="D1446" s="22" t="str">
        <f t="shared" si="1"/>
        <v>Other</v>
      </c>
      <c r="E1446" s="21" t="str">
        <f>IF(C1446="","",C1446*CONFIG!B5)</f>
        <v/>
      </c>
    </row>
    <row r="1447" ht="15.75" customHeight="1">
      <c r="A1447" s="22" t="str">
        <f>IF(MOV_CC_INTL!A1447="","",MOV_CC_INTL!A1447)</f>
        <v/>
      </c>
      <c r="B1447" s="22" t="str">
        <f>IF(MOV_CC_INTL!B1447="","",MOV_CC_INTL!B1447)</f>
        <v/>
      </c>
      <c r="C1447" s="22" t="str">
        <f>IF(MOV_CC_INTL!C1447="","",MOV_CC_INTL!C1447)</f>
        <v/>
      </c>
      <c r="D1447" s="22" t="str">
        <f t="shared" si="1"/>
        <v>Other</v>
      </c>
      <c r="E1447" s="21" t="str">
        <f>IF(C1447="","",C1447*CONFIG!B5)</f>
        <v/>
      </c>
    </row>
    <row r="1448" ht="15.75" customHeight="1">
      <c r="A1448" s="22" t="str">
        <f>IF(MOV_CC_INTL!A1448="","",MOV_CC_INTL!A1448)</f>
        <v/>
      </c>
      <c r="B1448" s="22" t="str">
        <f>IF(MOV_CC_INTL!B1448="","",MOV_CC_INTL!B1448)</f>
        <v/>
      </c>
      <c r="C1448" s="22" t="str">
        <f>IF(MOV_CC_INTL!C1448="","",MOV_CC_INTL!C1448)</f>
        <v/>
      </c>
      <c r="D1448" s="22" t="str">
        <f t="shared" si="1"/>
        <v>Other</v>
      </c>
      <c r="E1448" s="21" t="str">
        <f>IF(C1448="","",C1448*CONFIG!B5)</f>
        <v/>
      </c>
    </row>
    <row r="1449" ht="15.75" customHeight="1">
      <c r="A1449" s="22" t="str">
        <f>IF(MOV_CC_INTL!A1449="","",MOV_CC_INTL!A1449)</f>
        <v/>
      </c>
      <c r="B1449" s="22" t="str">
        <f>IF(MOV_CC_INTL!B1449="","",MOV_CC_INTL!B1449)</f>
        <v/>
      </c>
      <c r="C1449" s="22" t="str">
        <f>IF(MOV_CC_INTL!C1449="","",MOV_CC_INTL!C1449)</f>
        <v/>
      </c>
      <c r="D1449" s="22" t="str">
        <f t="shared" si="1"/>
        <v>Other</v>
      </c>
      <c r="E1449" s="21" t="str">
        <f>IF(C1449="","",C1449*CONFIG!B5)</f>
        <v/>
      </c>
    </row>
    <row r="1450" ht="15.75" customHeight="1">
      <c r="A1450" s="22" t="str">
        <f>IF(MOV_CC_INTL!A1450="","",MOV_CC_INTL!A1450)</f>
        <v/>
      </c>
      <c r="B1450" s="22" t="str">
        <f>IF(MOV_CC_INTL!B1450="","",MOV_CC_INTL!B1450)</f>
        <v/>
      </c>
      <c r="C1450" s="22" t="str">
        <f>IF(MOV_CC_INTL!C1450="","",MOV_CC_INTL!C1450)</f>
        <v/>
      </c>
      <c r="D1450" s="22" t="str">
        <f t="shared" si="1"/>
        <v>Other</v>
      </c>
      <c r="E1450" s="21" t="str">
        <f>IF(C1450="","",C1450*CONFIG!B5)</f>
        <v/>
      </c>
    </row>
    <row r="1451" ht="15.75" customHeight="1">
      <c r="A1451" s="22" t="str">
        <f>IF(MOV_CC_INTL!A1451="","",MOV_CC_INTL!A1451)</f>
        <v/>
      </c>
      <c r="B1451" s="22" t="str">
        <f>IF(MOV_CC_INTL!B1451="","",MOV_CC_INTL!B1451)</f>
        <v/>
      </c>
      <c r="C1451" s="22" t="str">
        <f>IF(MOV_CC_INTL!C1451="","",MOV_CC_INTL!C1451)</f>
        <v/>
      </c>
      <c r="D1451" s="22" t="str">
        <f t="shared" si="1"/>
        <v>Other</v>
      </c>
      <c r="E1451" s="21" t="str">
        <f>IF(C1451="","",C1451*CONFIG!B5)</f>
        <v/>
      </c>
    </row>
    <row r="1452" ht="15.75" customHeight="1">
      <c r="A1452" s="22" t="str">
        <f>IF(MOV_CC_INTL!A1452="","",MOV_CC_INTL!A1452)</f>
        <v/>
      </c>
      <c r="B1452" s="22" t="str">
        <f>IF(MOV_CC_INTL!B1452="","",MOV_CC_INTL!B1452)</f>
        <v/>
      </c>
      <c r="C1452" s="22" t="str">
        <f>IF(MOV_CC_INTL!C1452="","",MOV_CC_INTL!C1452)</f>
        <v/>
      </c>
      <c r="D1452" s="22" t="str">
        <f t="shared" si="1"/>
        <v>Other</v>
      </c>
      <c r="E1452" s="21" t="str">
        <f>IF(C1452="","",C1452*CONFIG!B5)</f>
        <v/>
      </c>
    </row>
    <row r="1453" ht="15.75" customHeight="1">
      <c r="A1453" s="22" t="str">
        <f>IF(MOV_CC_INTL!A1453="","",MOV_CC_INTL!A1453)</f>
        <v/>
      </c>
      <c r="B1453" s="22" t="str">
        <f>IF(MOV_CC_INTL!B1453="","",MOV_CC_INTL!B1453)</f>
        <v/>
      </c>
      <c r="C1453" s="22" t="str">
        <f>IF(MOV_CC_INTL!C1453="","",MOV_CC_INTL!C1453)</f>
        <v/>
      </c>
      <c r="D1453" s="22" t="str">
        <f t="shared" si="1"/>
        <v>Other</v>
      </c>
      <c r="E1453" s="21" t="str">
        <f>IF(C1453="","",C1453*CONFIG!B5)</f>
        <v/>
      </c>
    </row>
    <row r="1454" ht="15.75" customHeight="1">
      <c r="A1454" s="22" t="str">
        <f>IF(MOV_CC_INTL!A1454="","",MOV_CC_INTL!A1454)</f>
        <v/>
      </c>
      <c r="B1454" s="22" t="str">
        <f>IF(MOV_CC_INTL!B1454="","",MOV_CC_INTL!B1454)</f>
        <v/>
      </c>
      <c r="C1454" s="22" t="str">
        <f>IF(MOV_CC_INTL!C1454="","",MOV_CC_INTL!C1454)</f>
        <v/>
      </c>
      <c r="D1454" s="22" t="str">
        <f t="shared" si="1"/>
        <v>Other</v>
      </c>
      <c r="E1454" s="21" t="str">
        <f>IF(C1454="","",C1454*CONFIG!B5)</f>
        <v/>
      </c>
    </row>
    <row r="1455" ht="15.75" customHeight="1">
      <c r="A1455" s="22" t="str">
        <f>IF(MOV_CC_INTL!A1455="","",MOV_CC_INTL!A1455)</f>
        <v/>
      </c>
      <c r="B1455" s="22" t="str">
        <f>IF(MOV_CC_INTL!B1455="","",MOV_CC_INTL!B1455)</f>
        <v/>
      </c>
      <c r="C1455" s="22" t="str">
        <f>IF(MOV_CC_INTL!C1455="","",MOV_CC_INTL!C1455)</f>
        <v/>
      </c>
      <c r="D1455" s="22" t="str">
        <f t="shared" si="1"/>
        <v>Other</v>
      </c>
      <c r="E1455" s="21" t="str">
        <f>IF(C1455="","",C1455*CONFIG!B5)</f>
        <v/>
      </c>
    </row>
    <row r="1456" ht="15.75" customHeight="1">
      <c r="A1456" s="22" t="str">
        <f>IF(MOV_CC_INTL!A1456="","",MOV_CC_INTL!A1456)</f>
        <v/>
      </c>
      <c r="B1456" s="22" t="str">
        <f>IF(MOV_CC_INTL!B1456="","",MOV_CC_INTL!B1456)</f>
        <v/>
      </c>
      <c r="C1456" s="22" t="str">
        <f>IF(MOV_CC_INTL!C1456="","",MOV_CC_INTL!C1456)</f>
        <v/>
      </c>
      <c r="D1456" s="22" t="str">
        <f t="shared" si="1"/>
        <v>Other</v>
      </c>
      <c r="E1456" s="21" t="str">
        <f>IF(C1456="","",C1456*CONFIG!B5)</f>
        <v/>
      </c>
    </row>
    <row r="1457" ht="15.75" customHeight="1">
      <c r="A1457" s="22" t="str">
        <f>IF(MOV_CC_INTL!A1457="","",MOV_CC_INTL!A1457)</f>
        <v/>
      </c>
      <c r="B1457" s="22" t="str">
        <f>IF(MOV_CC_INTL!B1457="","",MOV_CC_INTL!B1457)</f>
        <v/>
      </c>
      <c r="C1457" s="22" t="str">
        <f>IF(MOV_CC_INTL!C1457="","",MOV_CC_INTL!C1457)</f>
        <v/>
      </c>
      <c r="D1457" s="22" t="str">
        <f t="shared" si="1"/>
        <v>Other</v>
      </c>
      <c r="E1457" s="21" t="str">
        <f>IF(C1457="","",C1457*CONFIG!B5)</f>
        <v/>
      </c>
    </row>
    <row r="1458" ht="15.75" customHeight="1">
      <c r="A1458" s="22" t="str">
        <f>IF(MOV_CC_INTL!A1458="","",MOV_CC_INTL!A1458)</f>
        <v/>
      </c>
      <c r="B1458" s="22" t="str">
        <f>IF(MOV_CC_INTL!B1458="","",MOV_CC_INTL!B1458)</f>
        <v/>
      </c>
      <c r="C1458" s="22" t="str">
        <f>IF(MOV_CC_INTL!C1458="","",MOV_CC_INTL!C1458)</f>
        <v/>
      </c>
      <c r="D1458" s="22" t="str">
        <f t="shared" si="1"/>
        <v>Other</v>
      </c>
      <c r="E1458" s="21" t="str">
        <f>IF(C1458="","",C1458*CONFIG!B5)</f>
        <v/>
      </c>
    </row>
    <row r="1459" ht="15.75" customHeight="1">
      <c r="A1459" s="22" t="str">
        <f>IF(MOV_CC_INTL!A1459="","",MOV_CC_INTL!A1459)</f>
        <v/>
      </c>
      <c r="B1459" s="22" t="str">
        <f>IF(MOV_CC_INTL!B1459="","",MOV_CC_INTL!B1459)</f>
        <v/>
      </c>
      <c r="C1459" s="22" t="str">
        <f>IF(MOV_CC_INTL!C1459="","",MOV_CC_INTL!C1459)</f>
        <v/>
      </c>
      <c r="D1459" s="22" t="str">
        <f t="shared" si="1"/>
        <v>Other</v>
      </c>
      <c r="E1459" s="21" t="str">
        <f>IF(C1459="","",C1459*CONFIG!B5)</f>
        <v/>
      </c>
    </row>
    <row r="1460" ht="15.75" customHeight="1">
      <c r="A1460" s="22" t="str">
        <f>IF(MOV_CC_INTL!A1460="","",MOV_CC_INTL!A1460)</f>
        <v/>
      </c>
      <c r="B1460" s="22" t="str">
        <f>IF(MOV_CC_INTL!B1460="","",MOV_CC_INTL!B1460)</f>
        <v/>
      </c>
      <c r="C1460" s="22" t="str">
        <f>IF(MOV_CC_INTL!C1460="","",MOV_CC_INTL!C1460)</f>
        <v/>
      </c>
      <c r="D1460" s="22" t="str">
        <f t="shared" si="1"/>
        <v>Other</v>
      </c>
      <c r="E1460" s="21" t="str">
        <f>IF(C1460="","",C1460*CONFIG!B5)</f>
        <v/>
      </c>
    </row>
    <row r="1461" ht="15.75" customHeight="1">
      <c r="A1461" s="22" t="str">
        <f>IF(MOV_CC_INTL!A1461="","",MOV_CC_INTL!A1461)</f>
        <v/>
      </c>
      <c r="B1461" s="22" t="str">
        <f>IF(MOV_CC_INTL!B1461="","",MOV_CC_INTL!B1461)</f>
        <v/>
      </c>
      <c r="C1461" s="22" t="str">
        <f>IF(MOV_CC_INTL!C1461="","",MOV_CC_INTL!C1461)</f>
        <v/>
      </c>
      <c r="D1461" s="22" t="str">
        <f t="shared" si="1"/>
        <v>Other</v>
      </c>
      <c r="E1461" s="21" t="str">
        <f>IF(C1461="","",C1461*CONFIG!B5)</f>
        <v/>
      </c>
    </row>
    <row r="1462" ht="15.75" customHeight="1">
      <c r="A1462" s="22" t="str">
        <f>IF(MOV_CC_INTL!A1462="","",MOV_CC_INTL!A1462)</f>
        <v/>
      </c>
      <c r="B1462" s="22" t="str">
        <f>IF(MOV_CC_INTL!B1462="","",MOV_CC_INTL!B1462)</f>
        <v/>
      </c>
      <c r="C1462" s="22" t="str">
        <f>IF(MOV_CC_INTL!C1462="","",MOV_CC_INTL!C1462)</f>
        <v/>
      </c>
      <c r="D1462" s="22" t="str">
        <f t="shared" si="1"/>
        <v>Other</v>
      </c>
      <c r="E1462" s="21" t="str">
        <f>IF(C1462="","",C1462*CONFIG!B5)</f>
        <v/>
      </c>
    </row>
    <row r="1463" ht="15.75" customHeight="1">
      <c r="A1463" s="22" t="str">
        <f>IF(MOV_CC_INTL!A1463="","",MOV_CC_INTL!A1463)</f>
        <v/>
      </c>
      <c r="B1463" s="22" t="str">
        <f>IF(MOV_CC_INTL!B1463="","",MOV_CC_INTL!B1463)</f>
        <v/>
      </c>
      <c r="C1463" s="22" t="str">
        <f>IF(MOV_CC_INTL!C1463="","",MOV_CC_INTL!C1463)</f>
        <v/>
      </c>
      <c r="D1463" s="22" t="str">
        <f t="shared" si="1"/>
        <v>Other</v>
      </c>
      <c r="E1463" s="21" t="str">
        <f>IF(C1463="","",C1463*CONFIG!B5)</f>
        <v/>
      </c>
    </row>
    <row r="1464" ht="15.75" customHeight="1">
      <c r="A1464" s="22" t="str">
        <f>IF(MOV_CC_INTL!A1464="","",MOV_CC_INTL!A1464)</f>
        <v/>
      </c>
      <c r="B1464" s="22" t="str">
        <f>IF(MOV_CC_INTL!B1464="","",MOV_CC_INTL!B1464)</f>
        <v/>
      </c>
      <c r="C1464" s="22" t="str">
        <f>IF(MOV_CC_INTL!C1464="","",MOV_CC_INTL!C1464)</f>
        <v/>
      </c>
      <c r="D1464" s="22" t="str">
        <f t="shared" si="1"/>
        <v>Other</v>
      </c>
      <c r="E1464" s="21" t="str">
        <f>IF(C1464="","",C1464*CONFIG!B5)</f>
        <v/>
      </c>
    </row>
    <row r="1465" ht="15.75" customHeight="1">
      <c r="A1465" s="22" t="str">
        <f>IF(MOV_CC_INTL!A1465="","",MOV_CC_INTL!A1465)</f>
        <v/>
      </c>
      <c r="B1465" s="22" t="str">
        <f>IF(MOV_CC_INTL!B1465="","",MOV_CC_INTL!B1465)</f>
        <v/>
      </c>
      <c r="C1465" s="22" t="str">
        <f>IF(MOV_CC_INTL!C1465="","",MOV_CC_INTL!C1465)</f>
        <v/>
      </c>
      <c r="D1465" s="22" t="str">
        <f t="shared" si="1"/>
        <v>Other</v>
      </c>
      <c r="E1465" s="21" t="str">
        <f>IF(C1465="","",C1465*CONFIG!B5)</f>
        <v/>
      </c>
    </row>
    <row r="1466" ht="15.75" customHeight="1">
      <c r="A1466" s="22" t="str">
        <f>IF(MOV_CC_INTL!A1466="","",MOV_CC_INTL!A1466)</f>
        <v/>
      </c>
      <c r="B1466" s="22" t="str">
        <f>IF(MOV_CC_INTL!B1466="","",MOV_CC_INTL!B1466)</f>
        <v/>
      </c>
      <c r="C1466" s="22" t="str">
        <f>IF(MOV_CC_INTL!C1466="","",MOV_CC_INTL!C1466)</f>
        <v/>
      </c>
      <c r="D1466" s="22" t="str">
        <f t="shared" si="1"/>
        <v>Other</v>
      </c>
      <c r="E1466" s="21" t="str">
        <f>IF(C1466="","",C1466*CONFIG!B5)</f>
        <v/>
      </c>
    </row>
    <row r="1467" ht="15.75" customHeight="1">
      <c r="A1467" s="22" t="str">
        <f>IF(MOV_CC_INTL!A1467="","",MOV_CC_INTL!A1467)</f>
        <v/>
      </c>
      <c r="B1467" s="22" t="str">
        <f>IF(MOV_CC_INTL!B1467="","",MOV_CC_INTL!B1467)</f>
        <v/>
      </c>
      <c r="C1467" s="22" t="str">
        <f>IF(MOV_CC_INTL!C1467="","",MOV_CC_INTL!C1467)</f>
        <v/>
      </c>
      <c r="D1467" s="22" t="str">
        <f t="shared" si="1"/>
        <v>Other</v>
      </c>
      <c r="E1467" s="21" t="str">
        <f>IF(C1467="","",C1467*CONFIG!B5)</f>
        <v/>
      </c>
    </row>
    <row r="1468" ht="15.75" customHeight="1">
      <c r="A1468" s="22" t="str">
        <f>IF(MOV_CC_INTL!A1468="","",MOV_CC_INTL!A1468)</f>
        <v/>
      </c>
      <c r="B1468" s="22" t="str">
        <f>IF(MOV_CC_INTL!B1468="","",MOV_CC_INTL!B1468)</f>
        <v/>
      </c>
      <c r="C1468" s="22" t="str">
        <f>IF(MOV_CC_INTL!C1468="","",MOV_CC_INTL!C1468)</f>
        <v/>
      </c>
      <c r="D1468" s="22" t="str">
        <f t="shared" si="1"/>
        <v>Other</v>
      </c>
      <c r="E1468" s="21" t="str">
        <f>IF(C1468="","",C1468*CONFIG!B5)</f>
        <v/>
      </c>
    </row>
    <row r="1469" ht="15.75" customHeight="1">
      <c r="A1469" s="22" t="str">
        <f>IF(MOV_CC_INTL!A1469="","",MOV_CC_INTL!A1469)</f>
        <v/>
      </c>
      <c r="B1469" s="22" t="str">
        <f>IF(MOV_CC_INTL!B1469="","",MOV_CC_INTL!B1469)</f>
        <v/>
      </c>
      <c r="C1469" s="22" t="str">
        <f>IF(MOV_CC_INTL!C1469="","",MOV_CC_INTL!C1469)</f>
        <v/>
      </c>
      <c r="D1469" s="22" t="str">
        <f t="shared" si="1"/>
        <v>Other</v>
      </c>
      <c r="E1469" s="21" t="str">
        <f>IF(C1469="","",C1469*CONFIG!B5)</f>
        <v/>
      </c>
    </row>
    <row r="1470" ht="15.75" customHeight="1">
      <c r="A1470" s="22" t="str">
        <f>IF(MOV_CC_INTL!A1470="","",MOV_CC_INTL!A1470)</f>
        <v/>
      </c>
      <c r="B1470" s="22" t="str">
        <f>IF(MOV_CC_INTL!B1470="","",MOV_CC_INTL!B1470)</f>
        <v/>
      </c>
      <c r="C1470" s="22" t="str">
        <f>IF(MOV_CC_INTL!C1470="","",MOV_CC_INTL!C1470)</f>
        <v/>
      </c>
      <c r="D1470" s="22" t="str">
        <f t="shared" si="1"/>
        <v>Other</v>
      </c>
      <c r="E1470" s="21" t="str">
        <f>IF(C1470="","",C1470*CONFIG!B5)</f>
        <v/>
      </c>
    </row>
    <row r="1471" ht="15.75" customHeight="1">
      <c r="A1471" s="22" t="str">
        <f>IF(MOV_CC_INTL!A1471="","",MOV_CC_INTL!A1471)</f>
        <v/>
      </c>
      <c r="B1471" s="22" t="str">
        <f>IF(MOV_CC_INTL!B1471="","",MOV_CC_INTL!B1471)</f>
        <v/>
      </c>
      <c r="C1471" s="22" t="str">
        <f>IF(MOV_CC_INTL!C1471="","",MOV_CC_INTL!C1471)</f>
        <v/>
      </c>
      <c r="D1471" s="22" t="str">
        <f t="shared" si="1"/>
        <v>Other</v>
      </c>
      <c r="E1471" s="21" t="str">
        <f>IF(C1471="","",C1471*CONFIG!B5)</f>
        <v/>
      </c>
    </row>
    <row r="1472" ht="15.75" customHeight="1">
      <c r="A1472" s="22" t="str">
        <f>IF(MOV_CC_INTL!A1472="","",MOV_CC_INTL!A1472)</f>
        <v/>
      </c>
      <c r="B1472" s="22" t="str">
        <f>IF(MOV_CC_INTL!B1472="","",MOV_CC_INTL!B1472)</f>
        <v/>
      </c>
      <c r="C1472" s="22" t="str">
        <f>IF(MOV_CC_INTL!C1472="","",MOV_CC_INTL!C1472)</f>
        <v/>
      </c>
      <c r="D1472" s="22" t="str">
        <f t="shared" si="1"/>
        <v>Other</v>
      </c>
      <c r="E1472" s="21" t="str">
        <f>IF(C1472="","",C1472*CONFIG!B5)</f>
        <v/>
      </c>
    </row>
    <row r="1473" ht="15.75" customHeight="1">
      <c r="A1473" s="22" t="str">
        <f>IF(MOV_CC_INTL!A1473="","",MOV_CC_INTL!A1473)</f>
        <v/>
      </c>
      <c r="B1473" s="22" t="str">
        <f>IF(MOV_CC_INTL!B1473="","",MOV_CC_INTL!B1473)</f>
        <v/>
      </c>
      <c r="C1473" s="22" t="str">
        <f>IF(MOV_CC_INTL!C1473="","",MOV_CC_INTL!C1473)</f>
        <v/>
      </c>
      <c r="D1473" s="22" t="str">
        <f t="shared" si="1"/>
        <v>Other</v>
      </c>
      <c r="E1473" s="21" t="str">
        <f>IF(C1473="","",C1473*CONFIG!B5)</f>
        <v/>
      </c>
    </row>
    <row r="1474" ht="15.75" customHeight="1">
      <c r="A1474" s="22" t="str">
        <f>IF(MOV_CC_INTL!A1474="","",MOV_CC_INTL!A1474)</f>
        <v/>
      </c>
      <c r="B1474" s="22" t="str">
        <f>IF(MOV_CC_INTL!B1474="","",MOV_CC_INTL!B1474)</f>
        <v/>
      </c>
      <c r="C1474" s="22" t="str">
        <f>IF(MOV_CC_INTL!C1474="","",MOV_CC_INTL!C1474)</f>
        <v/>
      </c>
      <c r="D1474" s="22" t="str">
        <f t="shared" si="1"/>
        <v>Other</v>
      </c>
      <c r="E1474" s="21" t="str">
        <f>IF(C1474="","",C1474*CONFIG!B5)</f>
        <v/>
      </c>
    </row>
    <row r="1475" ht="15.75" customHeight="1">
      <c r="A1475" s="22" t="str">
        <f>IF(MOV_CC_INTL!A1475="","",MOV_CC_INTL!A1475)</f>
        <v/>
      </c>
      <c r="B1475" s="22" t="str">
        <f>IF(MOV_CC_INTL!B1475="","",MOV_CC_INTL!B1475)</f>
        <v/>
      </c>
      <c r="C1475" s="22" t="str">
        <f>IF(MOV_CC_INTL!C1475="","",MOV_CC_INTL!C1475)</f>
        <v/>
      </c>
      <c r="D1475" s="22" t="str">
        <f t="shared" si="1"/>
        <v>Other</v>
      </c>
      <c r="E1475" s="21" t="str">
        <f>IF(C1475="","",C1475*CONFIG!B5)</f>
        <v/>
      </c>
    </row>
    <row r="1476" ht="15.75" customHeight="1">
      <c r="A1476" s="22" t="str">
        <f>IF(MOV_CC_INTL!A1476="","",MOV_CC_INTL!A1476)</f>
        <v/>
      </c>
      <c r="B1476" s="22" t="str">
        <f>IF(MOV_CC_INTL!B1476="","",MOV_CC_INTL!B1476)</f>
        <v/>
      </c>
      <c r="C1476" s="22" t="str">
        <f>IF(MOV_CC_INTL!C1476="","",MOV_CC_INTL!C1476)</f>
        <v/>
      </c>
      <c r="D1476" s="22" t="str">
        <f t="shared" si="1"/>
        <v>Other</v>
      </c>
      <c r="E1476" s="21" t="str">
        <f>IF(C1476="","",C1476*CONFIG!B5)</f>
        <v/>
      </c>
    </row>
    <row r="1477" ht="15.75" customHeight="1">
      <c r="A1477" s="22" t="str">
        <f>IF(MOV_CC_INTL!A1477="","",MOV_CC_INTL!A1477)</f>
        <v/>
      </c>
      <c r="B1477" s="22" t="str">
        <f>IF(MOV_CC_INTL!B1477="","",MOV_CC_INTL!B1477)</f>
        <v/>
      </c>
      <c r="C1477" s="22" t="str">
        <f>IF(MOV_CC_INTL!C1477="","",MOV_CC_INTL!C1477)</f>
        <v/>
      </c>
      <c r="D1477" s="22" t="str">
        <f t="shared" si="1"/>
        <v>Other</v>
      </c>
      <c r="E1477" s="21" t="str">
        <f>IF(C1477="","",C1477*CONFIG!B5)</f>
        <v/>
      </c>
    </row>
    <row r="1478" ht="15.75" customHeight="1">
      <c r="A1478" s="22" t="str">
        <f>IF(MOV_CC_INTL!A1478="","",MOV_CC_INTL!A1478)</f>
        <v/>
      </c>
      <c r="B1478" s="22" t="str">
        <f>IF(MOV_CC_INTL!B1478="","",MOV_CC_INTL!B1478)</f>
        <v/>
      </c>
      <c r="C1478" s="22" t="str">
        <f>IF(MOV_CC_INTL!C1478="","",MOV_CC_INTL!C1478)</f>
        <v/>
      </c>
      <c r="D1478" s="22" t="str">
        <f t="shared" si="1"/>
        <v>Other</v>
      </c>
      <c r="E1478" s="21" t="str">
        <f>IF(C1478="","",C1478*CONFIG!B5)</f>
        <v/>
      </c>
    </row>
    <row r="1479" ht="15.75" customHeight="1">
      <c r="A1479" s="22" t="str">
        <f>IF(MOV_CC_INTL!A1479="","",MOV_CC_INTL!A1479)</f>
        <v/>
      </c>
      <c r="B1479" s="22" t="str">
        <f>IF(MOV_CC_INTL!B1479="","",MOV_CC_INTL!B1479)</f>
        <v/>
      </c>
      <c r="C1479" s="22" t="str">
        <f>IF(MOV_CC_INTL!C1479="","",MOV_CC_INTL!C1479)</f>
        <v/>
      </c>
      <c r="D1479" s="22" t="str">
        <f t="shared" si="1"/>
        <v>Other</v>
      </c>
      <c r="E1479" s="21" t="str">
        <f>IF(C1479="","",C1479*CONFIG!B5)</f>
        <v/>
      </c>
    </row>
    <row r="1480" ht="15.75" customHeight="1">
      <c r="A1480" s="22" t="str">
        <f>IF(MOV_CC_INTL!A1480="","",MOV_CC_INTL!A1480)</f>
        <v/>
      </c>
      <c r="B1480" s="22" t="str">
        <f>IF(MOV_CC_INTL!B1480="","",MOV_CC_INTL!B1480)</f>
        <v/>
      </c>
      <c r="C1480" s="22" t="str">
        <f>IF(MOV_CC_INTL!C1480="","",MOV_CC_INTL!C1480)</f>
        <v/>
      </c>
      <c r="D1480" s="22" t="str">
        <f t="shared" si="1"/>
        <v>Other</v>
      </c>
      <c r="E1480" s="21" t="str">
        <f>IF(C1480="","",C1480*CONFIG!B5)</f>
        <v/>
      </c>
    </row>
    <row r="1481" ht="15.75" customHeight="1">
      <c r="A1481" s="22" t="str">
        <f>IF(MOV_CC_INTL!A1481="","",MOV_CC_INTL!A1481)</f>
        <v/>
      </c>
      <c r="B1481" s="22" t="str">
        <f>IF(MOV_CC_INTL!B1481="","",MOV_CC_INTL!B1481)</f>
        <v/>
      </c>
      <c r="C1481" s="22" t="str">
        <f>IF(MOV_CC_INTL!C1481="","",MOV_CC_INTL!C1481)</f>
        <v/>
      </c>
      <c r="D1481" s="22" t="str">
        <f t="shared" si="1"/>
        <v>Other</v>
      </c>
      <c r="E1481" s="21" t="str">
        <f>IF(C1481="","",C1481*CONFIG!B5)</f>
        <v/>
      </c>
    </row>
    <row r="1482" ht="15.75" customHeight="1">
      <c r="A1482" s="22" t="str">
        <f>IF(MOV_CC_INTL!A1482="","",MOV_CC_INTL!A1482)</f>
        <v/>
      </c>
      <c r="B1482" s="22" t="str">
        <f>IF(MOV_CC_INTL!B1482="","",MOV_CC_INTL!B1482)</f>
        <v/>
      </c>
      <c r="C1482" s="22" t="str">
        <f>IF(MOV_CC_INTL!C1482="","",MOV_CC_INTL!C1482)</f>
        <v/>
      </c>
      <c r="D1482" s="22" t="str">
        <f t="shared" si="1"/>
        <v>Other</v>
      </c>
      <c r="E1482" s="21" t="str">
        <f>IF(C1482="","",C1482*CONFIG!B5)</f>
        <v/>
      </c>
    </row>
    <row r="1483" ht="15.75" customHeight="1">
      <c r="A1483" s="22" t="str">
        <f>IF(MOV_CC_INTL!A1483="","",MOV_CC_INTL!A1483)</f>
        <v/>
      </c>
      <c r="B1483" s="22" t="str">
        <f>IF(MOV_CC_INTL!B1483="","",MOV_CC_INTL!B1483)</f>
        <v/>
      </c>
      <c r="C1483" s="22" t="str">
        <f>IF(MOV_CC_INTL!C1483="","",MOV_CC_INTL!C1483)</f>
        <v/>
      </c>
      <c r="D1483" s="22" t="str">
        <f t="shared" si="1"/>
        <v>Other</v>
      </c>
      <c r="E1483" s="21" t="str">
        <f>IF(C1483="","",C1483*CONFIG!B5)</f>
        <v/>
      </c>
    </row>
    <row r="1484" ht="15.75" customHeight="1">
      <c r="A1484" s="22" t="str">
        <f>IF(MOV_CC_INTL!A1484="","",MOV_CC_INTL!A1484)</f>
        <v/>
      </c>
      <c r="B1484" s="22" t="str">
        <f>IF(MOV_CC_INTL!B1484="","",MOV_CC_INTL!B1484)</f>
        <v/>
      </c>
      <c r="C1484" s="22" t="str">
        <f>IF(MOV_CC_INTL!C1484="","",MOV_CC_INTL!C1484)</f>
        <v/>
      </c>
      <c r="D1484" s="22" t="str">
        <f t="shared" si="1"/>
        <v>Other</v>
      </c>
      <c r="E1484" s="21" t="str">
        <f>IF(C1484="","",C1484*CONFIG!B5)</f>
        <v/>
      </c>
    </row>
    <row r="1485" ht="15.75" customHeight="1">
      <c r="A1485" s="22" t="str">
        <f>IF(MOV_CC_INTL!A1485="","",MOV_CC_INTL!A1485)</f>
        <v/>
      </c>
      <c r="B1485" s="22" t="str">
        <f>IF(MOV_CC_INTL!B1485="","",MOV_CC_INTL!B1485)</f>
        <v/>
      </c>
      <c r="C1485" s="22" t="str">
        <f>IF(MOV_CC_INTL!C1485="","",MOV_CC_INTL!C1485)</f>
        <v/>
      </c>
      <c r="D1485" s="22" t="str">
        <f t="shared" si="1"/>
        <v>Other</v>
      </c>
      <c r="E1485" s="21" t="str">
        <f>IF(C1485="","",C1485*CONFIG!B5)</f>
        <v/>
      </c>
    </row>
    <row r="1486" ht="15.75" customHeight="1">
      <c r="A1486" s="22" t="str">
        <f>IF(MOV_CC_INTL!A1486="","",MOV_CC_INTL!A1486)</f>
        <v/>
      </c>
      <c r="B1486" s="22" t="str">
        <f>IF(MOV_CC_INTL!B1486="","",MOV_CC_INTL!B1486)</f>
        <v/>
      </c>
      <c r="C1486" s="22" t="str">
        <f>IF(MOV_CC_INTL!C1486="","",MOV_CC_INTL!C1486)</f>
        <v/>
      </c>
      <c r="D1486" s="22" t="str">
        <f t="shared" si="1"/>
        <v>Other</v>
      </c>
      <c r="E1486" s="21" t="str">
        <f>IF(C1486="","",C1486*CONFIG!B5)</f>
        <v/>
      </c>
    </row>
    <row r="1487" ht="15.75" customHeight="1">
      <c r="A1487" s="22" t="str">
        <f>IF(MOV_CC_INTL!A1487="","",MOV_CC_INTL!A1487)</f>
        <v/>
      </c>
      <c r="B1487" s="22" t="str">
        <f>IF(MOV_CC_INTL!B1487="","",MOV_CC_INTL!B1487)</f>
        <v/>
      </c>
      <c r="C1487" s="22" t="str">
        <f>IF(MOV_CC_INTL!C1487="","",MOV_CC_INTL!C1487)</f>
        <v/>
      </c>
      <c r="D1487" s="22" t="str">
        <f t="shared" si="1"/>
        <v>Other</v>
      </c>
      <c r="E1487" s="21" t="str">
        <f>IF(C1487="","",C1487*CONFIG!B5)</f>
        <v/>
      </c>
    </row>
    <row r="1488" ht="15.75" customHeight="1">
      <c r="A1488" s="22" t="str">
        <f>IF(MOV_CC_INTL!A1488="","",MOV_CC_INTL!A1488)</f>
        <v/>
      </c>
      <c r="B1488" s="22" t="str">
        <f>IF(MOV_CC_INTL!B1488="","",MOV_CC_INTL!B1488)</f>
        <v/>
      </c>
      <c r="C1488" s="22" t="str">
        <f>IF(MOV_CC_INTL!C1488="","",MOV_CC_INTL!C1488)</f>
        <v/>
      </c>
      <c r="D1488" s="22" t="str">
        <f t="shared" si="1"/>
        <v>Other</v>
      </c>
      <c r="E1488" s="21" t="str">
        <f>IF(C1488="","",C1488*CONFIG!B5)</f>
        <v/>
      </c>
    </row>
    <row r="1489" ht="15.75" customHeight="1">
      <c r="A1489" s="22" t="str">
        <f>IF(MOV_CC_INTL!A1489="","",MOV_CC_INTL!A1489)</f>
        <v/>
      </c>
      <c r="B1489" s="22" t="str">
        <f>IF(MOV_CC_INTL!B1489="","",MOV_CC_INTL!B1489)</f>
        <v/>
      </c>
      <c r="C1489" s="22" t="str">
        <f>IF(MOV_CC_INTL!C1489="","",MOV_CC_INTL!C1489)</f>
        <v/>
      </c>
      <c r="D1489" s="22" t="str">
        <f t="shared" si="1"/>
        <v>Other</v>
      </c>
      <c r="E1489" s="21" t="str">
        <f>IF(C1489="","",C1489*CONFIG!B5)</f>
        <v/>
      </c>
    </row>
    <row r="1490" ht="15.75" customHeight="1">
      <c r="A1490" s="22" t="str">
        <f>IF(MOV_CC_INTL!A1490="","",MOV_CC_INTL!A1490)</f>
        <v/>
      </c>
      <c r="B1490" s="22" t="str">
        <f>IF(MOV_CC_INTL!B1490="","",MOV_CC_INTL!B1490)</f>
        <v/>
      </c>
      <c r="C1490" s="22" t="str">
        <f>IF(MOV_CC_INTL!C1490="","",MOV_CC_INTL!C1490)</f>
        <v/>
      </c>
      <c r="D1490" s="22" t="str">
        <f t="shared" si="1"/>
        <v>Other</v>
      </c>
      <c r="E1490" s="21" t="str">
        <f>IF(C1490="","",C1490*CONFIG!B5)</f>
        <v/>
      </c>
    </row>
    <row r="1491" ht="15.75" customHeight="1">
      <c r="A1491" s="22" t="str">
        <f>IF(MOV_CC_INTL!A1491="","",MOV_CC_INTL!A1491)</f>
        <v/>
      </c>
      <c r="B1491" s="22" t="str">
        <f>IF(MOV_CC_INTL!B1491="","",MOV_CC_INTL!B1491)</f>
        <v/>
      </c>
      <c r="C1491" s="22" t="str">
        <f>IF(MOV_CC_INTL!C1491="","",MOV_CC_INTL!C1491)</f>
        <v/>
      </c>
      <c r="D1491" s="22" t="str">
        <f t="shared" si="1"/>
        <v>Other</v>
      </c>
      <c r="E1491" s="21" t="str">
        <f>IF(C1491="","",C1491*CONFIG!B5)</f>
        <v/>
      </c>
    </row>
    <row r="1492" ht="15.75" customHeight="1">
      <c r="A1492" s="22" t="str">
        <f>IF(MOV_CC_INTL!A1492="","",MOV_CC_INTL!A1492)</f>
        <v/>
      </c>
      <c r="B1492" s="22" t="str">
        <f>IF(MOV_CC_INTL!B1492="","",MOV_CC_INTL!B1492)</f>
        <v/>
      </c>
      <c r="C1492" s="22" t="str">
        <f>IF(MOV_CC_INTL!C1492="","",MOV_CC_INTL!C1492)</f>
        <v/>
      </c>
      <c r="D1492" s="22" t="str">
        <f t="shared" si="1"/>
        <v>Other</v>
      </c>
      <c r="E1492" s="21" t="str">
        <f>IF(C1492="","",C1492*CONFIG!B5)</f>
        <v/>
      </c>
    </row>
    <row r="1493" ht="15.75" customHeight="1">
      <c r="A1493" s="22" t="str">
        <f>IF(MOV_CC_INTL!A1493="","",MOV_CC_INTL!A1493)</f>
        <v/>
      </c>
      <c r="B1493" s="22" t="str">
        <f>IF(MOV_CC_INTL!B1493="","",MOV_CC_INTL!B1493)</f>
        <v/>
      </c>
      <c r="C1493" s="22" t="str">
        <f>IF(MOV_CC_INTL!C1493="","",MOV_CC_INTL!C1493)</f>
        <v/>
      </c>
      <c r="D1493" s="22" t="str">
        <f t="shared" si="1"/>
        <v>Other</v>
      </c>
      <c r="E1493" s="21" t="str">
        <f>IF(C1493="","",C1493*CONFIG!B5)</f>
        <v/>
      </c>
    </row>
    <row r="1494" ht="15.75" customHeight="1">
      <c r="A1494" s="22" t="str">
        <f>IF(MOV_CC_INTL!A1494="","",MOV_CC_INTL!A1494)</f>
        <v/>
      </c>
      <c r="B1494" s="22" t="str">
        <f>IF(MOV_CC_INTL!B1494="","",MOV_CC_INTL!B1494)</f>
        <v/>
      </c>
      <c r="C1494" s="22" t="str">
        <f>IF(MOV_CC_INTL!C1494="","",MOV_CC_INTL!C1494)</f>
        <v/>
      </c>
      <c r="D1494" s="22" t="str">
        <f t="shared" si="1"/>
        <v>Other</v>
      </c>
      <c r="E1494" s="21" t="str">
        <f>IF(C1494="","",C1494*CONFIG!B5)</f>
        <v/>
      </c>
    </row>
    <row r="1495" ht="15.75" customHeight="1">
      <c r="A1495" s="22" t="str">
        <f>IF(MOV_CC_INTL!A1495="","",MOV_CC_INTL!A1495)</f>
        <v/>
      </c>
      <c r="B1495" s="22" t="str">
        <f>IF(MOV_CC_INTL!B1495="","",MOV_CC_INTL!B1495)</f>
        <v/>
      </c>
      <c r="C1495" s="22" t="str">
        <f>IF(MOV_CC_INTL!C1495="","",MOV_CC_INTL!C1495)</f>
        <v/>
      </c>
      <c r="D1495" s="22" t="str">
        <f t="shared" si="1"/>
        <v>Other</v>
      </c>
      <c r="E1495" s="21" t="str">
        <f>IF(C1495="","",C1495*CONFIG!B5)</f>
        <v/>
      </c>
    </row>
    <row r="1496" ht="15.75" customHeight="1">
      <c r="A1496" s="22" t="str">
        <f>IF(MOV_CC_INTL!A1496="","",MOV_CC_INTL!A1496)</f>
        <v/>
      </c>
      <c r="B1496" s="22" t="str">
        <f>IF(MOV_CC_INTL!B1496="","",MOV_CC_INTL!B1496)</f>
        <v/>
      </c>
      <c r="C1496" s="22" t="str">
        <f>IF(MOV_CC_INTL!C1496="","",MOV_CC_INTL!C1496)</f>
        <v/>
      </c>
      <c r="D1496" s="22" t="str">
        <f t="shared" si="1"/>
        <v>Other</v>
      </c>
      <c r="E1496" s="21" t="str">
        <f>IF(C1496="","",C1496*CONFIG!B5)</f>
        <v/>
      </c>
    </row>
    <row r="1497" ht="15.75" customHeight="1">
      <c r="A1497" s="22" t="str">
        <f>IF(MOV_CC_INTL!A1497="","",MOV_CC_INTL!A1497)</f>
        <v/>
      </c>
      <c r="B1497" s="22" t="str">
        <f>IF(MOV_CC_INTL!B1497="","",MOV_CC_INTL!B1497)</f>
        <v/>
      </c>
      <c r="C1497" s="22" t="str">
        <f>IF(MOV_CC_INTL!C1497="","",MOV_CC_INTL!C1497)</f>
        <v/>
      </c>
      <c r="D1497" s="22" t="str">
        <f t="shared" si="1"/>
        <v>Other</v>
      </c>
      <c r="E1497" s="21" t="str">
        <f>IF(C1497="","",C1497*CONFIG!B5)</f>
        <v/>
      </c>
    </row>
    <row r="1498" ht="15.75" customHeight="1">
      <c r="A1498" s="22" t="str">
        <f>IF(MOV_CC_INTL!A1498="","",MOV_CC_INTL!A1498)</f>
        <v/>
      </c>
      <c r="B1498" s="22" t="str">
        <f>IF(MOV_CC_INTL!B1498="","",MOV_CC_INTL!B1498)</f>
        <v/>
      </c>
      <c r="C1498" s="22" t="str">
        <f>IF(MOV_CC_INTL!C1498="","",MOV_CC_INTL!C1498)</f>
        <v/>
      </c>
      <c r="D1498" s="22" t="str">
        <f t="shared" si="1"/>
        <v>Other</v>
      </c>
      <c r="E1498" s="21" t="str">
        <f>IF(C1498="","",C1498*CONFIG!B5)</f>
        <v/>
      </c>
    </row>
    <row r="1499" ht="15.75" customHeight="1">
      <c r="A1499" s="22" t="str">
        <f>IF(MOV_CC_INTL!A1499="","",MOV_CC_INTL!A1499)</f>
        <v/>
      </c>
      <c r="B1499" s="22" t="str">
        <f>IF(MOV_CC_INTL!B1499="","",MOV_CC_INTL!B1499)</f>
        <v/>
      </c>
      <c r="C1499" s="22" t="str">
        <f>IF(MOV_CC_INTL!C1499="","",MOV_CC_INTL!C1499)</f>
        <v/>
      </c>
      <c r="D1499" s="22" t="str">
        <f t="shared" si="1"/>
        <v>Other</v>
      </c>
      <c r="E1499" s="21" t="str">
        <f>IF(C1499="","",C1499*CONFIG!B5)</f>
        <v/>
      </c>
    </row>
    <row r="1500" ht="15.75" customHeight="1">
      <c r="A1500" s="22" t="str">
        <f>IF(MOV_CC_INTL!A1500="","",MOV_CC_INTL!A1500)</f>
        <v/>
      </c>
      <c r="B1500" s="22" t="str">
        <f>IF(MOV_CC_INTL!B1500="","",MOV_CC_INTL!B1500)</f>
        <v/>
      </c>
      <c r="C1500" s="22" t="str">
        <f>IF(MOV_CC_INTL!C1500="","",MOV_CC_INTL!C1500)</f>
        <v/>
      </c>
      <c r="D1500" s="22" t="str">
        <f t="shared" si="1"/>
        <v>Other</v>
      </c>
      <c r="E1500" s="21" t="str">
        <f>IF(C1500="","",C1500*CONFIG!B5)</f>
        <v/>
      </c>
    </row>
    <row r="1501" ht="15.75" customHeight="1">
      <c r="A1501" s="22" t="str">
        <f>IF(MOV_CC_INTL!A1501="","",MOV_CC_INTL!A1501)</f>
        <v/>
      </c>
      <c r="B1501" s="22" t="str">
        <f>IF(MOV_CC_INTL!B1501="","",MOV_CC_INTL!B1501)</f>
        <v/>
      </c>
      <c r="C1501" s="22" t="str">
        <f>IF(MOV_CC_INTL!C1501="","",MOV_CC_INTL!C1501)</f>
        <v/>
      </c>
      <c r="D1501" s="22" t="str">
        <f t="shared" si="1"/>
        <v>Other</v>
      </c>
      <c r="E1501" s="21" t="str">
        <f>IF(C1501="","",C1501*CONFIG!B5)</f>
        <v/>
      </c>
    </row>
    <row r="1502" ht="15.75" customHeight="1">
      <c r="A1502" s="22" t="str">
        <f>IF(MOV_CC_INTL!A1502="","",MOV_CC_INTL!A1502)</f>
        <v/>
      </c>
      <c r="B1502" s="22" t="str">
        <f>IF(MOV_CC_INTL!B1502="","",MOV_CC_INTL!B1502)</f>
        <v/>
      </c>
      <c r="C1502" s="22" t="str">
        <f>IF(MOV_CC_INTL!C1502="","",MOV_CC_INTL!C1502)</f>
        <v/>
      </c>
      <c r="D1502" s="22" t="str">
        <f t="shared" si="1"/>
        <v>Other</v>
      </c>
      <c r="E1502" s="21" t="str">
        <f>IF(C1502="","",C1502*CONFIG!B5)</f>
        <v/>
      </c>
    </row>
    <row r="1503" ht="15.75" customHeight="1">
      <c r="A1503" s="22" t="str">
        <f>IF(MOV_CC_INTL!A1503="","",MOV_CC_INTL!A1503)</f>
        <v/>
      </c>
      <c r="B1503" s="22" t="str">
        <f>IF(MOV_CC_INTL!B1503="","",MOV_CC_INTL!B1503)</f>
        <v/>
      </c>
      <c r="C1503" s="22" t="str">
        <f>IF(MOV_CC_INTL!C1503="","",MOV_CC_INTL!C1503)</f>
        <v/>
      </c>
      <c r="D1503" s="22" t="str">
        <f t="shared" si="1"/>
        <v>Other</v>
      </c>
      <c r="E1503" s="21" t="str">
        <f>IF(C1503="","",C1503*CONFIG!B5)</f>
        <v/>
      </c>
    </row>
    <row r="1504" ht="15.75" customHeight="1">
      <c r="A1504" s="22" t="str">
        <f>IF(MOV_CC_INTL!A1504="","",MOV_CC_INTL!A1504)</f>
        <v/>
      </c>
      <c r="B1504" s="22" t="str">
        <f>IF(MOV_CC_INTL!B1504="","",MOV_CC_INTL!B1504)</f>
        <v/>
      </c>
      <c r="C1504" s="22" t="str">
        <f>IF(MOV_CC_INTL!C1504="","",MOV_CC_INTL!C1504)</f>
        <v/>
      </c>
      <c r="D1504" s="22" t="str">
        <f t="shared" si="1"/>
        <v>Other</v>
      </c>
      <c r="E1504" s="21" t="str">
        <f>IF(C1504="","",C1504*CONFIG!B5)</f>
        <v/>
      </c>
    </row>
    <row r="1505" ht="15.75" customHeight="1">
      <c r="A1505" s="22" t="str">
        <f>IF(MOV_CC_INTL!A1505="","",MOV_CC_INTL!A1505)</f>
        <v/>
      </c>
      <c r="B1505" s="22" t="str">
        <f>IF(MOV_CC_INTL!B1505="","",MOV_CC_INTL!B1505)</f>
        <v/>
      </c>
      <c r="C1505" s="22" t="str">
        <f>IF(MOV_CC_INTL!C1505="","",MOV_CC_INTL!C1505)</f>
        <v/>
      </c>
      <c r="D1505" s="22" t="str">
        <f t="shared" si="1"/>
        <v>Other</v>
      </c>
      <c r="E1505" s="21" t="str">
        <f>IF(C1505="","",C1505*CONFIG!B5)</f>
        <v/>
      </c>
    </row>
    <row r="1506" ht="15.75" customHeight="1">
      <c r="A1506" s="22" t="str">
        <f>IF(MOV_CC_INTL!A1506="","",MOV_CC_INTL!A1506)</f>
        <v/>
      </c>
      <c r="B1506" s="22" t="str">
        <f>IF(MOV_CC_INTL!B1506="","",MOV_CC_INTL!B1506)</f>
        <v/>
      </c>
      <c r="C1506" s="22" t="str">
        <f>IF(MOV_CC_INTL!C1506="","",MOV_CC_INTL!C1506)</f>
        <v/>
      </c>
      <c r="D1506" s="22" t="str">
        <f t="shared" si="1"/>
        <v>Other</v>
      </c>
      <c r="E1506" s="21" t="str">
        <f>IF(C1506="","",C1506*CONFIG!B5)</f>
        <v/>
      </c>
    </row>
    <row r="1507" ht="15.75" customHeight="1">
      <c r="A1507" s="22" t="str">
        <f>IF(MOV_CC_INTL!A1507="","",MOV_CC_INTL!A1507)</f>
        <v/>
      </c>
      <c r="B1507" s="22" t="str">
        <f>IF(MOV_CC_INTL!B1507="","",MOV_CC_INTL!B1507)</f>
        <v/>
      </c>
      <c r="C1507" s="22" t="str">
        <f>IF(MOV_CC_INTL!C1507="","",MOV_CC_INTL!C1507)</f>
        <v/>
      </c>
      <c r="D1507" s="22" t="str">
        <f t="shared" si="1"/>
        <v>Other</v>
      </c>
      <c r="E1507" s="21" t="str">
        <f>IF(C1507="","",C1507*CONFIG!B5)</f>
        <v/>
      </c>
    </row>
    <row r="1508" ht="15.75" customHeight="1">
      <c r="A1508" s="22" t="str">
        <f>IF(MOV_CC_INTL!A1508="","",MOV_CC_INTL!A1508)</f>
        <v/>
      </c>
      <c r="B1508" s="22" t="str">
        <f>IF(MOV_CC_INTL!B1508="","",MOV_CC_INTL!B1508)</f>
        <v/>
      </c>
      <c r="C1508" s="22" t="str">
        <f>IF(MOV_CC_INTL!C1508="","",MOV_CC_INTL!C1508)</f>
        <v/>
      </c>
      <c r="D1508" s="22" t="str">
        <f t="shared" si="1"/>
        <v>Other</v>
      </c>
      <c r="E1508" s="21" t="str">
        <f>IF(C1508="","",C1508*CONFIG!B5)</f>
        <v/>
      </c>
    </row>
    <row r="1509" ht="15.75" customHeight="1">
      <c r="A1509" s="22" t="str">
        <f>IF(MOV_CC_INTL!A1509="","",MOV_CC_INTL!A1509)</f>
        <v/>
      </c>
      <c r="B1509" s="22" t="str">
        <f>IF(MOV_CC_INTL!B1509="","",MOV_CC_INTL!B1509)</f>
        <v/>
      </c>
      <c r="C1509" s="22" t="str">
        <f>IF(MOV_CC_INTL!C1509="","",MOV_CC_INTL!C1509)</f>
        <v/>
      </c>
      <c r="D1509" s="22" t="str">
        <f t="shared" si="1"/>
        <v>Other</v>
      </c>
      <c r="E1509" s="21" t="str">
        <f>IF(C1509="","",C1509*CONFIG!B5)</f>
        <v/>
      </c>
    </row>
    <row r="1510" ht="15.75" customHeight="1">
      <c r="A1510" s="22" t="str">
        <f>IF(MOV_CC_INTL!A1510="","",MOV_CC_INTL!A1510)</f>
        <v/>
      </c>
      <c r="B1510" s="22" t="str">
        <f>IF(MOV_CC_INTL!B1510="","",MOV_CC_INTL!B1510)</f>
        <v/>
      </c>
      <c r="C1510" s="22" t="str">
        <f>IF(MOV_CC_INTL!C1510="","",MOV_CC_INTL!C1510)</f>
        <v/>
      </c>
      <c r="D1510" s="22" t="str">
        <f t="shared" si="1"/>
        <v>Other</v>
      </c>
      <c r="E1510" s="21" t="str">
        <f>IF(C1510="","",C1510*CONFIG!B5)</f>
        <v/>
      </c>
    </row>
    <row r="1511" ht="15.75" customHeight="1">
      <c r="A1511" s="22" t="str">
        <f>IF(MOV_CC_INTL!A1511="","",MOV_CC_INTL!A1511)</f>
        <v/>
      </c>
      <c r="B1511" s="22" t="str">
        <f>IF(MOV_CC_INTL!B1511="","",MOV_CC_INTL!B1511)</f>
        <v/>
      </c>
      <c r="C1511" s="22" t="str">
        <f>IF(MOV_CC_INTL!C1511="","",MOV_CC_INTL!C1511)</f>
        <v/>
      </c>
      <c r="D1511" s="22" t="str">
        <f t="shared" si="1"/>
        <v>Other</v>
      </c>
      <c r="E1511" s="21" t="str">
        <f>IF(C1511="","",C1511*CONFIG!B5)</f>
        <v/>
      </c>
    </row>
    <row r="1512" ht="15.75" customHeight="1">
      <c r="A1512" s="22" t="str">
        <f>IF(MOV_CC_INTL!A1512="","",MOV_CC_INTL!A1512)</f>
        <v/>
      </c>
      <c r="B1512" s="22" t="str">
        <f>IF(MOV_CC_INTL!B1512="","",MOV_CC_INTL!B1512)</f>
        <v/>
      </c>
      <c r="C1512" s="22" t="str">
        <f>IF(MOV_CC_INTL!C1512="","",MOV_CC_INTL!C1512)</f>
        <v/>
      </c>
      <c r="D1512" s="22" t="str">
        <f t="shared" si="1"/>
        <v>Other</v>
      </c>
      <c r="E1512" s="21" t="str">
        <f>IF(C1512="","",C1512*CONFIG!B5)</f>
        <v/>
      </c>
    </row>
    <row r="1513" ht="15.75" customHeight="1">
      <c r="A1513" s="22" t="str">
        <f>IF(MOV_CC_INTL!A1513="","",MOV_CC_INTL!A1513)</f>
        <v/>
      </c>
      <c r="B1513" s="22" t="str">
        <f>IF(MOV_CC_INTL!B1513="","",MOV_CC_INTL!B1513)</f>
        <v/>
      </c>
      <c r="C1513" s="22" t="str">
        <f>IF(MOV_CC_INTL!C1513="","",MOV_CC_INTL!C1513)</f>
        <v/>
      </c>
      <c r="D1513" s="22" t="str">
        <f t="shared" si="1"/>
        <v>Other</v>
      </c>
      <c r="E1513" s="21" t="str">
        <f>IF(C1513="","",C1513*CONFIG!B5)</f>
        <v/>
      </c>
    </row>
    <row r="1514" ht="15.75" customHeight="1">
      <c r="A1514" s="22" t="str">
        <f>IF(MOV_CC_INTL!A1514="","",MOV_CC_INTL!A1514)</f>
        <v/>
      </c>
      <c r="B1514" s="22" t="str">
        <f>IF(MOV_CC_INTL!B1514="","",MOV_CC_INTL!B1514)</f>
        <v/>
      </c>
      <c r="C1514" s="22" t="str">
        <f>IF(MOV_CC_INTL!C1514="","",MOV_CC_INTL!C1514)</f>
        <v/>
      </c>
      <c r="D1514" s="22" t="str">
        <f t="shared" si="1"/>
        <v>Other</v>
      </c>
      <c r="E1514" s="21" t="str">
        <f>IF(C1514="","",C1514*CONFIG!B5)</f>
        <v/>
      </c>
    </row>
    <row r="1515" ht="15.75" customHeight="1">
      <c r="A1515" s="22" t="str">
        <f>IF(MOV_CC_INTL!A1515="","",MOV_CC_INTL!A1515)</f>
        <v/>
      </c>
      <c r="B1515" s="22" t="str">
        <f>IF(MOV_CC_INTL!B1515="","",MOV_CC_INTL!B1515)</f>
        <v/>
      </c>
      <c r="C1515" s="22" t="str">
        <f>IF(MOV_CC_INTL!C1515="","",MOV_CC_INTL!C1515)</f>
        <v/>
      </c>
      <c r="D1515" s="22" t="str">
        <f t="shared" si="1"/>
        <v>Other</v>
      </c>
      <c r="E1515" s="21" t="str">
        <f>IF(C1515="","",C1515*CONFIG!B5)</f>
        <v/>
      </c>
    </row>
    <row r="1516" ht="15.75" customHeight="1">
      <c r="A1516" s="22" t="str">
        <f>IF(MOV_CC_INTL!A1516="","",MOV_CC_INTL!A1516)</f>
        <v/>
      </c>
      <c r="B1516" s="22" t="str">
        <f>IF(MOV_CC_INTL!B1516="","",MOV_CC_INTL!B1516)</f>
        <v/>
      </c>
      <c r="C1516" s="22" t="str">
        <f>IF(MOV_CC_INTL!C1516="","",MOV_CC_INTL!C1516)</f>
        <v/>
      </c>
      <c r="D1516" s="22" t="str">
        <f t="shared" si="1"/>
        <v>Other</v>
      </c>
      <c r="E1516" s="21" t="str">
        <f>IF(C1516="","",C1516*CONFIG!B5)</f>
        <v/>
      </c>
    </row>
    <row r="1517" ht="15.75" customHeight="1">
      <c r="A1517" s="22" t="str">
        <f>IF(MOV_CC_INTL!A1517="","",MOV_CC_INTL!A1517)</f>
        <v/>
      </c>
      <c r="B1517" s="22" t="str">
        <f>IF(MOV_CC_INTL!B1517="","",MOV_CC_INTL!B1517)</f>
        <v/>
      </c>
      <c r="C1517" s="22" t="str">
        <f>IF(MOV_CC_INTL!C1517="","",MOV_CC_INTL!C1517)</f>
        <v/>
      </c>
      <c r="D1517" s="22" t="str">
        <f t="shared" si="1"/>
        <v>Other</v>
      </c>
      <c r="E1517" s="21" t="str">
        <f>IF(C1517="","",C1517*CONFIG!B5)</f>
        <v/>
      </c>
    </row>
    <row r="1518" ht="15.75" customHeight="1">
      <c r="A1518" s="22" t="str">
        <f>IF(MOV_CC_INTL!A1518="","",MOV_CC_INTL!A1518)</f>
        <v/>
      </c>
      <c r="B1518" s="22" t="str">
        <f>IF(MOV_CC_INTL!B1518="","",MOV_CC_INTL!B1518)</f>
        <v/>
      </c>
      <c r="C1518" s="22" t="str">
        <f>IF(MOV_CC_INTL!C1518="","",MOV_CC_INTL!C1518)</f>
        <v/>
      </c>
      <c r="D1518" s="22" t="str">
        <f t="shared" si="1"/>
        <v>Other</v>
      </c>
      <c r="E1518" s="21" t="str">
        <f>IF(C1518="","",C1518*CONFIG!B5)</f>
        <v/>
      </c>
    </row>
    <row r="1519" ht="15.75" customHeight="1">
      <c r="A1519" s="22" t="str">
        <f>IF(MOV_CC_INTL!A1519="","",MOV_CC_INTL!A1519)</f>
        <v/>
      </c>
      <c r="B1519" s="22" t="str">
        <f>IF(MOV_CC_INTL!B1519="","",MOV_CC_INTL!B1519)</f>
        <v/>
      </c>
      <c r="C1519" s="22" t="str">
        <f>IF(MOV_CC_INTL!C1519="","",MOV_CC_INTL!C1519)</f>
        <v/>
      </c>
      <c r="D1519" s="22" t="str">
        <f t="shared" si="1"/>
        <v>Other</v>
      </c>
      <c r="E1519" s="21" t="str">
        <f>IF(C1519="","",C1519*CONFIG!B5)</f>
        <v/>
      </c>
    </row>
    <row r="1520" ht="15.75" customHeight="1">
      <c r="A1520" s="22" t="str">
        <f>IF(MOV_CC_INTL!A1520="","",MOV_CC_INTL!A1520)</f>
        <v/>
      </c>
      <c r="B1520" s="22" t="str">
        <f>IF(MOV_CC_INTL!B1520="","",MOV_CC_INTL!B1520)</f>
        <v/>
      </c>
      <c r="C1520" s="22" t="str">
        <f>IF(MOV_CC_INTL!C1520="","",MOV_CC_INTL!C1520)</f>
        <v/>
      </c>
      <c r="D1520" s="22" t="str">
        <f t="shared" si="1"/>
        <v>Other</v>
      </c>
      <c r="E1520" s="21" t="str">
        <f>IF(C1520="","",C1520*CONFIG!B5)</f>
        <v/>
      </c>
    </row>
    <row r="1521" ht="15.75" customHeight="1">
      <c r="A1521" s="22" t="str">
        <f>IF(MOV_CC_INTL!A1521="","",MOV_CC_INTL!A1521)</f>
        <v/>
      </c>
      <c r="B1521" s="22" t="str">
        <f>IF(MOV_CC_INTL!B1521="","",MOV_CC_INTL!B1521)</f>
        <v/>
      </c>
      <c r="C1521" s="22" t="str">
        <f>IF(MOV_CC_INTL!C1521="","",MOV_CC_INTL!C1521)</f>
        <v/>
      </c>
      <c r="D1521" s="22" t="str">
        <f t="shared" si="1"/>
        <v>Other</v>
      </c>
      <c r="E1521" s="21" t="str">
        <f>IF(C1521="","",C1521*CONFIG!B5)</f>
        <v/>
      </c>
    </row>
    <row r="1522" ht="15.75" customHeight="1">
      <c r="A1522" s="22" t="str">
        <f>IF(MOV_CC_INTL!A1522="","",MOV_CC_INTL!A1522)</f>
        <v/>
      </c>
      <c r="B1522" s="22" t="str">
        <f>IF(MOV_CC_INTL!B1522="","",MOV_CC_INTL!B1522)</f>
        <v/>
      </c>
      <c r="C1522" s="22" t="str">
        <f>IF(MOV_CC_INTL!C1522="","",MOV_CC_INTL!C1522)</f>
        <v/>
      </c>
      <c r="D1522" s="22" t="str">
        <f t="shared" si="1"/>
        <v>Other</v>
      </c>
      <c r="E1522" s="21" t="str">
        <f>IF(C1522="","",C1522*CONFIG!B5)</f>
        <v/>
      </c>
    </row>
    <row r="1523" ht="15.75" customHeight="1">
      <c r="A1523" s="22" t="str">
        <f>IF(MOV_CC_INTL!A1523="","",MOV_CC_INTL!A1523)</f>
        <v/>
      </c>
      <c r="B1523" s="22" t="str">
        <f>IF(MOV_CC_INTL!B1523="","",MOV_CC_INTL!B1523)</f>
        <v/>
      </c>
      <c r="C1523" s="22" t="str">
        <f>IF(MOV_CC_INTL!C1523="","",MOV_CC_INTL!C1523)</f>
        <v/>
      </c>
      <c r="D1523" s="22" t="str">
        <f t="shared" si="1"/>
        <v>Other</v>
      </c>
      <c r="E1523" s="21" t="str">
        <f>IF(C1523="","",C1523*CONFIG!B5)</f>
        <v/>
      </c>
    </row>
    <row r="1524" ht="15.75" customHeight="1">
      <c r="A1524" s="22" t="str">
        <f>IF(MOV_CC_INTL!A1524="","",MOV_CC_INTL!A1524)</f>
        <v/>
      </c>
      <c r="B1524" s="22" t="str">
        <f>IF(MOV_CC_INTL!B1524="","",MOV_CC_INTL!B1524)</f>
        <v/>
      </c>
      <c r="C1524" s="22" t="str">
        <f>IF(MOV_CC_INTL!C1524="","",MOV_CC_INTL!C1524)</f>
        <v/>
      </c>
      <c r="D1524" s="22" t="str">
        <f t="shared" si="1"/>
        <v>Other</v>
      </c>
      <c r="E1524" s="21" t="str">
        <f>IF(C1524="","",C1524*CONFIG!B5)</f>
        <v/>
      </c>
    </row>
    <row r="1525" ht="15.75" customHeight="1">
      <c r="A1525" s="22" t="str">
        <f>IF(MOV_CC_INTL!A1525="","",MOV_CC_INTL!A1525)</f>
        <v/>
      </c>
      <c r="B1525" s="22" t="str">
        <f>IF(MOV_CC_INTL!B1525="","",MOV_CC_INTL!B1525)</f>
        <v/>
      </c>
      <c r="C1525" s="22" t="str">
        <f>IF(MOV_CC_INTL!C1525="","",MOV_CC_INTL!C1525)</f>
        <v/>
      </c>
      <c r="D1525" s="22" t="str">
        <f t="shared" si="1"/>
        <v>Other</v>
      </c>
      <c r="E1525" s="21" t="str">
        <f>IF(C1525="","",C1525*CONFIG!B5)</f>
        <v/>
      </c>
    </row>
    <row r="1526" ht="15.75" customHeight="1">
      <c r="A1526" s="22" t="str">
        <f>IF(MOV_CC_INTL!A1526="","",MOV_CC_INTL!A1526)</f>
        <v/>
      </c>
      <c r="B1526" s="22" t="str">
        <f>IF(MOV_CC_INTL!B1526="","",MOV_CC_INTL!B1526)</f>
        <v/>
      </c>
      <c r="C1526" s="22" t="str">
        <f>IF(MOV_CC_INTL!C1526="","",MOV_CC_INTL!C1526)</f>
        <v/>
      </c>
      <c r="D1526" s="22" t="str">
        <f t="shared" si="1"/>
        <v>Other</v>
      </c>
      <c r="E1526" s="21" t="str">
        <f>IF(C1526="","",C1526*CONFIG!B5)</f>
        <v/>
      </c>
    </row>
    <row r="1527" ht="15.75" customHeight="1">
      <c r="A1527" s="22" t="str">
        <f>IF(MOV_CC_INTL!A1527="","",MOV_CC_INTL!A1527)</f>
        <v/>
      </c>
      <c r="B1527" s="22" t="str">
        <f>IF(MOV_CC_INTL!B1527="","",MOV_CC_INTL!B1527)</f>
        <v/>
      </c>
      <c r="C1527" s="22" t="str">
        <f>IF(MOV_CC_INTL!C1527="","",MOV_CC_INTL!C1527)</f>
        <v/>
      </c>
      <c r="D1527" s="22" t="str">
        <f t="shared" si="1"/>
        <v>Other</v>
      </c>
      <c r="E1527" s="21" t="str">
        <f>IF(C1527="","",C1527*CONFIG!B5)</f>
        <v/>
      </c>
    </row>
    <row r="1528" ht="15.75" customHeight="1">
      <c r="A1528" s="22" t="str">
        <f>IF(MOV_CC_INTL!A1528="","",MOV_CC_INTL!A1528)</f>
        <v/>
      </c>
      <c r="B1528" s="22" t="str">
        <f>IF(MOV_CC_INTL!B1528="","",MOV_CC_INTL!B1528)</f>
        <v/>
      </c>
      <c r="C1528" s="22" t="str">
        <f>IF(MOV_CC_INTL!C1528="","",MOV_CC_INTL!C1528)</f>
        <v/>
      </c>
      <c r="D1528" s="22" t="str">
        <f t="shared" si="1"/>
        <v>Other</v>
      </c>
      <c r="E1528" s="21" t="str">
        <f>IF(C1528="","",C1528*CONFIG!B5)</f>
        <v/>
      </c>
    </row>
    <row r="1529" ht="15.75" customHeight="1">
      <c r="A1529" s="22" t="str">
        <f>IF(MOV_CC_INTL!A1529="","",MOV_CC_INTL!A1529)</f>
        <v/>
      </c>
      <c r="B1529" s="22" t="str">
        <f>IF(MOV_CC_INTL!B1529="","",MOV_CC_INTL!B1529)</f>
        <v/>
      </c>
      <c r="C1529" s="22" t="str">
        <f>IF(MOV_CC_INTL!C1529="","",MOV_CC_INTL!C1529)</f>
        <v/>
      </c>
      <c r="D1529" s="22" t="str">
        <f t="shared" si="1"/>
        <v>Other</v>
      </c>
      <c r="E1529" s="21" t="str">
        <f>IF(C1529="","",C1529*CONFIG!B5)</f>
        <v/>
      </c>
    </row>
    <row r="1530" ht="15.75" customHeight="1">
      <c r="A1530" s="22" t="str">
        <f>IF(MOV_CC_INTL!A1530="","",MOV_CC_INTL!A1530)</f>
        <v/>
      </c>
      <c r="B1530" s="22" t="str">
        <f>IF(MOV_CC_INTL!B1530="","",MOV_CC_INTL!B1530)</f>
        <v/>
      </c>
      <c r="C1530" s="22" t="str">
        <f>IF(MOV_CC_INTL!C1530="","",MOV_CC_INTL!C1530)</f>
        <v/>
      </c>
      <c r="D1530" s="22" t="str">
        <f t="shared" si="1"/>
        <v>Other</v>
      </c>
      <c r="E1530" s="21" t="str">
        <f>IF(C1530="","",C1530*CONFIG!B5)</f>
        <v/>
      </c>
    </row>
    <row r="1531" ht="15.75" customHeight="1">
      <c r="A1531" s="22" t="str">
        <f>IF(MOV_CC_INTL!A1531="","",MOV_CC_INTL!A1531)</f>
        <v/>
      </c>
      <c r="B1531" s="22" t="str">
        <f>IF(MOV_CC_INTL!B1531="","",MOV_CC_INTL!B1531)</f>
        <v/>
      </c>
      <c r="C1531" s="22" t="str">
        <f>IF(MOV_CC_INTL!C1531="","",MOV_CC_INTL!C1531)</f>
        <v/>
      </c>
      <c r="D1531" s="22" t="str">
        <f t="shared" si="1"/>
        <v>Other</v>
      </c>
      <c r="E1531" s="21" t="str">
        <f>IF(C1531="","",C1531*CONFIG!B5)</f>
        <v/>
      </c>
    </row>
    <row r="1532" ht="15.75" customHeight="1">
      <c r="A1532" s="22" t="str">
        <f>IF(MOV_CC_INTL!A1532="","",MOV_CC_INTL!A1532)</f>
        <v/>
      </c>
      <c r="B1532" s="22" t="str">
        <f>IF(MOV_CC_INTL!B1532="","",MOV_CC_INTL!B1532)</f>
        <v/>
      </c>
      <c r="C1532" s="22" t="str">
        <f>IF(MOV_CC_INTL!C1532="","",MOV_CC_INTL!C1532)</f>
        <v/>
      </c>
      <c r="D1532" s="22" t="str">
        <f t="shared" si="1"/>
        <v>Other</v>
      </c>
      <c r="E1532" s="21" t="str">
        <f>IF(C1532="","",C1532*CONFIG!B5)</f>
        <v/>
      </c>
    </row>
    <row r="1533" ht="15.75" customHeight="1">
      <c r="A1533" s="22" t="str">
        <f>IF(MOV_CC_INTL!A1533="","",MOV_CC_INTL!A1533)</f>
        <v/>
      </c>
      <c r="B1533" s="22" t="str">
        <f>IF(MOV_CC_INTL!B1533="","",MOV_CC_INTL!B1533)</f>
        <v/>
      </c>
      <c r="C1533" s="22" t="str">
        <f>IF(MOV_CC_INTL!C1533="","",MOV_CC_INTL!C1533)</f>
        <v/>
      </c>
      <c r="D1533" s="22" t="str">
        <f t="shared" si="1"/>
        <v>Other</v>
      </c>
      <c r="E1533" s="21" t="str">
        <f>IF(C1533="","",C1533*CONFIG!B5)</f>
        <v/>
      </c>
    </row>
    <row r="1534" ht="15.75" customHeight="1">
      <c r="A1534" s="22" t="str">
        <f>IF(MOV_CC_INTL!A1534="","",MOV_CC_INTL!A1534)</f>
        <v/>
      </c>
      <c r="B1534" s="22" t="str">
        <f>IF(MOV_CC_INTL!B1534="","",MOV_CC_INTL!B1534)</f>
        <v/>
      </c>
      <c r="C1534" s="22" t="str">
        <f>IF(MOV_CC_INTL!C1534="","",MOV_CC_INTL!C1534)</f>
        <v/>
      </c>
      <c r="D1534" s="22" t="str">
        <f t="shared" si="1"/>
        <v>Other</v>
      </c>
      <c r="E1534" s="21" t="str">
        <f>IF(C1534="","",C1534*CONFIG!B5)</f>
        <v/>
      </c>
    </row>
    <row r="1535" ht="15.75" customHeight="1">
      <c r="A1535" s="22" t="str">
        <f>IF(MOV_CC_INTL!A1535="","",MOV_CC_INTL!A1535)</f>
        <v/>
      </c>
      <c r="B1535" s="22" t="str">
        <f>IF(MOV_CC_INTL!B1535="","",MOV_CC_INTL!B1535)</f>
        <v/>
      </c>
      <c r="C1535" s="22" t="str">
        <f>IF(MOV_CC_INTL!C1535="","",MOV_CC_INTL!C1535)</f>
        <v/>
      </c>
      <c r="D1535" s="22" t="str">
        <f t="shared" si="1"/>
        <v>Other</v>
      </c>
      <c r="E1535" s="21" t="str">
        <f>IF(C1535="","",C1535*CONFIG!B5)</f>
        <v/>
      </c>
    </row>
    <row r="1536" ht="15.75" customHeight="1">
      <c r="A1536" s="22" t="str">
        <f>IF(MOV_CC_INTL!A1536="","",MOV_CC_INTL!A1536)</f>
        <v/>
      </c>
      <c r="B1536" s="22" t="str">
        <f>IF(MOV_CC_INTL!B1536="","",MOV_CC_INTL!B1536)</f>
        <v/>
      </c>
      <c r="C1536" s="22" t="str">
        <f>IF(MOV_CC_INTL!C1536="","",MOV_CC_INTL!C1536)</f>
        <v/>
      </c>
      <c r="D1536" s="22" t="str">
        <f t="shared" si="1"/>
        <v>Other</v>
      </c>
      <c r="E1536" s="21" t="str">
        <f>IF(C1536="","",C1536*CONFIG!B5)</f>
        <v/>
      </c>
    </row>
    <row r="1537" ht="15.75" customHeight="1">
      <c r="A1537" s="22" t="str">
        <f>IF(MOV_CC_INTL!A1537="","",MOV_CC_INTL!A1537)</f>
        <v/>
      </c>
      <c r="B1537" s="22" t="str">
        <f>IF(MOV_CC_INTL!B1537="","",MOV_CC_INTL!B1537)</f>
        <v/>
      </c>
      <c r="C1537" s="22" t="str">
        <f>IF(MOV_CC_INTL!C1537="","",MOV_CC_INTL!C1537)</f>
        <v/>
      </c>
      <c r="D1537" s="22" t="str">
        <f t="shared" si="1"/>
        <v>Other</v>
      </c>
      <c r="E1537" s="21" t="str">
        <f>IF(C1537="","",C1537*CONFIG!B5)</f>
        <v/>
      </c>
    </row>
    <row r="1538" ht="15.75" customHeight="1">
      <c r="A1538" s="22" t="str">
        <f>IF(MOV_CC_INTL!A1538="","",MOV_CC_INTL!A1538)</f>
        <v/>
      </c>
      <c r="B1538" s="22" t="str">
        <f>IF(MOV_CC_INTL!B1538="","",MOV_CC_INTL!B1538)</f>
        <v/>
      </c>
      <c r="C1538" s="22" t="str">
        <f>IF(MOV_CC_INTL!C1538="","",MOV_CC_INTL!C1538)</f>
        <v/>
      </c>
      <c r="D1538" s="22" t="str">
        <f t="shared" si="1"/>
        <v>Other</v>
      </c>
      <c r="E1538" s="21" t="str">
        <f>IF(C1538="","",C1538*CONFIG!B5)</f>
        <v/>
      </c>
    </row>
    <row r="1539" ht="15.75" customHeight="1">
      <c r="A1539" s="22" t="str">
        <f>IF(MOV_CC_INTL!A1539="","",MOV_CC_INTL!A1539)</f>
        <v/>
      </c>
      <c r="B1539" s="22" t="str">
        <f>IF(MOV_CC_INTL!B1539="","",MOV_CC_INTL!B1539)</f>
        <v/>
      </c>
      <c r="C1539" s="22" t="str">
        <f>IF(MOV_CC_INTL!C1539="","",MOV_CC_INTL!C1539)</f>
        <v/>
      </c>
      <c r="D1539" s="22" t="str">
        <f t="shared" si="1"/>
        <v>Other</v>
      </c>
      <c r="E1539" s="21" t="str">
        <f>IF(C1539="","",C1539*CONFIG!B5)</f>
        <v/>
      </c>
    </row>
    <row r="1540" ht="15.75" customHeight="1">
      <c r="A1540" s="22" t="str">
        <f>IF(MOV_CC_INTL!A1540="","",MOV_CC_INTL!A1540)</f>
        <v/>
      </c>
      <c r="B1540" s="22" t="str">
        <f>IF(MOV_CC_INTL!B1540="","",MOV_CC_INTL!B1540)</f>
        <v/>
      </c>
      <c r="C1540" s="22" t="str">
        <f>IF(MOV_CC_INTL!C1540="","",MOV_CC_INTL!C1540)</f>
        <v/>
      </c>
      <c r="D1540" s="22" t="str">
        <f t="shared" si="1"/>
        <v>Other</v>
      </c>
      <c r="E1540" s="21" t="str">
        <f>IF(C1540="","",C1540*CONFIG!B5)</f>
        <v/>
      </c>
    </row>
    <row r="1541" ht="15.75" customHeight="1">
      <c r="A1541" s="22" t="str">
        <f>IF(MOV_CC_INTL!A1541="","",MOV_CC_INTL!A1541)</f>
        <v/>
      </c>
      <c r="B1541" s="22" t="str">
        <f>IF(MOV_CC_INTL!B1541="","",MOV_CC_INTL!B1541)</f>
        <v/>
      </c>
      <c r="C1541" s="22" t="str">
        <f>IF(MOV_CC_INTL!C1541="","",MOV_CC_INTL!C1541)</f>
        <v/>
      </c>
      <c r="D1541" s="22" t="str">
        <f t="shared" si="1"/>
        <v>Other</v>
      </c>
      <c r="E1541" s="21" t="str">
        <f>IF(C1541="","",C1541*CONFIG!B5)</f>
        <v/>
      </c>
    </row>
    <row r="1542" ht="15.75" customHeight="1">
      <c r="A1542" s="22" t="str">
        <f>IF(MOV_CC_INTL!A1542="","",MOV_CC_INTL!A1542)</f>
        <v/>
      </c>
      <c r="B1542" s="22" t="str">
        <f>IF(MOV_CC_INTL!B1542="","",MOV_CC_INTL!B1542)</f>
        <v/>
      </c>
      <c r="C1542" s="22" t="str">
        <f>IF(MOV_CC_INTL!C1542="","",MOV_CC_INTL!C1542)</f>
        <v/>
      </c>
      <c r="D1542" s="22" t="str">
        <f t="shared" si="1"/>
        <v>Other</v>
      </c>
      <c r="E1542" s="21" t="str">
        <f>IF(C1542="","",C1542*CONFIG!B5)</f>
        <v/>
      </c>
    </row>
    <row r="1543" ht="15.75" customHeight="1">
      <c r="A1543" s="22" t="str">
        <f>IF(MOV_CC_INTL!A1543="","",MOV_CC_INTL!A1543)</f>
        <v/>
      </c>
      <c r="B1543" s="22" t="str">
        <f>IF(MOV_CC_INTL!B1543="","",MOV_CC_INTL!B1543)</f>
        <v/>
      </c>
      <c r="C1543" s="22" t="str">
        <f>IF(MOV_CC_INTL!C1543="","",MOV_CC_INTL!C1543)</f>
        <v/>
      </c>
      <c r="D1543" s="22" t="str">
        <f t="shared" si="1"/>
        <v>Other</v>
      </c>
      <c r="E1543" s="21" t="str">
        <f>IF(C1543="","",C1543*CONFIG!B5)</f>
        <v/>
      </c>
    </row>
    <row r="1544" ht="15.75" customHeight="1">
      <c r="A1544" s="22" t="str">
        <f>IF(MOV_CC_INTL!A1544="","",MOV_CC_INTL!A1544)</f>
        <v/>
      </c>
      <c r="B1544" s="22" t="str">
        <f>IF(MOV_CC_INTL!B1544="","",MOV_CC_INTL!B1544)</f>
        <v/>
      </c>
      <c r="C1544" s="22" t="str">
        <f>IF(MOV_CC_INTL!C1544="","",MOV_CC_INTL!C1544)</f>
        <v/>
      </c>
      <c r="D1544" s="22" t="str">
        <f t="shared" si="1"/>
        <v>Other</v>
      </c>
      <c r="E1544" s="21" t="str">
        <f>IF(C1544="","",C1544*CONFIG!B5)</f>
        <v/>
      </c>
    </row>
    <row r="1545" ht="15.75" customHeight="1">
      <c r="A1545" s="22" t="str">
        <f>IF(MOV_CC_INTL!A1545="","",MOV_CC_INTL!A1545)</f>
        <v/>
      </c>
      <c r="B1545" s="22" t="str">
        <f>IF(MOV_CC_INTL!B1545="","",MOV_CC_INTL!B1545)</f>
        <v/>
      </c>
      <c r="C1545" s="22" t="str">
        <f>IF(MOV_CC_INTL!C1545="","",MOV_CC_INTL!C1545)</f>
        <v/>
      </c>
      <c r="D1545" s="22" t="str">
        <f t="shared" si="1"/>
        <v>Other</v>
      </c>
      <c r="E1545" s="21" t="str">
        <f>IF(C1545="","",C1545*CONFIG!B5)</f>
        <v/>
      </c>
    </row>
    <row r="1546" ht="15.75" customHeight="1">
      <c r="A1546" s="22" t="str">
        <f>IF(MOV_CC_INTL!A1546="","",MOV_CC_INTL!A1546)</f>
        <v/>
      </c>
      <c r="B1546" s="22" t="str">
        <f>IF(MOV_CC_INTL!B1546="","",MOV_CC_INTL!B1546)</f>
        <v/>
      </c>
      <c r="C1546" s="22" t="str">
        <f>IF(MOV_CC_INTL!C1546="","",MOV_CC_INTL!C1546)</f>
        <v/>
      </c>
      <c r="D1546" s="22" t="str">
        <f t="shared" si="1"/>
        <v>Other</v>
      </c>
      <c r="E1546" s="21" t="str">
        <f>IF(C1546="","",C1546*CONFIG!B5)</f>
        <v/>
      </c>
    </row>
    <row r="1547" ht="15.75" customHeight="1">
      <c r="A1547" s="22" t="str">
        <f>IF(MOV_CC_INTL!A1547="","",MOV_CC_INTL!A1547)</f>
        <v/>
      </c>
      <c r="B1547" s="22" t="str">
        <f>IF(MOV_CC_INTL!B1547="","",MOV_CC_INTL!B1547)</f>
        <v/>
      </c>
      <c r="C1547" s="22" t="str">
        <f>IF(MOV_CC_INTL!C1547="","",MOV_CC_INTL!C1547)</f>
        <v/>
      </c>
      <c r="D1547" s="22" t="str">
        <f t="shared" si="1"/>
        <v>Other</v>
      </c>
      <c r="E1547" s="21" t="str">
        <f>IF(C1547="","",C1547*CONFIG!B5)</f>
        <v/>
      </c>
    </row>
    <row r="1548" ht="15.75" customHeight="1">
      <c r="A1548" s="22" t="str">
        <f>IF(MOV_CC_INTL!A1548="","",MOV_CC_INTL!A1548)</f>
        <v/>
      </c>
      <c r="B1548" s="22" t="str">
        <f>IF(MOV_CC_INTL!B1548="","",MOV_CC_INTL!B1548)</f>
        <v/>
      </c>
      <c r="C1548" s="22" t="str">
        <f>IF(MOV_CC_INTL!C1548="","",MOV_CC_INTL!C1548)</f>
        <v/>
      </c>
      <c r="D1548" s="22" t="str">
        <f t="shared" si="1"/>
        <v>Other</v>
      </c>
      <c r="E1548" s="21" t="str">
        <f>IF(C1548="","",C1548*CONFIG!B5)</f>
        <v/>
      </c>
    </row>
    <row r="1549" ht="15.75" customHeight="1">
      <c r="A1549" s="22" t="str">
        <f>IF(MOV_CC_INTL!A1549="","",MOV_CC_INTL!A1549)</f>
        <v/>
      </c>
      <c r="B1549" s="22" t="str">
        <f>IF(MOV_CC_INTL!B1549="","",MOV_CC_INTL!B1549)</f>
        <v/>
      </c>
      <c r="C1549" s="22" t="str">
        <f>IF(MOV_CC_INTL!C1549="","",MOV_CC_INTL!C1549)</f>
        <v/>
      </c>
      <c r="D1549" s="22" t="str">
        <f t="shared" si="1"/>
        <v>Other</v>
      </c>
      <c r="E1549" s="21" t="str">
        <f>IF(C1549="","",C1549*CONFIG!B5)</f>
        <v/>
      </c>
    </row>
    <row r="1550" ht="15.75" customHeight="1">
      <c r="A1550" s="22" t="str">
        <f>IF(MOV_CC_INTL!A1550="","",MOV_CC_INTL!A1550)</f>
        <v/>
      </c>
      <c r="B1550" s="22" t="str">
        <f>IF(MOV_CC_INTL!B1550="","",MOV_CC_INTL!B1550)</f>
        <v/>
      </c>
      <c r="C1550" s="22" t="str">
        <f>IF(MOV_CC_INTL!C1550="","",MOV_CC_INTL!C1550)</f>
        <v/>
      </c>
      <c r="D1550" s="22" t="str">
        <f t="shared" si="1"/>
        <v>Other</v>
      </c>
      <c r="E1550" s="21" t="str">
        <f>IF(C1550="","",C1550*CONFIG!B5)</f>
        <v/>
      </c>
    </row>
    <row r="1551" ht="15.75" customHeight="1">
      <c r="A1551" s="22" t="str">
        <f>IF(MOV_CC_INTL!A1551="","",MOV_CC_INTL!A1551)</f>
        <v/>
      </c>
      <c r="B1551" s="22" t="str">
        <f>IF(MOV_CC_INTL!B1551="","",MOV_CC_INTL!B1551)</f>
        <v/>
      </c>
      <c r="C1551" s="22" t="str">
        <f>IF(MOV_CC_INTL!C1551="","",MOV_CC_INTL!C1551)</f>
        <v/>
      </c>
      <c r="D1551" s="22" t="str">
        <f t="shared" si="1"/>
        <v>Other</v>
      </c>
      <c r="E1551" s="21" t="str">
        <f>IF(C1551="","",C1551*CONFIG!B5)</f>
        <v/>
      </c>
    </row>
    <row r="1552" ht="15.75" customHeight="1">
      <c r="A1552" s="22" t="str">
        <f>IF(MOV_CC_INTL!A1552="","",MOV_CC_INTL!A1552)</f>
        <v/>
      </c>
      <c r="B1552" s="22" t="str">
        <f>IF(MOV_CC_INTL!B1552="","",MOV_CC_INTL!B1552)</f>
        <v/>
      </c>
      <c r="C1552" s="22" t="str">
        <f>IF(MOV_CC_INTL!C1552="","",MOV_CC_INTL!C1552)</f>
        <v/>
      </c>
      <c r="D1552" s="22" t="str">
        <f t="shared" si="1"/>
        <v>Other</v>
      </c>
      <c r="E1552" s="21" t="str">
        <f>IF(C1552="","",C1552*CONFIG!B5)</f>
        <v/>
      </c>
    </row>
    <row r="1553" ht="15.75" customHeight="1">
      <c r="A1553" s="22" t="str">
        <f>IF(MOV_CC_INTL!A1553="","",MOV_CC_INTL!A1553)</f>
        <v/>
      </c>
      <c r="B1553" s="22" t="str">
        <f>IF(MOV_CC_INTL!B1553="","",MOV_CC_INTL!B1553)</f>
        <v/>
      </c>
      <c r="C1553" s="22" t="str">
        <f>IF(MOV_CC_INTL!C1553="","",MOV_CC_INTL!C1553)</f>
        <v/>
      </c>
      <c r="D1553" s="22" t="str">
        <f t="shared" si="1"/>
        <v>Other</v>
      </c>
      <c r="E1553" s="21" t="str">
        <f>IF(C1553="","",C1553*CONFIG!B5)</f>
        <v/>
      </c>
    </row>
    <row r="1554" ht="15.75" customHeight="1">
      <c r="A1554" s="22" t="str">
        <f>IF(MOV_CC_INTL!A1554="","",MOV_CC_INTL!A1554)</f>
        <v/>
      </c>
      <c r="B1554" s="22" t="str">
        <f>IF(MOV_CC_INTL!B1554="","",MOV_CC_INTL!B1554)</f>
        <v/>
      </c>
      <c r="C1554" s="22" t="str">
        <f>IF(MOV_CC_INTL!C1554="","",MOV_CC_INTL!C1554)</f>
        <v/>
      </c>
      <c r="D1554" s="22" t="str">
        <f t="shared" si="1"/>
        <v>Other</v>
      </c>
      <c r="E1554" s="21" t="str">
        <f>IF(C1554="","",C1554*CONFIG!B5)</f>
        <v/>
      </c>
    </row>
    <row r="1555" ht="15.75" customHeight="1">
      <c r="A1555" s="22" t="str">
        <f>IF(MOV_CC_INTL!A1555="","",MOV_CC_INTL!A1555)</f>
        <v/>
      </c>
      <c r="B1555" s="22" t="str">
        <f>IF(MOV_CC_INTL!B1555="","",MOV_CC_INTL!B1555)</f>
        <v/>
      </c>
      <c r="C1555" s="22" t="str">
        <f>IF(MOV_CC_INTL!C1555="","",MOV_CC_INTL!C1555)</f>
        <v/>
      </c>
      <c r="D1555" s="22" t="str">
        <f t="shared" si="1"/>
        <v>Other</v>
      </c>
      <c r="E1555" s="21" t="str">
        <f>IF(C1555="","",C1555*CONFIG!B5)</f>
        <v/>
      </c>
    </row>
    <row r="1556" ht="15.75" customHeight="1">
      <c r="A1556" s="22" t="str">
        <f>IF(MOV_CC_INTL!A1556="","",MOV_CC_INTL!A1556)</f>
        <v/>
      </c>
      <c r="B1556" s="22" t="str">
        <f>IF(MOV_CC_INTL!B1556="","",MOV_CC_INTL!B1556)</f>
        <v/>
      </c>
      <c r="C1556" s="22" t="str">
        <f>IF(MOV_CC_INTL!C1556="","",MOV_CC_INTL!C1556)</f>
        <v/>
      </c>
      <c r="D1556" s="22" t="str">
        <f t="shared" si="1"/>
        <v>Other</v>
      </c>
      <c r="E1556" s="21" t="str">
        <f>IF(C1556="","",C1556*CONFIG!B5)</f>
        <v/>
      </c>
    </row>
    <row r="1557" ht="15.75" customHeight="1">
      <c r="A1557" s="22" t="str">
        <f>IF(MOV_CC_INTL!A1557="","",MOV_CC_INTL!A1557)</f>
        <v/>
      </c>
      <c r="B1557" s="22" t="str">
        <f>IF(MOV_CC_INTL!B1557="","",MOV_CC_INTL!B1557)</f>
        <v/>
      </c>
      <c r="C1557" s="22" t="str">
        <f>IF(MOV_CC_INTL!C1557="","",MOV_CC_INTL!C1557)</f>
        <v/>
      </c>
      <c r="D1557" s="22" t="str">
        <f t="shared" si="1"/>
        <v>Other</v>
      </c>
      <c r="E1557" s="21" t="str">
        <f>IF(C1557="","",C1557*CONFIG!B5)</f>
        <v/>
      </c>
    </row>
    <row r="1558" ht="15.75" customHeight="1">
      <c r="A1558" s="22" t="str">
        <f>IF(MOV_CC_INTL!A1558="","",MOV_CC_INTL!A1558)</f>
        <v/>
      </c>
      <c r="B1558" s="22" t="str">
        <f>IF(MOV_CC_INTL!B1558="","",MOV_CC_INTL!B1558)</f>
        <v/>
      </c>
      <c r="C1558" s="22" t="str">
        <f>IF(MOV_CC_INTL!C1558="","",MOV_CC_INTL!C1558)</f>
        <v/>
      </c>
      <c r="D1558" s="22" t="str">
        <f t="shared" si="1"/>
        <v>Other</v>
      </c>
      <c r="E1558" s="21" t="str">
        <f>IF(C1558="","",C1558*CONFIG!B5)</f>
        <v/>
      </c>
    </row>
    <row r="1559" ht="15.75" customHeight="1">
      <c r="A1559" s="22" t="str">
        <f>IF(MOV_CC_INTL!A1559="","",MOV_CC_INTL!A1559)</f>
        <v/>
      </c>
      <c r="B1559" s="22" t="str">
        <f>IF(MOV_CC_INTL!B1559="","",MOV_CC_INTL!B1559)</f>
        <v/>
      </c>
      <c r="C1559" s="22" t="str">
        <f>IF(MOV_CC_INTL!C1559="","",MOV_CC_INTL!C1559)</f>
        <v/>
      </c>
      <c r="D1559" s="22" t="str">
        <f t="shared" si="1"/>
        <v>Other</v>
      </c>
      <c r="E1559" s="21" t="str">
        <f>IF(C1559="","",C1559*CONFIG!B5)</f>
        <v/>
      </c>
    </row>
    <row r="1560" ht="15.75" customHeight="1">
      <c r="A1560" s="22" t="str">
        <f>IF(MOV_CC_INTL!A1560="","",MOV_CC_INTL!A1560)</f>
        <v/>
      </c>
      <c r="B1560" s="22" t="str">
        <f>IF(MOV_CC_INTL!B1560="","",MOV_CC_INTL!B1560)</f>
        <v/>
      </c>
      <c r="C1560" s="22" t="str">
        <f>IF(MOV_CC_INTL!C1560="","",MOV_CC_INTL!C1560)</f>
        <v/>
      </c>
      <c r="D1560" s="22" t="str">
        <f t="shared" si="1"/>
        <v>Other</v>
      </c>
      <c r="E1560" s="21" t="str">
        <f>IF(C1560="","",C1560*CONFIG!B5)</f>
        <v/>
      </c>
    </row>
    <row r="1561" ht="15.75" customHeight="1">
      <c r="A1561" s="22" t="str">
        <f>IF(MOV_CC_INTL!A1561="","",MOV_CC_INTL!A1561)</f>
        <v/>
      </c>
      <c r="B1561" s="22" t="str">
        <f>IF(MOV_CC_INTL!B1561="","",MOV_CC_INTL!B1561)</f>
        <v/>
      </c>
      <c r="C1561" s="22" t="str">
        <f>IF(MOV_CC_INTL!C1561="","",MOV_CC_INTL!C1561)</f>
        <v/>
      </c>
      <c r="D1561" s="22" t="str">
        <f t="shared" si="1"/>
        <v>Other</v>
      </c>
      <c r="E1561" s="21" t="str">
        <f>IF(C1561="","",C1561*CONFIG!B5)</f>
        <v/>
      </c>
    </row>
    <row r="1562" ht="15.75" customHeight="1">
      <c r="A1562" s="22" t="str">
        <f>IF(MOV_CC_INTL!A1562="","",MOV_CC_INTL!A1562)</f>
        <v/>
      </c>
      <c r="B1562" s="22" t="str">
        <f>IF(MOV_CC_INTL!B1562="","",MOV_CC_INTL!B1562)</f>
        <v/>
      </c>
      <c r="C1562" s="22" t="str">
        <f>IF(MOV_CC_INTL!C1562="","",MOV_CC_INTL!C1562)</f>
        <v/>
      </c>
      <c r="D1562" s="22" t="str">
        <f t="shared" si="1"/>
        <v>Other</v>
      </c>
      <c r="E1562" s="21" t="str">
        <f>IF(C1562="","",C1562*CONFIG!B5)</f>
        <v/>
      </c>
    </row>
    <row r="1563" ht="15.75" customHeight="1">
      <c r="A1563" s="22" t="str">
        <f>IF(MOV_CC_INTL!A1563="","",MOV_CC_INTL!A1563)</f>
        <v/>
      </c>
      <c r="B1563" s="22" t="str">
        <f>IF(MOV_CC_INTL!B1563="","",MOV_CC_INTL!B1563)</f>
        <v/>
      </c>
      <c r="C1563" s="22" t="str">
        <f>IF(MOV_CC_INTL!C1563="","",MOV_CC_INTL!C1563)</f>
        <v/>
      </c>
      <c r="D1563" s="22" t="str">
        <f t="shared" si="1"/>
        <v>Other</v>
      </c>
      <c r="E1563" s="21" t="str">
        <f>IF(C1563="","",C1563*CONFIG!B5)</f>
        <v/>
      </c>
    </row>
    <row r="1564" ht="15.75" customHeight="1">
      <c r="A1564" s="22" t="str">
        <f>IF(MOV_CC_INTL!A1564="","",MOV_CC_INTL!A1564)</f>
        <v/>
      </c>
      <c r="B1564" s="22" t="str">
        <f>IF(MOV_CC_INTL!B1564="","",MOV_CC_INTL!B1564)</f>
        <v/>
      </c>
      <c r="C1564" s="22" t="str">
        <f>IF(MOV_CC_INTL!C1564="","",MOV_CC_INTL!C1564)</f>
        <v/>
      </c>
      <c r="D1564" s="22" t="str">
        <f t="shared" si="1"/>
        <v>Other</v>
      </c>
      <c r="E1564" s="21" t="str">
        <f>IF(C1564="","",C1564*CONFIG!B5)</f>
        <v/>
      </c>
    </row>
    <row r="1565" ht="15.75" customHeight="1">
      <c r="A1565" s="22" t="str">
        <f>IF(MOV_CC_INTL!A1565="","",MOV_CC_INTL!A1565)</f>
        <v/>
      </c>
      <c r="B1565" s="22" t="str">
        <f>IF(MOV_CC_INTL!B1565="","",MOV_CC_INTL!B1565)</f>
        <v/>
      </c>
      <c r="C1565" s="22" t="str">
        <f>IF(MOV_CC_INTL!C1565="","",MOV_CC_INTL!C1565)</f>
        <v/>
      </c>
      <c r="D1565" s="22" t="str">
        <f t="shared" si="1"/>
        <v>Other</v>
      </c>
      <c r="E1565" s="21" t="str">
        <f>IF(C1565="","",C1565*CONFIG!B5)</f>
        <v/>
      </c>
    </row>
    <row r="1566" ht="15.75" customHeight="1">
      <c r="A1566" s="22" t="str">
        <f>IF(MOV_CC_INTL!A1566="","",MOV_CC_INTL!A1566)</f>
        <v/>
      </c>
      <c r="B1566" s="22" t="str">
        <f>IF(MOV_CC_INTL!B1566="","",MOV_CC_INTL!B1566)</f>
        <v/>
      </c>
      <c r="C1566" s="22" t="str">
        <f>IF(MOV_CC_INTL!C1566="","",MOV_CC_INTL!C1566)</f>
        <v/>
      </c>
      <c r="D1566" s="22" t="str">
        <f t="shared" si="1"/>
        <v>Other</v>
      </c>
      <c r="E1566" s="21" t="str">
        <f>IF(C1566="","",C1566*CONFIG!B5)</f>
        <v/>
      </c>
    </row>
    <row r="1567" ht="15.75" customHeight="1">
      <c r="A1567" s="22" t="str">
        <f>IF(MOV_CC_INTL!A1567="","",MOV_CC_INTL!A1567)</f>
        <v/>
      </c>
      <c r="B1567" s="22" t="str">
        <f>IF(MOV_CC_INTL!B1567="","",MOV_CC_INTL!B1567)</f>
        <v/>
      </c>
      <c r="C1567" s="22" t="str">
        <f>IF(MOV_CC_INTL!C1567="","",MOV_CC_INTL!C1567)</f>
        <v/>
      </c>
      <c r="D1567" s="22" t="str">
        <f t="shared" si="1"/>
        <v>Other</v>
      </c>
      <c r="E1567" s="21" t="str">
        <f>IF(C1567="","",C1567*CONFIG!B5)</f>
        <v/>
      </c>
    </row>
    <row r="1568" ht="15.75" customHeight="1">
      <c r="A1568" s="22" t="str">
        <f>IF(MOV_CC_INTL!A1568="","",MOV_CC_INTL!A1568)</f>
        <v/>
      </c>
      <c r="B1568" s="22" t="str">
        <f>IF(MOV_CC_INTL!B1568="","",MOV_CC_INTL!B1568)</f>
        <v/>
      </c>
      <c r="C1568" s="22" t="str">
        <f>IF(MOV_CC_INTL!C1568="","",MOV_CC_INTL!C1568)</f>
        <v/>
      </c>
      <c r="D1568" s="22" t="str">
        <f t="shared" si="1"/>
        <v>Other</v>
      </c>
      <c r="E1568" s="21" t="str">
        <f>IF(C1568="","",C1568*CONFIG!B5)</f>
        <v/>
      </c>
    </row>
    <row r="1569" ht="15.75" customHeight="1">
      <c r="A1569" s="22" t="str">
        <f>IF(MOV_CC_INTL!A1569="","",MOV_CC_INTL!A1569)</f>
        <v/>
      </c>
      <c r="B1569" s="22" t="str">
        <f>IF(MOV_CC_INTL!B1569="","",MOV_CC_INTL!B1569)</f>
        <v/>
      </c>
      <c r="C1569" s="22" t="str">
        <f>IF(MOV_CC_INTL!C1569="","",MOV_CC_INTL!C1569)</f>
        <v/>
      </c>
      <c r="D1569" s="22" t="str">
        <f t="shared" si="1"/>
        <v>Other</v>
      </c>
      <c r="E1569" s="21" t="str">
        <f>IF(C1569="","",C1569*CONFIG!B5)</f>
        <v/>
      </c>
    </row>
    <row r="1570" ht="15.75" customHeight="1">
      <c r="A1570" s="22" t="str">
        <f>IF(MOV_CC_INTL!A1570="","",MOV_CC_INTL!A1570)</f>
        <v/>
      </c>
      <c r="B1570" s="22" t="str">
        <f>IF(MOV_CC_INTL!B1570="","",MOV_CC_INTL!B1570)</f>
        <v/>
      </c>
      <c r="C1570" s="22" t="str">
        <f>IF(MOV_CC_INTL!C1570="","",MOV_CC_INTL!C1570)</f>
        <v/>
      </c>
      <c r="D1570" s="22" t="str">
        <f t="shared" si="1"/>
        <v>Other</v>
      </c>
      <c r="E1570" s="21" t="str">
        <f>IF(C1570="","",C1570*CONFIG!B5)</f>
        <v/>
      </c>
    </row>
    <row r="1571" ht="15.75" customHeight="1">
      <c r="A1571" s="22" t="str">
        <f>IF(MOV_CC_INTL!A1571="","",MOV_CC_INTL!A1571)</f>
        <v/>
      </c>
      <c r="B1571" s="22" t="str">
        <f>IF(MOV_CC_INTL!B1571="","",MOV_CC_INTL!B1571)</f>
        <v/>
      </c>
      <c r="C1571" s="22" t="str">
        <f>IF(MOV_CC_INTL!C1571="","",MOV_CC_INTL!C1571)</f>
        <v/>
      </c>
      <c r="D1571" s="22" t="str">
        <f t="shared" si="1"/>
        <v>Other</v>
      </c>
      <c r="E1571" s="21" t="str">
        <f>IF(C1571="","",C1571*CONFIG!B5)</f>
        <v/>
      </c>
    </row>
    <row r="1572" ht="15.75" customHeight="1">
      <c r="A1572" s="22" t="str">
        <f>IF(MOV_CC_INTL!A1572="","",MOV_CC_INTL!A1572)</f>
        <v/>
      </c>
      <c r="B1572" s="22" t="str">
        <f>IF(MOV_CC_INTL!B1572="","",MOV_CC_INTL!B1572)</f>
        <v/>
      </c>
      <c r="C1572" s="22" t="str">
        <f>IF(MOV_CC_INTL!C1572="","",MOV_CC_INTL!C1572)</f>
        <v/>
      </c>
      <c r="D1572" s="22" t="str">
        <f t="shared" si="1"/>
        <v>Other</v>
      </c>
      <c r="E1572" s="21" t="str">
        <f>IF(C1572="","",C1572*CONFIG!B5)</f>
        <v/>
      </c>
    </row>
    <row r="1573" ht="15.75" customHeight="1">
      <c r="A1573" s="22" t="str">
        <f>IF(MOV_CC_INTL!A1573="","",MOV_CC_INTL!A1573)</f>
        <v/>
      </c>
      <c r="B1573" s="22" t="str">
        <f>IF(MOV_CC_INTL!B1573="","",MOV_CC_INTL!B1573)</f>
        <v/>
      </c>
      <c r="C1573" s="22" t="str">
        <f>IF(MOV_CC_INTL!C1573="","",MOV_CC_INTL!C1573)</f>
        <v/>
      </c>
      <c r="D1573" s="22" t="str">
        <f t="shared" si="1"/>
        <v>Other</v>
      </c>
      <c r="E1573" s="21" t="str">
        <f>IF(C1573="","",C1573*CONFIG!B5)</f>
        <v/>
      </c>
    </row>
    <row r="1574" ht="15.75" customHeight="1">
      <c r="A1574" s="22" t="str">
        <f>IF(MOV_CC_INTL!A1574="","",MOV_CC_INTL!A1574)</f>
        <v/>
      </c>
      <c r="B1574" s="22" t="str">
        <f>IF(MOV_CC_INTL!B1574="","",MOV_CC_INTL!B1574)</f>
        <v/>
      </c>
      <c r="C1574" s="22" t="str">
        <f>IF(MOV_CC_INTL!C1574="","",MOV_CC_INTL!C1574)</f>
        <v/>
      </c>
      <c r="D1574" s="22" t="str">
        <f t="shared" si="1"/>
        <v>Other</v>
      </c>
      <c r="E1574" s="21" t="str">
        <f>IF(C1574="","",C1574*CONFIG!B5)</f>
        <v/>
      </c>
    </row>
    <row r="1575" ht="15.75" customHeight="1">
      <c r="A1575" s="22" t="str">
        <f>IF(MOV_CC_INTL!A1575="","",MOV_CC_INTL!A1575)</f>
        <v/>
      </c>
      <c r="B1575" s="22" t="str">
        <f>IF(MOV_CC_INTL!B1575="","",MOV_CC_INTL!B1575)</f>
        <v/>
      </c>
      <c r="C1575" s="22" t="str">
        <f>IF(MOV_CC_INTL!C1575="","",MOV_CC_INTL!C1575)</f>
        <v/>
      </c>
      <c r="D1575" s="22" t="str">
        <f t="shared" si="1"/>
        <v>Other</v>
      </c>
      <c r="E1575" s="21" t="str">
        <f>IF(C1575="","",C1575*CONFIG!B5)</f>
        <v/>
      </c>
    </row>
    <row r="1576" ht="15.75" customHeight="1">
      <c r="A1576" s="22" t="str">
        <f>IF(MOV_CC_INTL!A1576="","",MOV_CC_INTL!A1576)</f>
        <v/>
      </c>
      <c r="B1576" s="22" t="str">
        <f>IF(MOV_CC_INTL!B1576="","",MOV_CC_INTL!B1576)</f>
        <v/>
      </c>
      <c r="C1576" s="22" t="str">
        <f>IF(MOV_CC_INTL!C1576="","",MOV_CC_INTL!C1576)</f>
        <v/>
      </c>
      <c r="D1576" s="22" t="str">
        <f t="shared" si="1"/>
        <v>Other</v>
      </c>
      <c r="E1576" s="21" t="str">
        <f>IF(C1576="","",C1576*CONFIG!B5)</f>
        <v/>
      </c>
    </row>
    <row r="1577" ht="15.75" customHeight="1">
      <c r="A1577" s="22" t="str">
        <f>IF(MOV_CC_INTL!A1577="","",MOV_CC_INTL!A1577)</f>
        <v/>
      </c>
      <c r="B1577" s="22" t="str">
        <f>IF(MOV_CC_INTL!B1577="","",MOV_CC_INTL!B1577)</f>
        <v/>
      </c>
      <c r="C1577" s="22" t="str">
        <f>IF(MOV_CC_INTL!C1577="","",MOV_CC_INTL!C1577)</f>
        <v/>
      </c>
      <c r="D1577" s="22" t="str">
        <f t="shared" si="1"/>
        <v>Other</v>
      </c>
      <c r="E1577" s="21" t="str">
        <f>IF(C1577="","",C1577*CONFIG!B5)</f>
        <v/>
      </c>
    </row>
    <row r="1578" ht="15.75" customHeight="1">
      <c r="A1578" s="22" t="str">
        <f>IF(MOV_CC_INTL!A1578="","",MOV_CC_INTL!A1578)</f>
        <v/>
      </c>
      <c r="B1578" s="22" t="str">
        <f>IF(MOV_CC_INTL!B1578="","",MOV_CC_INTL!B1578)</f>
        <v/>
      </c>
      <c r="C1578" s="22" t="str">
        <f>IF(MOV_CC_INTL!C1578="","",MOV_CC_INTL!C1578)</f>
        <v/>
      </c>
      <c r="D1578" s="22" t="str">
        <f t="shared" si="1"/>
        <v>Other</v>
      </c>
      <c r="E1578" s="21" t="str">
        <f>IF(C1578="","",C1578*CONFIG!B5)</f>
        <v/>
      </c>
    </row>
    <row r="1579" ht="15.75" customHeight="1">
      <c r="A1579" s="22" t="str">
        <f>IF(MOV_CC_INTL!A1579="","",MOV_CC_INTL!A1579)</f>
        <v/>
      </c>
      <c r="B1579" s="22" t="str">
        <f>IF(MOV_CC_INTL!B1579="","",MOV_CC_INTL!B1579)</f>
        <v/>
      </c>
      <c r="C1579" s="22" t="str">
        <f>IF(MOV_CC_INTL!C1579="","",MOV_CC_INTL!C1579)</f>
        <v/>
      </c>
      <c r="D1579" s="22" t="str">
        <f t="shared" si="1"/>
        <v>Other</v>
      </c>
      <c r="E1579" s="21" t="str">
        <f>IF(C1579="","",C1579*CONFIG!B5)</f>
        <v/>
      </c>
    </row>
    <row r="1580" ht="15.75" customHeight="1">
      <c r="A1580" s="22" t="str">
        <f>IF(MOV_CC_INTL!A1580="","",MOV_CC_INTL!A1580)</f>
        <v/>
      </c>
      <c r="B1580" s="22" t="str">
        <f>IF(MOV_CC_INTL!B1580="","",MOV_CC_INTL!B1580)</f>
        <v/>
      </c>
      <c r="C1580" s="22" t="str">
        <f>IF(MOV_CC_INTL!C1580="","",MOV_CC_INTL!C1580)</f>
        <v/>
      </c>
      <c r="D1580" s="22" t="str">
        <f t="shared" si="1"/>
        <v>Other</v>
      </c>
      <c r="E1580" s="21" t="str">
        <f>IF(C1580="","",C1580*CONFIG!B5)</f>
        <v/>
      </c>
    </row>
    <row r="1581" ht="15.75" customHeight="1">
      <c r="A1581" s="22" t="str">
        <f>IF(MOV_CC_INTL!A1581="","",MOV_CC_INTL!A1581)</f>
        <v/>
      </c>
      <c r="B1581" s="22" t="str">
        <f>IF(MOV_CC_INTL!B1581="","",MOV_CC_INTL!B1581)</f>
        <v/>
      </c>
      <c r="C1581" s="22" t="str">
        <f>IF(MOV_CC_INTL!C1581="","",MOV_CC_INTL!C1581)</f>
        <v/>
      </c>
      <c r="D1581" s="22" t="str">
        <f t="shared" si="1"/>
        <v>Other</v>
      </c>
      <c r="E1581" s="21" t="str">
        <f>IF(C1581="","",C1581*CONFIG!B5)</f>
        <v/>
      </c>
    </row>
    <row r="1582" ht="15.75" customHeight="1">
      <c r="A1582" s="22" t="str">
        <f>IF(MOV_CC_INTL!A1582="","",MOV_CC_INTL!A1582)</f>
        <v/>
      </c>
      <c r="B1582" s="22" t="str">
        <f>IF(MOV_CC_INTL!B1582="","",MOV_CC_INTL!B1582)</f>
        <v/>
      </c>
      <c r="C1582" s="22" t="str">
        <f>IF(MOV_CC_INTL!C1582="","",MOV_CC_INTL!C1582)</f>
        <v/>
      </c>
      <c r="D1582" s="22" t="str">
        <f t="shared" si="1"/>
        <v>Other</v>
      </c>
      <c r="E1582" s="21" t="str">
        <f>IF(C1582="","",C1582*CONFIG!B5)</f>
        <v/>
      </c>
    </row>
    <row r="1583" ht="15.75" customHeight="1">
      <c r="A1583" s="22" t="str">
        <f>IF(MOV_CC_INTL!A1583="","",MOV_CC_INTL!A1583)</f>
        <v/>
      </c>
      <c r="B1583" s="22" t="str">
        <f>IF(MOV_CC_INTL!B1583="","",MOV_CC_INTL!B1583)</f>
        <v/>
      </c>
      <c r="C1583" s="22" t="str">
        <f>IF(MOV_CC_INTL!C1583="","",MOV_CC_INTL!C1583)</f>
        <v/>
      </c>
      <c r="D1583" s="22" t="str">
        <f t="shared" si="1"/>
        <v>Other</v>
      </c>
      <c r="E1583" s="21" t="str">
        <f>IF(C1583="","",C1583*CONFIG!B5)</f>
        <v/>
      </c>
    </row>
    <row r="1584" ht="15.75" customHeight="1">
      <c r="A1584" s="22" t="str">
        <f>IF(MOV_CC_INTL!A1584="","",MOV_CC_INTL!A1584)</f>
        <v/>
      </c>
      <c r="B1584" s="22" t="str">
        <f>IF(MOV_CC_INTL!B1584="","",MOV_CC_INTL!B1584)</f>
        <v/>
      </c>
      <c r="C1584" s="22" t="str">
        <f>IF(MOV_CC_INTL!C1584="","",MOV_CC_INTL!C1584)</f>
        <v/>
      </c>
      <c r="D1584" s="22" t="str">
        <f t="shared" si="1"/>
        <v>Other</v>
      </c>
      <c r="E1584" s="21" t="str">
        <f>IF(C1584="","",C1584*CONFIG!B5)</f>
        <v/>
      </c>
    </row>
    <row r="1585" ht="15.75" customHeight="1">
      <c r="A1585" s="22" t="str">
        <f>IF(MOV_CC_INTL!A1585="","",MOV_CC_INTL!A1585)</f>
        <v/>
      </c>
      <c r="B1585" s="22" t="str">
        <f>IF(MOV_CC_INTL!B1585="","",MOV_CC_INTL!B1585)</f>
        <v/>
      </c>
      <c r="C1585" s="22" t="str">
        <f>IF(MOV_CC_INTL!C1585="","",MOV_CC_INTL!C1585)</f>
        <v/>
      </c>
      <c r="D1585" s="22" t="str">
        <f t="shared" si="1"/>
        <v>Other</v>
      </c>
      <c r="E1585" s="21" t="str">
        <f>IF(C1585="","",C1585*CONFIG!B5)</f>
        <v/>
      </c>
    </row>
    <row r="1586" ht="15.75" customHeight="1">
      <c r="A1586" s="22" t="str">
        <f>IF(MOV_CC_INTL!A1586="","",MOV_CC_INTL!A1586)</f>
        <v/>
      </c>
      <c r="B1586" s="22" t="str">
        <f>IF(MOV_CC_INTL!B1586="","",MOV_CC_INTL!B1586)</f>
        <v/>
      </c>
      <c r="C1586" s="22" t="str">
        <f>IF(MOV_CC_INTL!C1586="","",MOV_CC_INTL!C1586)</f>
        <v/>
      </c>
      <c r="D1586" s="22" t="str">
        <f t="shared" si="1"/>
        <v>Other</v>
      </c>
      <c r="E1586" s="21" t="str">
        <f>IF(C1586="","",C1586*CONFIG!B5)</f>
        <v/>
      </c>
    </row>
    <row r="1587" ht="15.75" customHeight="1">
      <c r="A1587" s="22" t="str">
        <f>IF(MOV_CC_INTL!A1587="","",MOV_CC_INTL!A1587)</f>
        <v/>
      </c>
      <c r="B1587" s="22" t="str">
        <f>IF(MOV_CC_INTL!B1587="","",MOV_CC_INTL!B1587)</f>
        <v/>
      </c>
      <c r="C1587" s="22" t="str">
        <f>IF(MOV_CC_INTL!C1587="","",MOV_CC_INTL!C1587)</f>
        <v/>
      </c>
      <c r="D1587" s="22" t="str">
        <f t="shared" si="1"/>
        <v>Other</v>
      </c>
      <c r="E1587" s="21" t="str">
        <f>IF(C1587="","",C1587*CONFIG!B5)</f>
        <v/>
      </c>
    </row>
    <row r="1588" ht="15.75" customHeight="1">
      <c r="A1588" s="22" t="str">
        <f>IF(MOV_CC_INTL!A1588="","",MOV_CC_INTL!A1588)</f>
        <v/>
      </c>
      <c r="B1588" s="22" t="str">
        <f>IF(MOV_CC_INTL!B1588="","",MOV_CC_INTL!B1588)</f>
        <v/>
      </c>
      <c r="C1588" s="22" t="str">
        <f>IF(MOV_CC_INTL!C1588="","",MOV_CC_INTL!C1588)</f>
        <v/>
      </c>
      <c r="D1588" s="22" t="str">
        <f t="shared" si="1"/>
        <v>Other</v>
      </c>
      <c r="E1588" s="21" t="str">
        <f>IF(C1588="","",C1588*CONFIG!B5)</f>
        <v/>
      </c>
    </row>
    <row r="1589" ht="15.75" customHeight="1">
      <c r="A1589" s="22" t="str">
        <f>IF(MOV_CC_INTL!A1589="","",MOV_CC_INTL!A1589)</f>
        <v/>
      </c>
      <c r="B1589" s="22" t="str">
        <f>IF(MOV_CC_INTL!B1589="","",MOV_CC_INTL!B1589)</f>
        <v/>
      </c>
      <c r="C1589" s="22" t="str">
        <f>IF(MOV_CC_INTL!C1589="","",MOV_CC_INTL!C1589)</f>
        <v/>
      </c>
      <c r="D1589" s="22" t="str">
        <f t="shared" si="1"/>
        <v>Other</v>
      </c>
      <c r="E1589" s="21" t="str">
        <f>IF(C1589="","",C1589*CONFIG!B5)</f>
        <v/>
      </c>
    </row>
    <row r="1590" ht="15.75" customHeight="1">
      <c r="A1590" s="22" t="str">
        <f>IF(MOV_CC_INTL!A1590="","",MOV_CC_INTL!A1590)</f>
        <v/>
      </c>
      <c r="B1590" s="22" t="str">
        <f>IF(MOV_CC_INTL!B1590="","",MOV_CC_INTL!B1590)</f>
        <v/>
      </c>
      <c r="C1590" s="22" t="str">
        <f>IF(MOV_CC_INTL!C1590="","",MOV_CC_INTL!C1590)</f>
        <v/>
      </c>
      <c r="D1590" s="22" t="str">
        <f t="shared" si="1"/>
        <v>Other</v>
      </c>
      <c r="E1590" s="21" t="str">
        <f>IF(C1590="","",C1590*CONFIG!B5)</f>
        <v/>
      </c>
    </row>
    <row r="1591" ht="15.75" customHeight="1">
      <c r="A1591" s="22" t="str">
        <f>IF(MOV_CC_INTL!A1591="","",MOV_CC_INTL!A1591)</f>
        <v/>
      </c>
      <c r="B1591" s="22" t="str">
        <f>IF(MOV_CC_INTL!B1591="","",MOV_CC_INTL!B1591)</f>
        <v/>
      </c>
      <c r="C1591" s="22" t="str">
        <f>IF(MOV_CC_INTL!C1591="","",MOV_CC_INTL!C1591)</f>
        <v/>
      </c>
      <c r="D1591" s="22" t="str">
        <f t="shared" si="1"/>
        <v>Other</v>
      </c>
      <c r="E1591" s="21" t="str">
        <f>IF(C1591="","",C1591*CONFIG!B5)</f>
        <v/>
      </c>
    </row>
    <row r="1592" ht="15.75" customHeight="1">
      <c r="A1592" s="22" t="str">
        <f>IF(MOV_CC_INTL!A1592="","",MOV_CC_INTL!A1592)</f>
        <v/>
      </c>
      <c r="B1592" s="22" t="str">
        <f>IF(MOV_CC_INTL!B1592="","",MOV_CC_INTL!B1592)</f>
        <v/>
      </c>
      <c r="C1592" s="22" t="str">
        <f>IF(MOV_CC_INTL!C1592="","",MOV_CC_INTL!C1592)</f>
        <v/>
      </c>
      <c r="D1592" s="22" t="str">
        <f t="shared" si="1"/>
        <v>Other</v>
      </c>
      <c r="E1592" s="21" t="str">
        <f>IF(C1592="","",C1592*CONFIG!B5)</f>
        <v/>
      </c>
    </row>
    <row r="1593" ht="15.75" customHeight="1">
      <c r="A1593" s="22" t="str">
        <f>IF(MOV_CC_INTL!A1593="","",MOV_CC_INTL!A1593)</f>
        <v/>
      </c>
      <c r="B1593" s="22" t="str">
        <f>IF(MOV_CC_INTL!B1593="","",MOV_CC_INTL!B1593)</f>
        <v/>
      </c>
      <c r="C1593" s="22" t="str">
        <f>IF(MOV_CC_INTL!C1593="","",MOV_CC_INTL!C1593)</f>
        <v/>
      </c>
      <c r="D1593" s="22" t="str">
        <f t="shared" si="1"/>
        <v>Other</v>
      </c>
      <c r="E1593" s="21" t="str">
        <f>IF(C1593="","",C1593*CONFIG!B5)</f>
        <v/>
      </c>
    </row>
    <row r="1594" ht="15.75" customHeight="1">
      <c r="A1594" s="22" t="str">
        <f>IF(MOV_CC_INTL!A1594="","",MOV_CC_INTL!A1594)</f>
        <v/>
      </c>
      <c r="B1594" s="22" t="str">
        <f>IF(MOV_CC_INTL!B1594="","",MOV_CC_INTL!B1594)</f>
        <v/>
      </c>
      <c r="C1594" s="22" t="str">
        <f>IF(MOV_CC_INTL!C1594="","",MOV_CC_INTL!C1594)</f>
        <v/>
      </c>
      <c r="D1594" s="22" t="str">
        <f t="shared" si="1"/>
        <v>Other</v>
      </c>
      <c r="E1594" s="21" t="str">
        <f>IF(C1594="","",C1594*CONFIG!B5)</f>
        <v/>
      </c>
    </row>
    <row r="1595" ht="15.75" customHeight="1">
      <c r="A1595" s="22" t="str">
        <f>IF(MOV_CC_INTL!A1595="","",MOV_CC_INTL!A1595)</f>
        <v/>
      </c>
      <c r="B1595" s="22" t="str">
        <f>IF(MOV_CC_INTL!B1595="","",MOV_CC_INTL!B1595)</f>
        <v/>
      </c>
      <c r="C1595" s="22" t="str">
        <f>IF(MOV_CC_INTL!C1595="","",MOV_CC_INTL!C1595)</f>
        <v/>
      </c>
      <c r="D1595" s="22" t="str">
        <f t="shared" si="1"/>
        <v>Other</v>
      </c>
      <c r="E1595" s="21" t="str">
        <f>IF(C1595="","",C1595*CONFIG!B5)</f>
        <v/>
      </c>
    </row>
    <row r="1596" ht="15.75" customHeight="1">
      <c r="A1596" s="22" t="str">
        <f>IF(MOV_CC_INTL!A1596="","",MOV_CC_INTL!A1596)</f>
        <v/>
      </c>
      <c r="B1596" s="22" t="str">
        <f>IF(MOV_CC_INTL!B1596="","",MOV_CC_INTL!B1596)</f>
        <v/>
      </c>
      <c r="C1596" s="22" t="str">
        <f>IF(MOV_CC_INTL!C1596="","",MOV_CC_INTL!C1596)</f>
        <v/>
      </c>
      <c r="D1596" s="22" t="str">
        <f t="shared" si="1"/>
        <v>Other</v>
      </c>
      <c r="E1596" s="21" t="str">
        <f>IF(C1596="","",C1596*CONFIG!B5)</f>
        <v/>
      </c>
    </row>
    <row r="1597" ht="15.75" customHeight="1">
      <c r="A1597" s="22" t="str">
        <f>IF(MOV_CC_INTL!A1597="","",MOV_CC_INTL!A1597)</f>
        <v/>
      </c>
      <c r="B1597" s="22" t="str">
        <f>IF(MOV_CC_INTL!B1597="","",MOV_CC_INTL!B1597)</f>
        <v/>
      </c>
      <c r="C1597" s="22" t="str">
        <f>IF(MOV_CC_INTL!C1597="","",MOV_CC_INTL!C1597)</f>
        <v/>
      </c>
      <c r="D1597" s="22" t="str">
        <f t="shared" si="1"/>
        <v>Other</v>
      </c>
      <c r="E1597" s="21" t="str">
        <f>IF(C1597="","",C1597*CONFIG!B5)</f>
        <v/>
      </c>
    </row>
    <row r="1598" ht="15.75" customHeight="1">
      <c r="A1598" s="22" t="str">
        <f>IF(MOV_CC_INTL!A1598="","",MOV_CC_INTL!A1598)</f>
        <v/>
      </c>
      <c r="B1598" s="22" t="str">
        <f>IF(MOV_CC_INTL!B1598="","",MOV_CC_INTL!B1598)</f>
        <v/>
      </c>
      <c r="C1598" s="22" t="str">
        <f>IF(MOV_CC_INTL!C1598="","",MOV_CC_INTL!C1598)</f>
        <v/>
      </c>
      <c r="D1598" s="22" t="str">
        <f t="shared" si="1"/>
        <v>Other</v>
      </c>
      <c r="E1598" s="21" t="str">
        <f>IF(C1598="","",C1598*CONFIG!B5)</f>
        <v/>
      </c>
    </row>
    <row r="1599" ht="15.75" customHeight="1">
      <c r="A1599" s="22" t="str">
        <f>IF(MOV_CC_INTL!A1599="","",MOV_CC_INTL!A1599)</f>
        <v/>
      </c>
      <c r="B1599" s="22" t="str">
        <f>IF(MOV_CC_INTL!B1599="","",MOV_CC_INTL!B1599)</f>
        <v/>
      </c>
      <c r="C1599" s="22" t="str">
        <f>IF(MOV_CC_INTL!C1599="","",MOV_CC_INTL!C1599)</f>
        <v/>
      </c>
      <c r="D1599" s="22" t="str">
        <f t="shared" si="1"/>
        <v>Other</v>
      </c>
      <c r="E1599" s="21" t="str">
        <f>IF(C1599="","",C1599*CONFIG!B5)</f>
        <v/>
      </c>
    </row>
    <row r="1600" ht="15.75" customHeight="1">
      <c r="A1600" s="22" t="str">
        <f>IF(MOV_CC_INTL!A1600="","",MOV_CC_INTL!A1600)</f>
        <v/>
      </c>
      <c r="B1600" s="22" t="str">
        <f>IF(MOV_CC_INTL!B1600="","",MOV_CC_INTL!B1600)</f>
        <v/>
      </c>
      <c r="C1600" s="22" t="str">
        <f>IF(MOV_CC_INTL!C1600="","",MOV_CC_INTL!C1600)</f>
        <v/>
      </c>
      <c r="D1600" s="22" t="str">
        <f t="shared" si="1"/>
        <v>Other</v>
      </c>
      <c r="E1600" s="21" t="str">
        <f>IF(C1600="","",C1600*CONFIG!B5)</f>
        <v/>
      </c>
    </row>
    <row r="1601" ht="15.75" customHeight="1">
      <c r="A1601" s="22" t="str">
        <f>IF(MOV_CC_INTL!A1601="","",MOV_CC_INTL!A1601)</f>
        <v/>
      </c>
      <c r="B1601" s="22" t="str">
        <f>IF(MOV_CC_INTL!B1601="","",MOV_CC_INTL!B1601)</f>
        <v/>
      </c>
      <c r="C1601" s="22" t="str">
        <f>IF(MOV_CC_INTL!C1601="","",MOV_CC_INTL!C1601)</f>
        <v/>
      </c>
      <c r="D1601" s="22" t="str">
        <f t="shared" si="1"/>
        <v>Other</v>
      </c>
      <c r="E1601" s="21" t="str">
        <f>IF(C1601="","",C1601*CONFIG!B5)</f>
        <v/>
      </c>
    </row>
    <row r="1602" ht="15.75" customHeight="1">
      <c r="A1602" s="22" t="str">
        <f>IF(MOV_CC_INTL!A1602="","",MOV_CC_INTL!A1602)</f>
        <v/>
      </c>
      <c r="B1602" s="22" t="str">
        <f>IF(MOV_CC_INTL!B1602="","",MOV_CC_INTL!B1602)</f>
        <v/>
      </c>
      <c r="C1602" s="22" t="str">
        <f>IF(MOV_CC_INTL!C1602="","",MOV_CC_INTL!C1602)</f>
        <v/>
      </c>
      <c r="D1602" s="22" t="str">
        <f t="shared" si="1"/>
        <v>Other</v>
      </c>
      <c r="E1602" s="21" t="str">
        <f>IF(C1602="","",C1602*CONFIG!B5)</f>
        <v/>
      </c>
    </row>
    <row r="1603" ht="15.75" customHeight="1">
      <c r="A1603" s="22" t="str">
        <f>IF(MOV_CC_INTL!A1603="","",MOV_CC_INTL!A1603)</f>
        <v/>
      </c>
      <c r="B1603" s="22" t="str">
        <f>IF(MOV_CC_INTL!B1603="","",MOV_CC_INTL!B1603)</f>
        <v/>
      </c>
      <c r="C1603" s="22" t="str">
        <f>IF(MOV_CC_INTL!C1603="","",MOV_CC_INTL!C1603)</f>
        <v/>
      </c>
      <c r="D1603" s="22" t="str">
        <f t="shared" si="1"/>
        <v>Other</v>
      </c>
      <c r="E1603" s="21" t="str">
        <f>IF(C1603="","",C1603*CONFIG!B5)</f>
        <v/>
      </c>
    </row>
    <row r="1604" ht="15.75" customHeight="1">
      <c r="A1604" s="22" t="str">
        <f>IF(MOV_CC_INTL!A1604="","",MOV_CC_INTL!A1604)</f>
        <v/>
      </c>
      <c r="B1604" s="22" t="str">
        <f>IF(MOV_CC_INTL!B1604="","",MOV_CC_INTL!B1604)</f>
        <v/>
      </c>
      <c r="C1604" s="22" t="str">
        <f>IF(MOV_CC_INTL!C1604="","",MOV_CC_INTL!C1604)</f>
        <v/>
      </c>
      <c r="D1604" s="22" t="str">
        <f t="shared" si="1"/>
        <v>Other</v>
      </c>
      <c r="E1604" s="21" t="str">
        <f>IF(C1604="","",C1604*CONFIG!B5)</f>
        <v/>
      </c>
    </row>
    <row r="1605" ht="15.75" customHeight="1">
      <c r="A1605" s="22" t="str">
        <f>IF(MOV_CC_INTL!A1605="","",MOV_CC_INTL!A1605)</f>
        <v/>
      </c>
      <c r="B1605" s="22" t="str">
        <f>IF(MOV_CC_INTL!B1605="","",MOV_CC_INTL!B1605)</f>
        <v/>
      </c>
      <c r="C1605" s="22" t="str">
        <f>IF(MOV_CC_INTL!C1605="","",MOV_CC_INTL!C1605)</f>
        <v/>
      </c>
      <c r="D1605" s="22" t="str">
        <f t="shared" si="1"/>
        <v>Other</v>
      </c>
      <c r="E1605" s="21" t="str">
        <f>IF(C1605="","",C1605*CONFIG!B5)</f>
        <v/>
      </c>
    </row>
    <row r="1606" ht="15.75" customHeight="1">
      <c r="A1606" s="22" t="str">
        <f>IF(MOV_CC_INTL!A1606="","",MOV_CC_INTL!A1606)</f>
        <v/>
      </c>
      <c r="B1606" s="22" t="str">
        <f>IF(MOV_CC_INTL!B1606="","",MOV_CC_INTL!B1606)</f>
        <v/>
      </c>
      <c r="C1606" s="22" t="str">
        <f>IF(MOV_CC_INTL!C1606="","",MOV_CC_INTL!C1606)</f>
        <v/>
      </c>
      <c r="D1606" s="22" t="str">
        <f t="shared" si="1"/>
        <v>Other</v>
      </c>
      <c r="E1606" s="21" t="str">
        <f>IF(C1606="","",C1606*CONFIG!B5)</f>
        <v/>
      </c>
    </row>
    <row r="1607" ht="15.75" customHeight="1">
      <c r="A1607" s="22" t="str">
        <f>IF(MOV_CC_INTL!A1607="","",MOV_CC_INTL!A1607)</f>
        <v/>
      </c>
      <c r="B1607" s="22" t="str">
        <f>IF(MOV_CC_INTL!B1607="","",MOV_CC_INTL!B1607)</f>
        <v/>
      </c>
      <c r="C1607" s="22" t="str">
        <f>IF(MOV_CC_INTL!C1607="","",MOV_CC_INTL!C1607)</f>
        <v/>
      </c>
      <c r="D1607" s="22" t="str">
        <f t="shared" si="1"/>
        <v>Other</v>
      </c>
      <c r="E1607" s="21" t="str">
        <f>IF(C1607="","",C1607*CONFIG!B5)</f>
        <v/>
      </c>
    </row>
    <row r="1608" ht="15.75" customHeight="1">
      <c r="A1608" s="22" t="str">
        <f>IF(MOV_CC_INTL!A1608="","",MOV_CC_INTL!A1608)</f>
        <v/>
      </c>
      <c r="B1608" s="22" t="str">
        <f>IF(MOV_CC_INTL!B1608="","",MOV_CC_INTL!B1608)</f>
        <v/>
      </c>
      <c r="C1608" s="22" t="str">
        <f>IF(MOV_CC_INTL!C1608="","",MOV_CC_INTL!C1608)</f>
        <v/>
      </c>
      <c r="D1608" s="22" t="str">
        <f t="shared" si="1"/>
        <v>Other</v>
      </c>
      <c r="E1608" s="21" t="str">
        <f>IF(C1608="","",C1608*CONFIG!B5)</f>
        <v/>
      </c>
    </row>
    <row r="1609" ht="15.75" customHeight="1">
      <c r="A1609" s="22" t="str">
        <f>IF(MOV_CC_INTL!A1609="","",MOV_CC_INTL!A1609)</f>
        <v/>
      </c>
      <c r="B1609" s="22" t="str">
        <f>IF(MOV_CC_INTL!B1609="","",MOV_CC_INTL!B1609)</f>
        <v/>
      </c>
      <c r="C1609" s="22" t="str">
        <f>IF(MOV_CC_INTL!C1609="","",MOV_CC_INTL!C1609)</f>
        <v/>
      </c>
      <c r="D1609" s="22" t="str">
        <f t="shared" si="1"/>
        <v>Other</v>
      </c>
      <c r="E1609" s="21" t="str">
        <f>IF(C1609="","",C1609*CONFIG!B5)</f>
        <v/>
      </c>
    </row>
    <row r="1610" ht="15.75" customHeight="1">
      <c r="A1610" s="22" t="str">
        <f>IF(MOV_CC_INTL!A1610="","",MOV_CC_INTL!A1610)</f>
        <v/>
      </c>
      <c r="B1610" s="22" t="str">
        <f>IF(MOV_CC_INTL!B1610="","",MOV_CC_INTL!B1610)</f>
        <v/>
      </c>
      <c r="C1610" s="22" t="str">
        <f>IF(MOV_CC_INTL!C1610="","",MOV_CC_INTL!C1610)</f>
        <v/>
      </c>
      <c r="D1610" s="22" t="str">
        <f t="shared" si="1"/>
        <v>Other</v>
      </c>
      <c r="E1610" s="21" t="str">
        <f>IF(C1610="","",C1610*CONFIG!B5)</f>
        <v/>
      </c>
    </row>
    <row r="1611" ht="15.75" customHeight="1">
      <c r="A1611" s="22" t="str">
        <f>IF(MOV_CC_INTL!A1611="","",MOV_CC_INTL!A1611)</f>
        <v/>
      </c>
      <c r="B1611" s="22" t="str">
        <f>IF(MOV_CC_INTL!B1611="","",MOV_CC_INTL!B1611)</f>
        <v/>
      </c>
      <c r="C1611" s="22" t="str">
        <f>IF(MOV_CC_INTL!C1611="","",MOV_CC_INTL!C1611)</f>
        <v/>
      </c>
      <c r="D1611" s="22" t="str">
        <f t="shared" si="1"/>
        <v>Other</v>
      </c>
      <c r="E1611" s="21" t="str">
        <f>IF(C1611="","",C1611*CONFIG!B5)</f>
        <v/>
      </c>
    </row>
    <row r="1612" ht="15.75" customHeight="1">
      <c r="A1612" s="22" t="str">
        <f>IF(MOV_CC_INTL!A1612="","",MOV_CC_INTL!A1612)</f>
        <v/>
      </c>
      <c r="B1612" s="22" t="str">
        <f>IF(MOV_CC_INTL!B1612="","",MOV_CC_INTL!B1612)</f>
        <v/>
      </c>
      <c r="C1612" s="22" t="str">
        <f>IF(MOV_CC_INTL!C1612="","",MOV_CC_INTL!C1612)</f>
        <v/>
      </c>
      <c r="D1612" s="22" t="str">
        <f t="shared" si="1"/>
        <v>Other</v>
      </c>
      <c r="E1612" s="21" t="str">
        <f>IF(C1612="","",C1612*CONFIG!B5)</f>
        <v/>
      </c>
    </row>
    <row r="1613" ht="15.75" customHeight="1">
      <c r="A1613" s="22" t="str">
        <f>IF(MOV_CC_INTL!A1613="","",MOV_CC_INTL!A1613)</f>
        <v/>
      </c>
      <c r="B1613" s="22" t="str">
        <f>IF(MOV_CC_INTL!B1613="","",MOV_CC_INTL!B1613)</f>
        <v/>
      </c>
      <c r="C1613" s="22" t="str">
        <f>IF(MOV_CC_INTL!C1613="","",MOV_CC_INTL!C1613)</f>
        <v/>
      </c>
      <c r="D1613" s="22" t="str">
        <f t="shared" si="1"/>
        <v>Other</v>
      </c>
      <c r="E1613" s="21" t="str">
        <f>IF(C1613="","",C1613*CONFIG!B5)</f>
        <v/>
      </c>
    </row>
    <row r="1614" ht="15.75" customHeight="1">
      <c r="A1614" s="22" t="str">
        <f>IF(MOV_CC_INTL!A1614="","",MOV_CC_INTL!A1614)</f>
        <v/>
      </c>
      <c r="B1614" s="22" t="str">
        <f>IF(MOV_CC_INTL!B1614="","",MOV_CC_INTL!B1614)</f>
        <v/>
      </c>
      <c r="C1614" s="22" t="str">
        <f>IF(MOV_CC_INTL!C1614="","",MOV_CC_INTL!C1614)</f>
        <v/>
      </c>
      <c r="D1614" s="22" t="str">
        <f t="shared" si="1"/>
        <v>Other</v>
      </c>
      <c r="E1614" s="21" t="str">
        <f>IF(C1614="","",C1614*CONFIG!B5)</f>
        <v/>
      </c>
    </row>
    <row r="1615" ht="15.75" customHeight="1">
      <c r="A1615" s="22" t="str">
        <f>IF(MOV_CC_INTL!A1615="","",MOV_CC_INTL!A1615)</f>
        <v/>
      </c>
      <c r="B1615" s="22" t="str">
        <f>IF(MOV_CC_INTL!B1615="","",MOV_CC_INTL!B1615)</f>
        <v/>
      </c>
      <c r="C1615" s="22" t="str">
        <f>IF(MOV_CC_INTL!C1615="","",MOV_CC_INTL!C1615)</f>
        <v/>
      </c>
      <c r="D1615" s="22" t="str">
        <f t="shared" si="1"/>
        <v>Other</v>
      </c>
      <c r="E1615" s="21" t="str">
        <f>IF(C1615="","",C1615*CONFIG!B5)</f>
        <v/>
      </c>
    </row>
    <row r="1616" ht="15.75" customHeight="1">
      <c r="A1616" s="22" t="str">
        <f>IF(MOV_CC_INTL!A1616="","",MOV_CC_INTL!A1616)</f>
        <v/>
      </c>
      <c r="B1616" s="22" t="str">
        <f>IF(MOV_CC_INTL!B1616="","",MOV_CC_INTL!B1616)</f>
        <v/>
      </c>
      <c r="C1616" s="22" t="str">
        <f>IF(MOV_CC_INTL!C1616="","",MOV_CC_INTL!C1616)</f>
        <v/>
      </c>
      <c r="D1616" s="22" t="str">
        <f t="shared" si="1"/>
        <v>Other</v>
      </c>
      <c r="E1616" s="21" t="str">
        <f>IF(C1616="","",C1616*CONFIG!B5)</f>
        <v/>
      </c>
    </row>
    <row r="1617" ht="15.75" customHeight="1">
      <c r="A1617" s="22" t="str">
        <f>IF(MOV_CC_INTL!A1617="","",MOV_CC_INTL!A1617)</f>
        <v/>
      </c>
      <c r="B1617" s="22" t="str">
        <f>IF(MOV_CC_INTL!B1617="","",MOV_CC_INTL!B1617)</f>
        <v/>
      </c>
      <c r="C1617" s="22" t="str">
        <f>IF(MOV_CC_INTL!C1617="","",MOV_CC_INTL!C1617)</f>
        <v/>
      </c>
      <c r="D1617" s="22" t="str">
        <f t="shared" si="1"/>
        <v>Other</v>
      </c>
      <c r="E1617" s="21" t="str">
        <f>IF(C1617="","",C1617*CONFIG!B5)</f>
        <v/>
      </c>
    </row>
    <row r="1618" ht="15.75" customHeight="1">
      <c r="A1618" s="22" t="str">
        <f>IF(MOV_CC_INTL!A1618="","",MOV_CC_INTL!A1618)</f>
        <v/>
      </c>
      <c r="B1618" s="22" t="str">
        <f>IF(MOV_CC_INTL!B1618="","",MOV_CC_INTL!B1618)</f>
        <v/>
      </c>
      <c r="C1618" s="22" t="str">
        <f>IF(MOV_CC_INTL!C1618="","",MOV_CC_INTL!C1618)</f>
        <v/>
      </c>
      <c r="D1618" s="22" t="str">
        <f t="shared" si="1"/>
        <v>Other</v>
      </c>
      <c r="E1618" s="21" t="str">
        <f>IF(C1618="","",C1618*CONFIG!B5)</f>
        <v/>
      </c>
    </row>
    <row r="1619" ht="15.75" customHeight="1">
      <c r="A1619" s="22" t="str">
        <f>IF(MOV_CC_INTL!A1619="","",MOV_CC_INTL!A1619)</f>
        <v/>
      </c>
      <c r="B1619" s="22" t="str">
        <f>IF(MOV_CC_INTL!B1619="","",MOV_CC_INTL!B1619)</f>
        <v/>
      </c>
      <c r="C1619" s="22" t="str">
        <f>IF(MOV_CC_INTL!C1619="","",MOV_CC_INTL!C1619)</f>
        <v/>
      </c>
      <c r="D1619" s="22" t="str">
        <f t="shared" si="1"/>
        <v>Other</v>
      </c>
      <c r="E1619" s="21" t="str">
        <f>IF(C1619="","",C1619*CONFIG!B5)</f>
        <v/>
      </c>
    </row>
    <row r="1620" ht="15.75" customHeight="1">
      <c r="A1620" s="22" t="str">
        <f>IF(MOV_CC_INTL!A1620="","",MOV_CC_INTL!A1620)</f>
        <v/>
      </c>
      <c r="B1620" s="22" t="str">
        <f>IF(MOV_CC_INTL!B1620="","",MOV_CC_INTL!B1620)</f>
        <v/>
      </c>
      <c r="C1620" s="22" t="str">
        <f>IF(MOV_CC_INTL!C1620="","",MOV_CC_INTL!C1620)</f>
        <v/>
      </c>
      <c r="D1620" s="22" t="str">
        <f t="shared" si="1"/>
        <v>Other</v>
      </c>
      <c r="E1620" s="21" t="str">
        <f>IF(C1620="","",C1620*CONFIG!B5)</f>
        <v/>
      </c>
    </row>
    <row r="1621" ht="15.75" customHeight="1">
      <c r="A1621" s="22" t="str">
        <f>IF(MOV_CC_INTL!A1621="","",MOV_CC_INTL!A1621)</f>
        <v/>
      </c>
      <c r="B1621" s="22" t="str">
        <f>IF(MOV_CC_INTL!B1621="","",MOV_CC_INTL!B1621)</f>
        <v/>
      </c>
      <c r="C1621" s="22" t="str">
        <f>IF(MOV_CC_INTL!C1621="","",MOV_CC_INTL!C1621)</f>
        <v/>
      </c>
      <c r="D1621" s="22" t="str">
        <f t="shared" si="1"/>
        <v>Other</v>
      </c>
      <c r="E1621" s="21" t="str">
        <f>IF(C1621="","",C1621*CONFIG!B5)</f>
        <v/>
      </c>
    </row>
    <row r="1622" ht="15.75" customHeight="1">
      <c r="A1622" s="22" t="str">
        <f>IF(MOV_CC_INTL!A1622="","",MOV_CC_INTL!A1622)</f>
        <v/>
      </c>
      <c r="B1622" s="22" t="str">
        <f>IF(MOV_CC_INTL!B1622="","",MOV_CC_INTL!B1622)</f>
        <v/>
      </c>
      <c r="C1622" s="22" t="str">
        <f>IF(MOV_CC_INTL!C1622="","",MOV_CC_INTL!C1622)</f>
        <v/>
      </c>
      <c r="D1622" s="22" t="str">
        <f t="shared" si="1"/>
        <v>Other</v>
      </c>
      <c r="E1622" s="21" t="str">
        <f>IF(C1622="","",C1622*CONFIG!B5)</f>
        <v/>
      </c>
    </row>
    <row r="1623" ht="15.75" customHeight="1">
      <c r="A1623" s="22" t="str">
        <f>IF(MOV_CC_INTL!A1623="","",MOV_CC_INTL!A1623)</f>
        <v/>
      </c>
      <c r="B1623" s="22" t="str">
        <f>IF(MOV_CC_INTL!B1623="","",MOV_CC_INTL!B1623)</f>
        <v/>
      </c>
      <c r="C1623" s="22" t="str">
        <f>IF(MOV_CC_INTL!C1623="","",MOV_CC_INTL!C1623)</f>
        <v/>
      </c>
      <c r="D1623" s="22" t="str">
        <f t="shared" si="1"/>
        <v>Other</v>
      </c>
      <c r="E1623" s="21" t="str">
        <f>IF(C1623="","",C1623*CONFIG!B5)</f>
        <v/>
      </c>
    </row>
    <row r="1624" ht="15.75" customHeight="1">
      <c r="A1624" s="22" t="str">
        <f>IF(MOV_CC_INTL!A1624="","",MOV_CC_INTL!A1624)</f>
        <v/>
      </c>
      <c r="B1624" s="22" t="str">
        <f>IF(MOV_CC_INTL!B1624="","",MOV_CC_INTL!B1624)</f>
        <v/>
      </c>
      <c r="C1624" s="22" t="str">
        <f>IF(MOV_CC_INTL!C1624="","",MOV_CC_INTL!C1624)</f>
        <v/>
      </c>
      <c r="D1624" s="22" t="str">
        <f t="shared" si="1"/>
        <v>Other</v>
      </c>
      <c r="E1624" s="21" t="str">
        <f>IF(C1624="","",C1624*CONFIG!B5)</f>
        <v/>
      </c>
    </row>
    <row r="1625" ht="15.75" customHeight="1">
      <c r="A1625" s="22" t="str">
        <f>IF(MOV_CC_INTL!A1625="","",MOV_CC_INTL!A1625)</f>
        <v/>
      </c>
      <c r="B1625" s="22" t="str">
        <f>IF(MOV_CC_INTL!B1625="","",MOV_CC_INTL!B1625)</f>
        <v/>
      </c>
      <c r="C1625" s="22" t="str">
        <f>IF(MOV_CC_INTL!C1625="","",MOV_CC_INTL!C1625)</f>
        <v/>
      </c>
      <c r="D1625" s="22" t="str">
        <f t="shared" si="1"/>
        <v>Other</v>
      </c>
      <c r="E1625" s="21" t="str">
        <f>IF(C1625="","",C1625*CONFIG!B5)</f>
        <v/>
      </c>
    </row>
    <row r="1626" ht="15.75" customHeight="1">
      <c r="A1626" s="22" t="str">
        <f>IF(MOV_CC_INTL!A1626="","",MOV_CC_INTL!A1626)</f>
        <v/>
      </c>
      <c r="B1626" s="22" t="str">
        <f>IF(MOV_CC_INTL!B1626="","",MOV_CC_INTL!B1626)</f>
        <v/>
      </c>
      <c r="C1626" s="22" t="str">
        <f>IF(MOV_CC_INTL!C1626="","",MOV_CC_INTL!C1626)</f>
        <v/>
      </c>
      <c r="D1626" s="22" t="str">
        <f t="shared" si="1"/>
        <v>Other</v>
      </c>
      <c r="E1626" s="21" t="str">
        <f>IF(C1626="","",C1626*CONFIG!B5)</f>
        <v/>
      </c>
    </row>
    <row r="1627" ht="15.75" customHeight="1">
      <c r="A1627" s="22" t="str">
        <f>IF(MOV_CC_INTL!A1627="","",MOV_CC_INTL!A1627)</f>
        <v/>
      </c>
      <c r="B1627" s="22" t="str">
        <f>IF(MOV_CC_INTL!B1627="","",MOV_CC_INTL!B1627)</f>
        <v/>
      </c>
      <c r="C1627" s="22" t="str">
        <f>IF(MOV_CC_INTL!C1627="","",MOV_CC_INTL!C1627)</f>
        <v/>
      </c>
      <c r="D1627" s="22" t="str">
        <f t="shared" si="1"/>
        <v>Other</v>
      </c>
      <c r="E1627" s="21" t="str">
        <f>IF(C1627="","",C1627*CONFIG!B5)</f>
        <v/>
      </c>
    </row>
    <row r="1628" ht="15.75" customHeight="1">
      <c r="A1628" s="22" t="str">
        <f>IF(MOV_CC_INTL!A1628="","",MOV_CC_INTL!A1628)</f>
        <v/>
      </c>
      <c r="B1628" s="22" t="str">
        <f>IF(MOV_CC_INTL!B1628="","",MOV_CC_INTL!B1628)</f>
        <v/>
      </c>
      <c r="C1628" s="22" t="str">
        <f>IF(MOV_CC_INTL!C1628="","",MOV_CC_INTL!C1628)</f>
        <v/>
      </c>
      <c r="D1628" s="22" t="str">
        <f t="shared" si="1"/>
        <v>Other</v>
      </c>
      <c r="E1628" s="21" t="str">
        <f>IF(C1628="","",C1628*CONFIG!B5)</f>
        <v/>
      </c>
    </row>
    <row r="1629" ht="15.75" customHeight="1">
      <c r="A1629" s="22" t="str">
        <f>IF(MOV_CC_INTL!A1629="","",MOV_CC_INTL!A1629)</f>
        <v/>
      </c>
      <c r="B1629" s="22" t="str">
        <f>IF(MOV_CC_INTL!B1629="","",MOV_CC_INTL!B1629)</f>
        <v/>
      </c>
      <c r="C1629" s="22" t="str">
        <f>IF(MOV_CC_INTL!C1629="","",MOV_CC_INTL!C1629)</f>
        <v/>
      </c>
      <c r="D1629" s="22" t="str">
        <f t="shared" si="1"/>
        <v>Other</v>
      </c>
      <c r="E1629" s="21" t="str">
        <f>IF(C1629="","",C1629*CONFIG!B5)</f>
        <v/>
      </c>
    </row>
    <row r="1630" ht="15.75" customHeight="1">
      <c r="A1630" s="22" t="str">
        <f>IF(MOV_CC_INTL!A1630="","",MOV_CC_INTL!A1630)</f>
        <v/>
      </c>
      <c r="B1630" s="22" t="str">
        <f>IF(MOV_CC_INTL!B1630="","",MOV_CC_INTL!B1630)</f>
        <v/>
      </c>
      <c r="C1630" s="22" t="str">
        <f>IF(MOV_CC_INTL!C1630="","",MOV_CC_INTL!C1630)</f>
        <v/>
      </c>
      <c r="D1630" s="22" t="str">
        <f t="shared" si="1"/>
        <v>Other</v>
      </c>
      <c r="E1630" s="21" t="str">
        <f>IF(C1630="","",C1630*CONFIG!B5)</f>
        <v/>
      </c>
    </row>
    <row r="1631" ht="15.75" customHeight="1">
      <c r="A1631" s="22" t="str">
        <f>IF(MOV_CC_INTL!A1631="","",MOV_CC_INTL!A1631)</f>
        <v/>
      </c>
      <c r="B1631" s="22" t="str">
        <f>IF(MOV_CC_INTL!B1631="","",MOV_CC_INTL!B1631)</f>
        <v/>
      </c>
      <c r="C1631" s="22" t="str">
        <f>IF(MOV_CC_INTL!C1631="","",MOV_CC_INTL!C1631)</f>
        <v/>
      </c>
      <c r="D1631" s="22" t="str">
        <f t="shared" si="1"/>
        <v>Other</v>
      </c>
      <c r="E1631" s="21" t="str">
        <f>IF(C1631="","",C1631*CONFIG!B5)</f>
        <v/>
      </c>
    </row>
    <row r="1632" ht="15.75" customHeight="1">
      <c r="A1632" s="22" t="str">
        <f>IF(MOV_CC_INTL!A1632="","",MOV_CC_INTL!A1632)</f>
        <v/>
      </c>
      <c r="B1632" s="22" t="str">
        <f>IF(MOV_CC_INTL!B1632="","",MOV_CC_INTL!B1632)</f>
        <v/>
      </c>
      <c r="C1632" s="22" t="str">
        <f>IF(MOV_CC_INTL!C1632="","",MOV_CC_INTL!C1632)</f>
        <v/>
      </c>
      <c r="D1632" s="22" t="str">
        <f t="shared" si="1"/>
        <v>Other</v>
      </c>
      <c r="E1632" s="21" t="str">
        <f>IF(C1632="","",C1632*CONFIG!B5)</f>
        <v/>
      </c>
    </row>
    <row r="1633" ht="15.75" customHeight="1">
      <c r="A1633" s="22" t="str">
        <f>IF(MOV_CC_INTL!A1633="","",MOV_CC_INTL!A1633)</f>
        <v/>
      </c>
      <c r="B1633" s="22" t="str">
        <f>IF(MOV_CC_INTL!B1633="","",MOV_CC_INTL!B1633)</f>
        <v/>
      </c>
      <c r="C1633" s="22" t="str">
        <f>IF(MOV_CC_INTL!C1633="","",MOV_CC_INTL!C1633)</f>
        <v/>
      </c>
      <c r="D1633" s="22" t="str">
        <f t="shared" si="1"/>
        <v>Other</v>
      </c>
      <c r="E1633" s="21" t="str">
        <f>IF(C1633="","",C1633*CONFIG!B5)</f>
        <v/>
      </c>
    </row>
    <row r="1634" ht="15.75" customHeight="1">
      <c r="A1634" s="22" t="str">
        <f>IF(MOV_CC_INTL!A1634="","",MOV_CC_INTL!A1634)</f>
        <v/>
      </c>
      <c r="B1634" s="22" t="str">
        <f>IF(MOV_CC_INTL!B1634="","",MOV_CC_INTL!B1634)</f>
        <v/>
      </c>
      <c r="C1634" s="22" t="str">
        <f>IF(MOV_CC_INTL!C1634="","",MOV_CC_INTL!C1634)</f>
        <v/>
      </c>
      <c r="D1634" s="22" t="str">
        <f t="shared" si="1"/>
        <v>Other</v>
      </c>
      <c r="E1634" s="21" t="str">
        <f>IF(C1634="","",C1634*CONFIG!B5)</f>
        <v/>
      </c>
    </row>
    <row r="1635" ht="15.75" customHeight="1">
      <c r="A1635" s="22" t="str">
        <f>IF(MOV_CC_INTL!A1635="","",MOV_CC_INTL!A1635)</f>
        <v/>
      </c>
      <c r="B1635" s="22" t="str">
        <f>IF(MOV_CC_INTL!B1635="","",MOV_CC_INTL!B1635)</f>
        <v/>
      </c>
      <c r="C1635" s="22" t="str">
        <f>IF(MOV_CC_INTL!C1635="","",MOV_CC_INTL!C1635)</f>
        <v/>
      </c>
      <c r="D1635" s="22" t="str">
        <f t="shared" si="1"/>
        <v>Other</v>
      </c>
      <c r="E1635" s="21" t="str">
        <f>IF(C1635="","",C1635*CONFIG!B5)</f>
        <v/>
      </c>
    </row>
    <row r="1636" ht="15.75" customHeight="1">
      <c r="A1636" s="22" t="str">
        <f>IF(MOV_CC_INTL!A1636="","",MOV_CC_INTL!A1636)</f>
        <v/>
      </c>
      <c r="B1636" s="22" t="str">
        <f>IF(MOV_CC_INTL!B1636="","",MOV_CC_INTL!B1636)</f>
        <v/>
      </c>
      <c r="C1636" s="22" t="str">
        <f>IF(MOV_CC_INTL!C1636="","",MOV_CC_INTL!C1636)</f>
        <v/>
      </c>
      <c r="D1636" s="22" t="str">
        <f t="shared" si="1"/>
        <v>Other</v>
      </c>
      <c r="E1636" s="21" t="str">
        <f>IF(C1636="","",C1636*CONFIG!B5)</f>
        <v/>
      </c>
    </row>
    <row r="1637" ht="15.75" customHeight="1">
      <c r="A1637" s="22" t="str">
        <f>IF(MOV_CC_INTL!A1637="","",MOV_CC_INTL!A1637)</f>
        <v/>
      </c>
      <c r="B1637" s="22" t="str">
        <f>IF(MOV_CC_INTL!B1637="","",MOV_CC_INTL!B1637)</f>
        <v/>
      </c>
      <c r="C1637" s="22" t="str">
        <f>IF(MOV_CC_INTL!C1637="","",MOV_CC_INTL!C1637)</f>
        <v/>
      </c>
      <c r="D1637" s="22" t="str">
        <f t="shared" si="1"/>
        <v>Other</v>
      </c>
      <c r="E1637" s="21" t="str">
        <f>IF(C1637="","",C1637*CONFIG!B5)</f>
        <v/>
      </c>
    </row>
    <row r="1638" ht="15.75" customHeight="1">
      <c r="A1638" s="22" t="str">
        <f>IF(MOV_CC_INTL!A1638="","",MOV_CC_INTL!A1638)</f>
        <v/>
      </c>
      <c r="B1638" s="22" t="str">
        <f>IF(MOV_CC_INTL!B1638="","",MOV_CC_INTL!B1638)</f>
        <v/>
      </c>
      <c r="C1638" s="22" t="str">
        <f>IF(MOV_CC_INTL!C1638="","",MOV_CC_INTL!C1638)</f>
        <v/>
      </c>
      <c r="D1638" s="22" t="str">
        <f t="shared" si="1"/>
        <v>Other</v>
      </c>
      <c r="E1638" s="21" t="str">
        <f>IF(C1638="","",C1638*CONFIG!B5)</f>
        <v/>
      </c>
    </row>
    <row r="1639" ht="15.75" customHeight="1">
      <c r="A1639" s="22" t="str">
        <f>IF(MOV_CC_INTL!A1639="","",MOV_CC_INTL!A1639)</f>
        <v/>
      </c>
      <c r="B1639" s="22" t="str">
        <f>IF(MOV_CC_INTL!B1639="","",MOV_CC_INTL!B1639)</f>
        <v/>
      </c>
      <c r="C1639" s="22" t="str">
        <f>IF(MOV_CC_INTL!C1639="","",MOV_CC_INTL!C1639)</f>
        <v/>
      </c>
      <c r="D1639" s="22" t="str">
        <f t="shared" si="1"/>
        <v>Other</v>
      </c>
      <c r="E1639" s="21" t="str">
        <f>IF(C1639="","",C1639*CONFIG!B5)</f>
        <v/>
      </c>
    </row>
    <row r="1640" ht="15.75" customHeight="1">
      <c r="A1640" s="22" t="str">
        <f>IF(MOV_CC_INTL!A1640="","",MOV_CC_INTL!A1640)</f>
        <v/>
      </c>
      <c r="B1640" s="22" t="str">
        <f>IF(MOV_CC_INTL!B1640="","",MOV_CC_INTL!B1640)</f>
        <v/>
      </c>
      <c r="C1640" s="22" t="str">
        <f>IF(MOV_CC_INTL!C1640="","",MOV_CC_INTL!C1640)</f>
        <v/>
      </c>
      <c r="D1640" s="22" t="str">
        <f t="shared" si="1"/>
        <v>Other</v>
      </c>
      <c r="E1640" s="21" t="str">
        <f>IF(C1640="","",C1640*CONFIG!B5)</f>
        <v/>
      </c>
    </row>
    <row r="1641" ht="15.75" customHeight="1">
      <c r="A1641" s="22" t="str">
        <f>IF(MOV_CC_INTL!A1641="","",MOV_CC_INTL!A1641)</f>
        <v/>
      </c>
      <c r="B1641" s="22" t="str">
        <f>IF(MOV_CC_INTL!B1641="","",MOV_CC_INTL!B1641)</f>
        <v/>
      </c>
      <c r="C1641" s="22" t="str">
        <f>IF(MOV_CC_INTL!C1641="","",MOV_CC_INTL!C1641)</f>
        <v/>
      </c>
      <c r="D1641" s="22" t="str">
        <f t="shared" si="1"/>
        <v>Other</v>
      </c>
      <c r="E1641" s="21" t="str">
        <f>IF(C1641="","",C1641*CONFIG!B5)</f>
        <v/>
      </c>
    </row>
    <row r="1642" ht="15.75" customHeight="1">
      <c r="A1642" s="22" t="str">
        <f>IF(MOV_CC_INTL!A1642="","",MOV_CC_INTL!A1642)</f>
        <v/>
      </c>
      <c r="B1642" s="22" t="str">
        <f>IF(MOV_CC_INTL!B1642="","",MOV_CC_INTL!B1642)</f>
        <v/>
      </c>
      <c r="C1642" s="22" t="str">
        <f>IF(MOV_CC_INTL!C1642="","",MOV_CC_INTL!C1642)</f>
        <v/>
      </c>
      <c r="D1642" s="22" t="str">
        <f t="shared" si="1"/>
        <v>Other</v>
      </c>
      <c r="E1642" s="21" t="str">
        <f>IF(C1642="","",C1642*CONFIG!B5)</f>
        <v/>
      </c>
    </row>
    <row r="1643" ht="15.75" customHeight="1">
      <c r="A1643" s="22" t="str">
        <f>IF(MOV_CC_INTL!A1643="","",MOV_CC_INTL!A1643)</f>
        <v/>
      </c>
      <c r="B1643" s="22" t="str">
        <f>IF(MOV_CC_INTL!B1643="","",MOV_CC_INTL!B1643)</f>
        <v/>
      </c>
      <c r="C1643" s="22" t="str">
        <f>IF(MOV_CC_INTL!C1643="","",MOV_CC_INTL!C1643)</f>
        <v/>
      </c>
      <c r="D1643" s="22" t="str">
        <f t="shared" si="1"/>
        <v>Other</v>
      </c>
      <c r="E1643" s="21" t="str">
        <f>IF(C1643="","",C1643*CONFIG!B5)</f>
        <v/>
      </c>
    </row>
    <row r="1644" ht="15.75" customHeight="1">
      <c r="A1644" s="22" t="str">
        <f>IF(MOV_CC_INTL!A1644="","",MOV_CC_INTL!A1644)</f>
        <v/>
      </c>
      <c r="B1644" s="22" t="str">
        <f>IF(MOV_CC_INTL!B1644="","",MOV_CC_INTL!B1644)</f>
        <v/>
      </c>
      <c r="C1644" s="22" t="str">
        <f>IF(MOV_CC_INTL!C1644="","",MOV_CC_INTL!C1644)</f>
        <v/>
      </c>
      <c r="D1644" s="22" t="str">
        <f t="shared" si="1"/>
        <v>Other</v>
      </c>
      <c r="E1644" s="21" t="str">
        <f>IF(C1644="","",C1644*CONFIG!B5)</f>
        <v/>
      </c>
    </row>
    <row r="1645" ht="15.75" customHeight="1">
      <c r="A1645" s="22" t="str">
        <f>IF(MOV_CC_INTL!A1645="","",MOV_CC_INTL!A1645)</f>
        <v/>
      </c>
      <c r="B1645" s="22" t="str">
        <f>IF(MOV_CC_INTL!B1645="","",MOV_CC_INTL!B1645)</f>
        <v/>
      </c>
      <c r="C1645" s="22" t="str">
        <f>IF(MOV_CC_INTL!C1645="","",MOV_CC_INTL!C1645)</f>
        <v/>
      </c>
      <c r="D1645" s="22" t="str">
        <f t="shared" si="1"/>
        <v>Other</v>
      </c>
      <c r="E1645" s="21" t="str">
        <f>IF(C1645="","",C1645*CONFIG!B5)</f>
        <v/>
      </c>
    </row>
    <row r="1646" ht="15.75" customHeight="1">
      <c r="A1646" s="22" t="str">
        <f>IF(MOV_CC_INTL!A1646="","",MOV_CC_INTL!A1646)</f>
        <v/>
      </c>
      <c r="B1646" s="22" t="str">
        <f>IF(MOV_CC_INTL!B1646="","",MOV_CC_INTL!B1646)</f>
        <v/>
      </c>
      <c r="C1646" s="22" t="str">
        <f>IF(MOV_CC_INTL!C1646="","",MOV_CC_INTL!C1646)</f>
        <v/>
      </c>
      <c r="D1646" s="22" t="str">
        <f t="shared" si="1"/>
        <v>Other</v>
      </c>
      <c r="E1646" s="21" t="str">
        <f>IF(C1646="","",C1646*CONFIG!B5)</f>
        <v/>
      </c>
    </row>
    <row r="1647" ht="15.75" customHeight="1">
      <c r="A1647" s="22" t="str">
        <f>IF(MOV_CC_INTL!A1647="","",MOV_CC_INTL!A1647)</f>
        <v/>
      </c>
      <c r="B1647" s="22" t="str">
        <f>IF(MOV_CC_INTL!B1647="","",MOV_CC_INTL!B1647)</f>
        <v/>
      </c>
      <c r="C1647" s="22" t="str">
        <f>IF(MOV_CC_INTL!C1647="","",MOV_CC_INTL!C1647)</f>
        <v/>
      </c>
      <c r="D1647" s="22" t="str">
        <f t="shared" si="1"/>
        <v>Other</v>
      </c>
      <c r="E1647" s="21" t="str">
        <f>IF(C1647="","",C1647*CONFIG!B5)</f>
        <v/>
      </c>
    </row>
    <row r="1648" ht="15.75" customHeight="1">
      <c r="A1648" s="22" t="str">
        <f>IF(MOV_CC_INTL!A1648="","",MOV_CC_INTL!A1648)</f>
        <v/>
      </c>
      <c r="B1648" s="22" t="str">
        <f>IF(MOV_CC_INTL!B1648="","",MOV_CC_INTL!B1648)</f>
        <v/>
      </c>
      <c r="C1648" s="22" t="str">
        <f>IF(MOV_CC_INTL!C1648="","",MOV_CC_INTL!C1648)</f>
        <v/>
      </c>
      <c r="D1648" s="22" t="str">
        <f t="shared" si="1"/>
        <v>Other</v>
      </c>
      <c r="E1648" s="21" t="str">
        <f>IF(C1648="","",C1648*CONFIG!B5)</f>
        <v/>
      </c>
    </row>
    <row r="1649" ht="15.75" customHeight="1">
      <c r="A1649" s="22" t="str">
        <f>IF(MOV_CC_INTL!A1649="","",MOV_CC_INTL!A1649)</f>
        <v/>
      </c>
      <c r="B1649" s="22" t="str">
        <f>IF(MOV_CC_INTL!B1649="","",MOV_CC_INTL!B1649)</f>
        <v/>
      </c>
      <c r="C1649" s="22" t="str">
        <f>IF(MOV_CC_INTL!C1649="","",MOV_CC_INTL!C1649)</f>
        <v/>
      </c>
      <c r="D1649" s="22" t="str">
        <f t="shared" si="1"/>
        <v>Other</v>
      </c>
      <c r="E1649" s="21" t="str">
        <f>IF(C1649="","",C1649*CONFIG!B5)</f>
        <v/>
      </c>
    </row>
    <row r="1650" ht="15.75" customHeight="1">
      <c r="A1650" s="22" t="str">
        <f>IF(MOV_CC_INTL!A1650="","",MOV_CC_INTL!A1650)</f>
        <v/>
      </c>
      <c r="B1650" s="22" t="str">
        <f>IF(MOV_CC_INTL!B1650="","",MOV_CC_INTL!B1650)</f>
        <v/>
      </c>
      <c r="C1650" s="22" t="str">
        <f>IF(MOV_CC_INTL!C1650="","",MOV_CC_INTL!C1650)</f>
        <v/>
      </c>
      <c r="D1650" s="22" t="str">
        <f t="shared" si="1"/>
        <v>Other</v>
      </c>
      <c r="E1650" s="21" t="str">
        <f>IF(C1650="","",C1650*CONFIG!B5)</f>
        <v/>
      </c>
    </row>
    <row r="1651" ht="15.75" customHeight="1">
      <c r="A1651" s="22" t="str">
        <f>IF(MOV_CC_INTL!A1651="","",MOV_CC_INTL!A1651)</f>
        <v/>
      </c>
      <c r="B1651" s="22" t="str">
        <f>IF(MOV_CC_INTL!B1651="","",MOV_CC_INTL!B1651)</f>
        <v/>
      </c>
      <c r="C1651" s="22" t="str">
        <f>IF(MOV_CC_INTL!C1651="","",MOV_CC_INTL!C1651)</f>
        <v/>
      </c>
      <c r="D1651" s="22" t="str">
        <f t="shared" si="1"/>
        <v>Other</v>
      </c>
      <c r="E1651" s="21" t="str">
        <f>IF(C1651="","",C1651*CONFIG!B5)</f>
        <v/>
      </c>
    </row>
    <row r="1652" ht="15.75" customHeight="1">
      <c r="A1652" s="22" t="str">
        <f>IF(MOV_CC_INTL!A1652="","",MOV_CC_INTL!A1652)</f>
        <v/>
      </c>
      <c r="B1652" s="22" t="str">
        <f>IF(MOV_CC_INTL!B1652="","",MOV_CC_INTL!B1652)</f>
        <v/>
      </c>
      <c r="C1652" s="22" t="str">
        <f>IF(MOV_CC_INTL!C1652="","",MOV_CC_INTL!C1652)</f>
        <v/>
      </c>
      <c r="D1652" s="22" t="str">
        <f t="shared" si="1"/>
        <v>Other</v>
      </c>
      <c r="E1652" s="21" t="str">
        <f>IF(C1652="","",C1652*CONFIG!B5)</f>
        <v/>
      </c>
    </row>
    <row r="1653" ht="15.75" customHeight="1">
      <c r="A1653" s="22" t="str">
        <f>IF(MOV_CC_INTL!A1653="","",MOV_CC_INTL!A1653)</f>
        <v/>
      </c>
      <c r="B1653" s="22" t="str">
        <f>IF(MOV_CC_INTL!B1653="","",MOV_CC_INTL!B1653)</f>
        <v/>
      </c>
      <c r="C1653" s="22" t="str">
        <f>IF(MOV_CC_INTL!C1653="","",MOV_CC_INTL!C1653)</f>
        <v/>
      </c>
      <c r="D1653" s="22" t="str">
        <f t="shared" si="1"/>
        <v>Other</v>
      </c>
      <c r="E1653" s="21" t="str">
        <f>IF(C1653="","",C1653*CONFIG!B5)</f>
        <v/>
      </c>
    </row>
    <row r="1654" ht="15.75" customHeight="1">
      <c r="A1654" s="22" t="str">
        <f>IF(MOV_CC_INTL!A1654="","",MOV_CC_INTL!A1654)</f>
        <v/>
      </c>
      <c r="B1654" s="22" t="str">
        <f>IF(MOV_CC_INTL!B1654="","",MOV_CC_INTL!B1654)</f>
        <v/>
      </c>
      <c r="C1654" s="22" t="str">
        <f>IF(MOV_CC_INTL!C1654="","",MOV_CC_INTL!C1654)</f>
        <v/>
      </c>
      <c r="D1654" s="22" t="str">
        <f t="shared" si="1"/>
        <v>Other</v>
      </c>
      <c r="E1654" s="21" t="str">
        <f>IF(C1654="","",C1654*CONFIG!B5)</f>
        <v/>
      </c>
    </row>
    <row r="1655" ht="15.75" customHeight="1">
      <c r="A1655" s="22" t="str">
        <f>IF(MOV_CC_INTL!A1655="","",MOV_CC_INTL!A1655)</f>
        <v/>
      </c>
      <c r="B1655" s="22" t="str">
        <f>IF(MOV_CC_INTL!B1655="","",MOV_CC_INTL!B1655)</f>
        <v/>
      </c>
      <c r="C1655" s="22" t="str">
        <f>IF(MOV_CC_INTL!C1655="","",MOV_CC_INTL!C1655)</f>
        <v/>
      </c>
      <c r="D1655" s="22" t="str">
        <f t="shared" si="1"/>
        <v>Other</v>
      </c>
      <c r="E1655" s="21" t="str">
        <f>IF(C1655="","",C1655*CONFIG!B5)</f>
        <v/>
      </c>
    </row>
    <row r="1656" ht="15.75" customHeight="1">
      <c r="A1656" s="22" t="str">
        <f>IF(MOV_CC_INTL!A1656="","",MOV_CC_INTL!A1656)</f>
        <v/>
      </c>
      <c r="B1656" s="22" t="str">
        <f>IF(MOV_CC_INTL!B1656="","",MOV_CC_INTL!B1656)</f>
        <v/>
      </c>
      <c r="C1656" s="22" t="str">
        <f>IF(MOV_CC_INTL!C1656="","",MOV_CC_INTL!C1656)</f>
        <v/>
      </c>
      <c r="D1656" s="22" t="str">
        <f t="shared" si="1"/>
        <v>Other</v>
      </c>
      <c r="E1656" s="21" t="str">
        <f>IF(C1656="","",C1656*CONFIG!B5)</f>
        <v/>
      </c>
    </row>
    <row r="1657" ht="15.75" customHeight="1">
      <c r="A1657" s="22" t="str">
        <f>IF(MOV_CC_INTL!A1657="","",MOV_CC_INTL!A1657)</f>
        <v/>
      </c>
      <c r="B1657" s="22" t="str">
        <f>IF(MOV_CC_INTL!B1657="","",MOV_CC_INTL!B1657)</f>
        <v/>
      </c>
      <c r="C1657" s="22" t="str">
        <f>IF(MOV_CC_INTL!C1657="","",MOV_CC_INTL!C1657)</f>
        <v/>
      </c>
      <c r="D1657" s="22" t="str">
        <f t="shared" si="1"/>
        <v>Other</v>
      </c>
      <c r="E1657" s="21" t="str">
        <f>IF(C1657="","",C1657*CONFIG!B5)</f>
        <v/>
      </c>
    </row>
    <row r="1658" ht="15.75" customHeight="1">
      <c r="A1658" s="22" t="str">
        <f>IF(MOV_CC_INTL!A1658="","",MOV_CC_INTL!A1658)</f>
        <v/>
      </c>
      <c r="B1658" s="22" t="str">
        <f>IF(MOV_CC_INTL!B1658="","",MOV_CC_INTL!B1658)</f>
        <v/>
      </c>
      <c r="C1658" s="22" t="str">
        <f>IF(MOV_CC_INTL!C1658="","",MOV_CC_INTL!C1658)</f>
        <v/>
      </c>
      <c r="D1658" s="22" t="str">
        <f t="shared" si="1"/>
        <v>Other</v>
      </c>
      <c r="E1658" s="21" t="str">
        <f>IF(C1658="","",C1658*CONFIG!B5)</f>
        <v/>
      </c>
    </row>
    <row r="1659" ht="15.75" customHeight="1">
      <c r="A1659" s="22" t="str">
        <f>IF(MOV_CC_INTL!A1659="","",MOV_CC_INTL!A1659)</f>
        <v/>
      </c>
      <c r="B1659" s="22" t="str">
        <f>IF(MOV_CC_INTL!B1659="","",MOV_CC_INTL!B1659)</f>
        <v/>
      </c>
      <c r="C1659" s="22" t="str">
        <f>IF(MOV_CC_INTL!C1659="","",MOV_CC_INTL!C1659)</f>
        <v/>
      </c>
      <c r="D1659" s="22" t="str">
        <f t="shared" si="1"/>
        <v>Other</v>
      </c>
      <c r="E1659" s="21" t="str">
        <f>IF(C1659="","",C1659*CONFIG!B5)</f>
        <v/>
      </c>
    </row>
    <row r="1660" ht="15.75" customHeight="1">
      <c r="A1660" s="22" t="str">
        <f>IF(MOV_CC_INTL!A1660="","",MOV_CC_INTL!A1660)</f>
        <v/>
      </c>
      <c r="B1660" s="22" t="str">
        <f>IF(MOV_CC_INTL!B1660="","",MOV_CC_INTL!B1660)</f>
        <v/>
      </c>
      <c r="C1660" s="22" t="str">
        <f>IF(MOV_CC_INTL!C1660="","",MOV_CC_INTL!C1660)</f>
        <v/>
      </c>
      <c r="D1660" s="22" t="str">
        <f t="shared" si="1"/>
        <v>Other</v>
      </c>
      <c r="E1660" s="21" t="str">
        <f>IF(C1660="","",C1660*CONFIG!B5)</f>
        <v/>
      </c>
    </row>
    <row r="1661" ht="15.75" customHeight="1">
      <c r="A1661" s="22" t="str">
        <f>IF(MOV_CC_INTL!A1661="","",MOV_CC_INTL!A1661)</f>
        <v/>
      </c>
      <c r="B1661" s="22" t="str">
        <f>IF(MOV_CC_INTL!B1661="","",MOV_CC_INTL!B1661)</f>
        <v/>
      </c>
      <c r="C1661" s="22" t="str">
        <f>IF(MOV_CC_INTL!C1661="","",MOV_CC_INTL!C1661)</f>
        <v/>
      </c>
      <c r="D1661" s="22" t="str">
        <f t="shared" si="1"/>
        <v>Other</v>
      </c>
      <c r="E1661" s="21" t="str">
        <f>IF(C1661="","",C1661*CONFIG!B5)</f>
        <v/>
      </c>
    </row>
    <row r="1662" ht="15.75" customHeight="1">
      <c r="A1662" s="22" t="str">
        <f>IF(MOV_CC_INTL!A1662="","",MOV_CC_INTL!A1662)</f>
        <v/>
      </c>
      <c r="B1662" s="22" t="str">
        <f>IF(MOV_CC_INTL!B1662="","",MOV_CC_INTL!B1662)</f>
        <v/>
      </c>
      <c r="C1662" s="22" t="str">
        <f>IF(MOV_CC_INTL!C1662="","",MOV_CC_INTL!C1662)</f>
        <v/>
      </c>
      <c r="D1662" s="22" t="str">
        <f t="shared" si="1"/>
        <v>Other</v>
      </c>
      <c r="E1662" s="21" t="str">
        <f>IF(C1662="","",C1662*CONFIG!B5)</f>
        <v/>
      </c>
    </row>
    <row r="1663" ht="15.75" customHeight="1">
      <c r="A1663" s="22" t="str">
        <f>IF(MOV_CC_INTL!A1663="","",MOV_CC_INTL!A1663)</f>
        <v/>
      </c>
      <c r="B1663" s="22" t="str">
        <f>IF(MOV_CC_INTL!B1663="","",MOV_CC_INTL!B1663)</f>
        <v/>
      </c>
      <c r="C1663" s="22" t="str">
        <f>IF(MOV_CC_INTL!C1663="","",MOV_CC_INTL!C1663)</f>
        <v/>
      </c>
      <c r="D1663" s="22" t="str">
        <f t="shared" si="1"/>
        <v>Other</v>
      </c>
      <c r="E1663" s="21" t="str">
        <f>IF(C1663="","",C1663*CONFIG!B5)</f>
        <v/>
      </c>
    </row>
    <row r="1664" ht="15.75" customHeight="1">
      <c r="A1664" s="22" t="str">
        <f>IF(MOV_CC_INTL!A1664="","",MOV_CC_INTL!A1664)</f>
        <v/>
      </c>
      <c r="B1664" s="22" t="str">
        <f>IF(MOV_CC_INTL!B1664="","",MOV_CC_INTL!B1664)</f>
        <v/>
      </c>
      <c r="C1664" s="22" t="str">
        <f>IF(MOV_CC_INTL!C1664="","",MOV_CC_INTL!C1664)</f>
        <v/>
      </c>
      <c r="D1664" s="22" t="str">
        <f t="shared" si="1"/>
        <v>Other</v>
      </c>
      <c r="E1664" s="21" t="str">
        <f>IF(C1664="","",C1664*CONFIG!B5)</f>
        <v/>
      </c>
    </row>
    <row r="1665" ht="15.75" customHeight="1">
      <c r="A1665" s="22" t="str">
        <f>IF(MOV_CC_INTL!A1665="","",MOV_CC_INTL!A1665)</f>
        <v/>
      </c>
      <c r="B1665" s="22" t="str">
        <f>IF(MOV_CC_INTL!B1665="","",MOV_CC_INTL!B1665)</f>
        <v/>
      </c>
      <c r="C1665" s="22" t="str">
        <f>IF(MOV_CC_INTL!C1665="","",MOV_CC_INTL!C1665)</f>
        <v/>
      </c>
      <c r="D1665" s="22" t="str">
        <f t="shared" si="1"/>
        <v>Other</v>
      </c>
      <c r="E1665" s="21" t="str">
        <f>IF(C1665="","",C1665*CONFIG!B5)</f>
        <v/>
      </c>
    </row>
    <row r="1666" ht="15.75" customHeight="1">
      <c r="A1666" s="22" t="str">
        <f>IF(MOV_CC_INTL!A1666="","",MOV_CC_INTL!A1666)</f>
        <v/>
      </c>
      <c r="B1666" s="22" t="str">
        <f>IF(MOV_CC_INTL!B1666="","",MOV_CC_INTL!B1666)</f>
        <v/>
      </c>
      <c r="C1666" s="22" t="str">
        <f>IF(MOV_CC_INTL!C1666="","",MOV_CC_INTL!C1666)</f>
        <v/>
      </c>
      <c r="D1666" s="22" t="str">
        <f t="shared" si="1"/>
        <v>Other</v>
      </c>
      <c r="E1666" s="21" t="str">
        <f>IF(C1666="","",C1666*CONFIG!B5)</f>
        <v/>
      </c>
    </row>
    <row r="1667" ht="15.75" customHeight="1">
      <c r="A1667" s="22" t="str">
        <f>IF(MOV_CC_INTL!A1667="","",MOV_CC_INTL!A1667)</f>
        <v/>
      </c>
      <c r="B1667" s="22" t="str">
        <f>IF(MOV_CC_INTL!B1667="","",MOV_CC_INTL!B1667)</f>
        <v/>
      </c>
      <c r="C1667" s="22" t="str">
        <f>IF(MOV_CC_INTL!C1667="","",MOV_CC_INTL!C1667)</f>
        <v/>
      </c>
      <c r="D1667" s="22" t="str">
        <f t="shared" si="1"/>
        <v>Other</v>
      </c>
      <c r="E1667" s="21" t="str">
        <f>IF(C1667="","",C1667*CONFIG!B5)</f>
        <v/>
      </c>
    </row>
    <row r="1668" ht="15.75" customHeight="1">
      <c r="A1668" s="22" t="str">
        <f>IF(MOV_CC_INTL!A1668="","",MOV_CC_INTL!A1668)</f>
        <v/>
      </c>
      <c r="B1668" s="22" t="str">
        <f>IF(MOV_CC_INTL!B1668="","",MOV_CC_INTL!B1668)</f>
        <v/>
      </c>
      <c r="C1668" s="22" t="str">
        <f>IF(MOV_CC_INTL!C1668="","",MOV_CC_INTL!C1668)</f>
        <v/>
      </c>
      <c r="D1668" s="22" t="str">
        <f t="shared" si="1"/>
        <v>Other</v>
      </c>
      <c r="E1668" s="21" t="str">
        <f>IF(C1668="","",C1668*CONFIG!B5)</f>
        <v/>
      </c>
    </row>
    <row r="1669" ht="15.75" customHeight="1">
      <c r="A1669" s="22" t="str">
        <f>IF(MOV_CC_INTL!A1669="","",MOV_CC_INTL!A1669)</f>
        <v/>
      </c>
      <c r="B1669" s="22" t="str">
        <f>IF(MOV_CC_INTL!B1669="","",MOV_CC_INTL!B1669)</f>
        <v/>
      </c>
      <c r="C1669" s="22" t="str">
        <f>IF(MOV_CC_INTL!C1669="","",MOV_CC_INTL!C1669)</f>
        <v/>
      </c>
      <c r="D1669" s="22" t="str">
        <f t="shared" si="1"/>
        <v>Other</v>
      </c>
      <c r="E1669" s="21" t="str">
        <f>IF(C1669="","",C1669*CONFIG!B5)</f>
        <v/>
      </c>
    </row>
    <row r="1670" ht="15.75" customHeight="1">
      <c r="A1670" s="22" t="str">
        <f>IF(MOV_CC_INTL!A1670="","",MOV_CC_INTL!A1670)</f>
        <v/>
      </c>
      <c r="B1670" s="22" t="str">
        <f>IF(MOV_CC_INTL!B1670="","",MOV_CC_INTL!B1670)</f>
        <v/>
      </c>
      <c r="C1670" s="22" t="str">
        <f>IF(MOV_CC_INTL!C1670="","",MOV_CC_INTL!C1670)</f>
        <v/>
      </c>
      <c r="D1670" s="22" t="str">
        <f t="shared" si="1"/>
        <v>Other</v>
      </c>
      <c r="E1670" s="21" t="str">
        <f>IF(C1670="","",C1670*CONFIG!B5)</f>
        <v/>
      </c>
    </row>
    <row r="1671" ht="15.75" customHeight="1">
      <c r="A1671" s="22" t="str">
        <f>IF(MOV_CC_INTL!A1671="","",MOV_CC_INTL!A1671)</f>
        <v/>
      </c>
      <c r="B1671" s="22" t="str">
        <f>IF(MOV_CC_INTL!B1671="","",MOV_CC_INTL!B1671)</f>
        <v/>
      </c>
      <c r="C1671" s="22" t="str">
        <f>IF(MOV_CC_INTL!C1671="","",MOV_CC_INTL!C1671)</f>
        <v/>
      </c>
      <c r="D1671" s="22" t="str">
        <f t="shared" si="1"/>
        <v>Other</v>
      </c>
      <c r="E1671" s="21" t="str">
        <f>IF(C1671="","",C1671*CONFIG!B5)</f>
        <v/>
      </c>
    </row>
    <row r="1672" ht="15.75" customHeight="1">
      <c r="A1672" s="22" t="str">
        <f>IF(MOV_CC_INTL!A1672="","",MOV_CC_INTL!A1672)</f>
        <v/>
      </c>
      <c r="B1672" s="22" t="str">
        <f>IF(MOV_CC_INTL!B1672="","",MOV_CC_INTL!B1672)</f>
        <v/>
      </c>
      <c r="C1672" s="22" t="str">
        <f>IF(MOV_CC_INTL!C1672="","",MOV_CC_INTL!C1672)</f>
        <v/>
      </c>
      <c r="D1672" s="22" t="str">
        <f t="shared" si="1"/>
        <v>Other</v>
      </c>
      <c r="E1672" s="21" t="str">
        <f>IF(C1672="","",C1672*CONFIG!B5)</f>
        <v/>
      </c>
    </row>
    <row r="1673" ht="15.75" customHeight="1">
      <c r="A1673" s="22" t="str">
        <f>IF(MOV_CC_INTL!A1673="","",MOV_CC_INTL!A1673)</f>
        <v/>
      </c>
      <c r="B1673" s="22" t="str">
        <f>IF(MOV_CC_INTL!B1673="","",MOV_CC_INTL!B1673)</f>
        <v/>
      </c>
      <c r="C1673" s="22" t="str">
        <f>IF(MOV_CC_INTL!C1673="","",MOV_CC_INTL!C1673)</f>
        <v/>
      </c>
      <c r="D1673" s="22" t="str">
        <f t="shared" si="1"/>
        <v>Other</v>
      </c>
      <c r="E1673" s="21" t="str">
        <f>IF(C1673="","",C1673*CONFIG!B5)</f>
        <v/>
      </c>
    </row>
    <row r="1674" ht="15.75" customHeight="1">
      <c r="A1674" s="22" t="str">
        <f>IF(MOV_CC_INTL!A1674="","",MOV_CC_INTL!A1674)</f>
        <v/>
      </c>
      <c r="B1674" s="22" t="str">
        <f>IF(MOV_CC_INTL!B1674="","",MOV_CC_INTL!B1674)</f>
        <v/>
      </c>
      <c r="C1674" s="22" t="str">
        <f>IF(MOV_CC_INTL!C1674="","",MOV_CC_INTL!C1674)</f>
        <v/>
      </c>
      <c r="D1674" s="22" t="str">
        <f t="shared" si="1"/>
        <v>Other</v>
      </c>
      <c r="E1674" s="21" t="str">
        <f>IF(C1674="","",C1674*CONFIG!B5)</f>
        <v/>
      </c>
    </row>
    <row r="1675" ht="15.75" customHeight="1">
      <c r="A1675" s="22" t="str">
        <f>IF(MOV_CC_INTL!A1675="","",MOV_CC_INTL!A1675)</f>
        <v/>
      </c>
      <c r="B1675" s="22" t="str">
        <f>IF(MOV_CC_INTL!B1675="","",MOV_CC_INTL!B1675)</f>
        <v/>
      </c>
      <c r="C1675" s="22" t="str">
        <f>IF(MOV_CC_INTL!C1675="","",MOV_CC_INTL!C1675)</f>
        <v/>
      </c>
      <c r="D1675" s="22" t="str">
        <f t="shared" si="1"/>
        <v>Other</v>
      </c>
      <c r="E1675" s="21" t="str">
        <f>IF(C1675="","",C1675*CONFIG!B5)</f>
        <v/>
      </c>
    </row>
    <row r="1676" ht="15.75" customHeight="1">
      <c r="A1676" s="22" t="str">
        <f>IF(MOV_CC_INTL!A1676="","",MOV_CC_INTL!A1676)</f>
        <v/>
      </c>
      <c r="B1676" s="22" t="str">
        <f>IF(MOV_CC_INTL!B1676="","",MOV_CC_INTL!B1676)</f>
        <v/>
      </c>
      <c r="C1676" s="22" t="str">
        <f>IF(MOV_CC_INTL!C1676="","",MOV_CC_INTL!C1676)</f>
        <v/>
      </c>
      <c r="D1676" s="22" t="str">
        <f t="shared" si="1"/>
        <v>Other</v>
      </c>
      <c r="E1676" s="21" t="str">
        <f>IF(C1676="","",C1676*CONFIG!B5)</f>
        <v/>
      </c>
    </row>
    <row r="1677" ht="15.75" customHeight="1">
      <c r="A1677" s="22" t="str">
        <f>IF(MOV_CC_INTL!A1677="","",MOV_CC_INTL!A1677)</f>
        <v/>
      </c>
      <c r="B1677" s="22" t="str">
        <f>IF(MOV_CC_INTL!B1677="","",MOV_CC_INTL!B1677)</f>
        <v/>
      </c>
      <c r="C1677" s="22" t="str">
        <f>IF(MOV_CC_INTL!C1677="","",MOV_CC_INTL!C1677)</f>
        <v/>
      </c>
      <c r="D1677" s="22" t="str">
        <f t="shared" si="1"/>
        <v>Other</v>
      </c>
      <c r="E1677" s="21" t="str">
        <f>IF(C1677="","",C1677*CONFIG!B5)</f>
        <v/>
      </c>
    </row>
    <row r="1678" ht="15.75" customHeight="1">
      <c r="A1678" s="22" t="str">
        <f>IF(MOV_CC_INTL!A1678="","",MOV_CC_INTL!A1678)</f>
        <v/>
      </c>
      <c r="B1678" s="22" t="str">
        <f>IF(MOV_CC_INTL!B1678="","",MOV_CC_INTL!B1678)</f>
        <v/>
      </c>
      <c r="C1678" s="22" t="str">
        <f>IF(MOV_CC_INTL!C1678="","",MOV_CC_INTL!C1678)</f>
        <v/>
      </c>
      <c r="D1678" s="22" t="str">
        <f t="shared" si="1"/>
        <v>Other</v>
      </c>
      <c r="E1678" s="21" t="str">
        <f>IF(C1678="","",C1678*CONFIG!B5)</f>
        <v/>
      </c>
    </row>
    <row r="1679" ht="15.75" customHeight="1">
      <c r="A1679" s="22" t="str">
        <f>IF(MOV_CC_INTL!A1679="","",MOV_CC_INTL!A1679)</f>
        <v/>
      </c>
      <c r="B1679" s="22" t="str">
        <f>IF(MOV_CC_INTL!B1679="","",MOV_CC_INTL!B1679)</f>
        <v/>
      </c>
      <c r="C1679" s="22" t="str">
        <f>IF(MOV_CC_INTL!C1679="","",MOV_CC_INTL!C1679)</f>
        <v/>
      </c>
      <c r="D1679" s="22" t="str">
        <f t="shared" si="1"/>
        <v>Other</v>
      </c>
      <c r="E1679" s="21" t="str">
        <f>IF(C1679="","",C1679*CONFIG!B5)</f>
        <v/>
      </c>
    </row>
    <row r="1680" ht="15.75" customHeight="1">
      <c r="A1680" s="22" t="str">
        <f>IF(MOV_CC_INTL!A1680="","",MOV_CC_INTL!A1680)</f>
        <v/>
      </c>
      <c r="B1680" s="22" t="str">
        <f>IF(MOV_CC_INTL!B1680="","",MOV_CC_INTL!B1680)</f>
        <v/>
      </c>
      <c r="C1680" s="22" t="str">
        <f>IF(MOV_CC_INTL!C1680="","",MOV_CC_INTL!C1680)</f>
        <v/>
      </c>
      <c r="D1680" s="22" t="str">
        <f t="shared" si="1"/>
        <v>Other</v>
      </c>
      <c r="E1680" s="21" t="str">
        <f>IF(C1680="","",C1680*CONFIG!B5)</f>
        <v/>
      </c>
    </row>
    <row r="1681" ht="15.75" customHeight="1">
      <c r="A1681" s="22" t="str">
        <f>IF(MOV_CC_INTL!A1681="","",MOV_CC_INTL!A1681)</f>
        <v/>
      </c>
      <c r="B1681" s="22" t="str">
        <f>IF(MOV_CC_INTL!B1681="","",MOV_CC_INTL!B1681)</f>
        <v/>
      </c>
      <c r="C1681" s="22" t="str">
        <f>IF(MOV_CC_INTL!C1681="","",MOV_CC_INTL!C1681)</f>
        <v/>
      </c>
      <c r="D1681" s="22" t="str">
        <f t="shared" si="1"/>
        <v>Other</v>
      </c>
      <c r="E1681" s="21" t="str">
        <f>IF(C1681="","",C1681*CONFIG!B5)</f>
        <v/>
      </c>
    </row>
    <row r="1682" ht="15.75" customHeight="1">
      <c r="A1682" s="22" t="str">
        <f>IF(MOV_CC_INTL!A1682="","",MOV_CC_INTL!A1682)</f>
        <v/>
      </c>
      <c r="B1682" s="22" t="str">
        <f>IF(MOV_CC_INTL!B1682="","",MOV_CC_INTL!B1682)</f>
        <v/>
      </c>
      <c r="C1682" s="22" t="str">
        <f>IF(MOV_CC_INTL!C1682="","",MOV_CC_INTL!C1682)</f>
        <v/>
      </c>
      <c r="D1682" s="22" t="str">
        <f t="shared" si="1"/>
        <v>Other</v>
      </c>
      <c r="E1682" s="21" t="str">
        <f>IF(C1682="","",C1682*CONFIG!B5)</f>
        <v/>
      </c>
    </row>
    <row r="1683" ht="15.75" customHeight="1">
      <c r="A1683" s="22" t="str">
        <f>IF(MOV_CC_INTL!A1683="","",MOV_CC_INTL!A1683)</f>
        <v/>
      </c>
      <c r="B1683" s="22" t="str">
        <f>IF(MOV_CC_INTL!B1683="","",MOV_CC_INTL!B1683)</f>
        <v/>
      </c>
      <c r="C1683" s="22" t="str">
        <f>IF(MOV_CC_INTL!C1683="","",MOV_CC_INTL!C1683)</f>
        <v/>
      </c>
      <c r="D1683" s="22" t="str">
        <f t="shared" si="1"/>
        <v>Other</v>
      </c>
      <c r="E1683" s="21" t="str">
        <f>IF(C1683="","",C1683*CONFIG!B5)</f>
        <v/>
      </c>
    </row>
    <row r="1684" ht="15.75" customHeight="1">
      <c r="A1684" s="22" t="str">
        <f>IF(MOV_CC_INTL!A1684="","",MOV_CC_INTL!A1684)</f>
        <v/>
      </c>
      <c r="B1684" s="22" t="str">
        <f>IF(MOV_CC_INTL!B1684="","",MOV_CC_INTL!B1684)</f>
        <v/>
      </c>
      <c r="C1684" s="22" t="str">
        <f>IF(MOV_CC_INTL!C1684="","",MOV_CC_INTL!C1684)</f>
        <v/>
      </c>
      <c r="D1684" s="22" t="str">
        <f t="shared" si="1"/>
        <v>Other</v>
      </c>
      <c r="E1684" s="21" t="str">
        <f>IF(C1684="","",C1684*CONFIG!B5)</f>
        <v/>
      </c>
    </row>
    <row r="1685" ht="15.75" customHeight="1">
      <c r="A1685" s="22" t="str">
        <f>IF(MOV_CC_INTL!A1685="","",MOV_CC_INTL!A1685)</f>
        <v/>
      </c>
      <c r="B1685" s="22" t="str">
        <f>IF(MOV_CC_INTL!B1685="","",MOV_CC_INTL!B1685)</f>
        <v/>
      </c>
      <c r="C1685" s="22" t="str">
        <f>IF(MOV_CC_INTL!C1685="","",MOV_CC_INTL!C1685)</f>
        <v/>
      </c>
      <c r="D1685" s="22" t="str">
        <f t="shared" si="1"/>
        <v>Other</v>
      </c>
      <c r="E1685" s="21" t="str">
        <f>IF(C1685="","",C1685*CONFIG!B5)</f>
        <v/>
      </c>
    </row>
    <row r="1686" ht="15.75" customHeight="1">
      <c r="A1686" s="22" t="str">
        <f>IF(MOV_CC_INTL!A1686="","",MOV_CC_INTL!A1686)</f>
        <v/>
      </c>
      <c r="B1686" s="22" t="str">
        <f>IF(MOV_CC_INTL!B1686="","",MOV_CC_INTL!B1686)</f>
        <v/>
      </c>
      <c r="C1686" s="22" t="str">
        <f>IF(MOV_CC_INTL!C1686="","",MOV_CC_INTL!C1686)</f>
        <v/>
      </c>
      <c r="D1686" s="22" t="str">
        <f t="shared" si="1"/>
        <v>Other</v>
      </c>
      <c r="E1686" s="21" t="str">
        <f>IF(C1686="","",C1686*CONFIG!B5)</f>
        <v/>
      </c>
    </row>
    <row r="1687" ht="15.75" customHeight="1">
      <c r="A1687" s="22" t="str">
        <f>IF(MOV_CC_INTL!A1687="","",MOV_CC_INTL!A1687)</f>
        <v/>
      </c>
      <c r="B1687" s="22" t="str">
        <f>IF(MOV_CC_INTL!B1687="","",MOV_CC_INTL!B1687)</f>
        <v/>
      </c>
      <c r="C1687" s="22" t="str">
        <f>IF(MOV_CC_INTL!C1687="","",MOV_CC_INTL!C1687)</f>
        <v/>
      </c>
      <c r="D1687" s="22" t="str">
        <f t="shared" si="1"/>
        <v>Other</v>
      </c>
      <c r="E1687" s="21" t="str">
        <f>IF(C1687="","",C1687*CONFIG!B5)</f>
        <v/>
      </c>
    </row>
    <row r="1688" ht="15.75" customHeight="1">
      <c r="A1688" s="22" t="str">
        <f>IF(MOV_CC_INTL!A1688="","",MOV_CC_INTL!A1688)</f>
        <v/>
      </c>
      <c r="B1688" s="22" t="str">
        <f>IF(MOV_CC_INTL!B1688="","",MOV_CC_INTL!B1688)</f>
        <v/>
      </c>
      <c r="C1688" s="22" t="str">
        <f>IF(MOV_CC_INTL!C1688="","",MOV_CC_INTL!C1688)</f>
        <v/>
      </c>
      <c r="D1688" s="22" t="str">
        <f t="shared" si="1"/>
        <v>Other</v>
      </c>
      <c r="E1688" s="21" t="str">
        <f>IF(C1688="","",C1688*CONFIG!B5)</f>
        <v/>
      </c>
    </row>
    <row r="1689" ht="15.75" customHeight="1">
      <c r="A1689" s="22" t="str">
        <f>IF(MOV_CC_INTL!A1689="","",MOV_CC_INTL!A1689)</f>
        <v/>
      </c>
      <c r="B1689" s="22" t="str">
        <f>IF(MOV_CC_INTL!B1689="","",MOV_CC_INTL!B1689)</f>
        <v/>
      </c>
      <c r="C1689" s="22" t="str">
        <f>IF(MOV_CC_INTL!C1689="","",MOV_CC_INTL!C1689)</f>
        <v/>
      </c>
      <c r="D1689" s="22" t="str">
        <f t="shared" si="1"/>
        <v>Other</v>
      </c>
      <c r="E1689" s="21" t="str">
        <f>IF(C1689="","",C1689*CONFIG!B5)</f>
        <v/>
      </c>
    </row>
    <row r="1690" ht="15.75" customHeight="1">
      <c r="A1690" s="22" t="str">
        <f>IF(MOV_CC_INTL!A1690="","",MOV_CC_INTL!A1690)</f>
        <v/>
      </c>
      <c r="B1690" s="22" t="str">
        <f>IF(MOV_CC_INTL!B1690="","",MOV_CC_INTL!B1690)</f>
        <v/>
      </c>
      <c r="C1690" s="22" t="str">
        <f>IF(MOV_CC_INTL!C1690="","",MOV_CC_INTL!C1690)</f>
        <v/>
      </c>
      <c r="D1690" s="22" t="str">
        <f t="shared" si="1"/>
        <v>Other</v>
      </c>
      <c r="E1690" s="21" t="str">
        <f>IF(C1690="","",C1690*CONFIG!B5)</f>
        <v/>
      </c>
    </row>
    <row r="1691" ht="15.75" customHeight="1">
      <c r="A1691" s="22" t="str">
        <f>IF(MOV_CC_INTL!A1691="","",MOV_CC_INTL!A1691)</f>
        <v/>
      </c>
      <c r="B1691" s="22" t="str">
        <f>IF(MOV_CC_INTL!B1691="","",MOV_CC_INTL!B1691)</f>
        <v/>
      </c>
      <c r="C1691" s="22" t="str">
        <f>IF(MOV_CC_INTL!C1691="","",MOV_CC_INTL!C1691)</f>
        <v/>
      </c>
      <c r="D1691" s="22" t="str">
        <f t="shared" si="1"/>
        <v>Other</v>
      </c>
      <c r="E1691" s="21" t="str">
        <f>IF(C1691="","",C1691*CONFIG!B5)</f>
        <v/>
      </c>
    </row>
    <row r="1692" ht="15.75" customHeight="1">
      <c r="A1692" s="22" t="str">
        <f>IF(MOV_CC_INTL!A1692="","",MOV_CC_INTL!A1692)</f>
        <v/>
      </c>
      <c r="B1692" s="22" t="str">
        <f>IF(MOV_CC_INTL!B1692="","",MOV_CC_INTL!B1692)</f>
        <v/>
      </c>
      <c r="C1692" s="22" t="str">
        <f>IF(MOV_CC_INTL!C1692="","",MOV_CC_INTL!C1692)</f>
        <v/>
      </c>
      <c r="D1692" s="22" t="str">
        <f t="shared" si="1"/>
        <v>Other</v>
      </c>
      <c r="E1692" s="21" t="str">
        <f>IF(C1692="","",C1692*CONFIG!B5)</f>
        <v/>
      </c>
    </row>
    <row r="1693" ht="15.75" customHeight="1">
      <c r="A1693" s="22" t="str">
        <f>IF(MOV_CC_INTL!A1693="","",MOV_CC_INTL!A1693)</f>
        <v/>
      </c>
      <c r="B1693" s="22" t="str">
        <f>IF(MOV_CC_INTL!B1693="","",MOV_CC_INTL!B1693)</f>
        <v/>
      </c>
      <c r="C1693" s="22" t="str">
        <f>IF(MOV_CC_INTL!C1693="","",MOV_CC_INTL!C1693)</f>
        <v/>
      </c>
      <c r="D1693" s="22" t="str">
        <f t="shared" si="1"/>
        <v>Other</v>
      </c>
      <c r="E1693" s="21" t="str">
        <f>IF(C1693="","",C1693*CONFIG!B5)</f>
        <v/>
      </c>
    </row>
    <row r="1694" ht="15.75" customHeight="1">
      <c r="A1694" s="22" t="str">
        <f>IF(MOV_CC_INTL!A1694="","",MOV_CC_INTL!A1694)</f>
        <v/>
      </c>
      <c r="B1694" s="22" t="str">
        <f>IF(MOV_CC_INTL!B1694="","",MOV_CC_INTL!B1694)</f>
        <v/>
      </c>
      <c r="C1694" s="22" t="str">
        <f>IF(MOV_CC_INTL!C1694="","",MOV_CC_INTL!C1694)</f>
        <v/>
      </c>
      <c r="D1694" s="22" t="str">
        <f t="shared" si="1"/>
        <v>Other</v>
      </c>
      <c r="E1694" s="21" t="str">
        <f>IF(C1694="","",C1694*CONFIG!B5)</f>
        <v/>
      </c>
    </row>
    <row r="1695" ht="15.75" customHeight="1">
      <c r="A1695" s="22" t="str">
        <f>IF(MOV_CC_INTL!A1695="","",MOV_CC_INTL!A1695)</f>
        <v/>
      </c>
      <c r="B1695" s="22" t="str">
        <f>IF(MOV_CC_INTL!B1695="","",MOV_CC_INTL!B1695)</f>
        <v/>
      </c>
      <c r="C1695" s="22" t="str">
        <f>IF(MOV_CC_INTL!C1695="","",MOV_CC_INTL!C1695)</f>
        <v/>
      </c>
      <c r="D1695" s="22" t="str">
        <f t="shared" si="1"/>
        <v>Other</v>
      </c>
      <c r="E1695" s="21" t="str">
        <f>IF(C1695="","",C1695*CONFIG!B5)</f>
        <v/>
      </c>
    </row>
    <row r="1696" ht="15.75" customHeight="1">
      <c r="A1696" s="22" t="str">
        <f>IF(MOV_CC_INTL!A1696="","",MOV_CC_INTL!A1696)</f>
        <v/>
      </c>
      <c r="B1696" s="22" t="str">
        <f>IF(MOV_CC_INTL!B1696="","",MOV_CC_INTL!B1696)</f>
        <v/>
      </c>
      <c r="C1696" s="22" t="str">
        <f>IF(MOV_CC_INTL!C1696="","",MOV_CC_INTL!C1696)</f>
        <v/>
      </c>
      <c r="D1696" s="22" t="str">
        <f t="shared" si="1"/>
        <v>Other</v>
      </c>
      <c r="E1696" s="21" t="str">
        <f>IF(C1696="","",C1696*CONFIG!B5)</f>
        <v/>
      </c>
    </row>
    <row r="1697" ht="15.75" customHeight="1">
      <c r="A1697" s="22" t="str">
        <f>IF(MOV_CC_INTL!A1697="","",MOV_CC_INTL!A1697)</f>
        <v/>
      </c>
      <c r="B1697" s="22" t="str">
        <f>IF(MOV_CC_INTL!B1697="","",MOV_CC_INTL!B1697)</f>
        <v/>
      </c>
      <c r="C1697" s="22" t="str">
        <f>IF(MOV_CC_INTL!C1697="","",MOV_CC_INTL!C1697)</f>
        <v/>
      </c>
      <c r="D1697" s="22" t="str">
        <f t="shared" si="1"/>
        <v>Other</v>
      </c>
      <c r="E1697" s="21" t="str">
        <f>IF(C1697="","",C1697*CONFIG!B5)</f>
        <v/>
      </c>
    </row>
    <row r="1698" ht="15.75" customHeight="1">
      <c r="A1698" s="22" t="str">
        <f>IF(MOV_CC_INTL!A1698="","",MOV_CC_INTL!A1698)</f>
        <v/>
      </c>
      <c r="B1698" s="22" t="str">
        <f>IF(MOV_CC_INTL!B1698="","",MOV_CC_INTL!B1698)</f>
        <v/>
      </c>
      <c r="C1698" s="22" t="str">
        <f>IF(MOV_CC_INTL!C1698="","",MOV_CC_INTL!C1698)</f>
        <v/>
      </c>
      <c r="D1698" s="22" t="str">
        <f t="shared" si="1"/>
        <v>Other</v>
      </c>
      <c r="E1698" s="21" t="str">
        <f>IF(C1698="","",C1698*CONFIG!B5)</f>
        <v/>
      </c>
    </row>
    <row r="1699" ht="15.75" customHeight="1">
      <c r="A1699" s="22" t="str">
        <f>IF(MOV_CC_INTL!A1699="","",MOV_CC_INTL!A1699)</f>
        <v/>
      </c>
      <c r="B1699" s="22" t="str">
        <f>IF(MOV_CC_INTL!B1699="","",MOV_CC_INTL!B1699)</f>
        <v/>
      </c>
      <c r="C1699" s="22" t="str">
        <f>IF(MOV_CC_INTL!C1699="","",MOV_CC_INTL!C1699)</f>
        <v/>
      </c>
      <c r="D1699" s="22" t="str">
        <f t="shared" si="1"/>
        <v>Other</v>
      </c>
      <c r="E1699" s="21" t="str">
        <f>IF(C1699="","",C1699*CONFIG!B5)</f>
        <v/>
      </c>
    </row>
    <row r="1700" ht="15.75" customHeight="1">
      <c r="A1700" s="22" t="str">
        <f>IF(MOV_CC_INTL!A1700="","",MOV_CC_INTL!A1700)</f>
        <v/>
      </c>
      <c r="B1700" s="22" t="str">
        <f>IF(MOV_CC_INTL!B1700="","",MOV_CC_INTL!B1700)</f>
        <v/>
      </c>
      <c r="C1700" s="22" t="str">
        <f>IF(MOV_CC_INTL!C1700="","",MOV_CC_INTL!C1700)</f>
        <v/>
      </c>
      <c r="D1700" s="22" t="str">
        <f t="shared" si="1"/>
        <v>Other</v>
      </c>
      <c r="E1700" s="21" t="str">
        <f>IF(C1700="","",C1700*CONFIG!B5)</f>
        <v/>
      </c>
    </row>
    <row r="1701" ht="15.75" customHeight="1">
      <c r="A1701" s="22" t="str">
        <f>IF(MOV_CC_INTL!A1701="","",MOV_CC_INTL!A1701)</f>
        <v/>
      </c>
      <c r="B1701" s="22" t="str">
        <f>IF(MOV_CC_INTL!B1701="","",MOV_CC_INTL!B1701)</f>
        <v/>
      </c>
      <c r="C1701" s="22" t="str">
        <f>IF(MOV_CC_INTL!C1701="","",MOV_CC_INTL!C1701)</f>
        <v/>
      </c>
      <c r="D1701" s="22" t="str">
        <f t="shared" si="1"/>
        <v>Other</v>
      </c>
      <c r="E1701" s="21" t="str">
        <f>IF(C1701="","",C1701*CONFIG!B5)</f>
        <v/>
      </c>
    </row>
    <row r="1702" ht="15.75" customHeight="1">
      <c r="A1702" s="22" t="str">
        <f>IF(MOV_CC_INTL!A1702="","",MOV_CC_INTL!A1702)</f>
        <v/>
      </c>
      <c r="B1702" s="22" t="str">
        <f>IF(MOV_CC_INTL!B1702="","",MOV_CC_INTL!B1702)</f>
        <v/>
      </c>
      <c r="C1702" s="22" t="str">
        <f>IF(MOV_CC_INTL!C1702="","",MOV_CC_INTL!C1702)</f>
        <v/>
      </c>
      <c r="D1702" s="22" t="str">
        <f t="shared" si="1"/>
        <v>Other</v>
      </c>
      <c r="E1702" s="21" t="str">
        <f>IF(C1702="","",C1702*CONFIG!B5)</f>
        <v/>
      </c>
    </row>
    <row r="1703" ht="15.75" customHeight="1">
      <c r="A1703" s="22" t="str">
        <f>IF(MOV_CC_INTL!A1703="","",MOV_CC_INTL!A1703)</f>
        <v/>
      </c>
      <c r="B1703" s="22" t="str">
        <f>IF(MOV_CC_INTL!B1703="","",MOV_CC_INTL!B1703)</f>
        <v/>
      </c>
      <c r="C1703" s="22" t="str">
        <f>IF(MOV_CC_INTL!C1703="","",MOV_CC_INTL!C1703)</f>
        <v/>
      </c>
      <c r="D1703" s="22" t="str">
        <f t="shared" si="1"/>
        <v>Other</v>
      </c>
      <c r="E1703" s="21" t="str">
        <f>IF(C1703="","",C1703*CONFIG!B5)</f>
        <v/>
      </c>
    </row>
    <row r="1704" ht="15.75" customHeight="1">
      <c r="A1704" s="22" t="str">
        <f>IF(MOV_CC_INTL!A1704="","",MOV_CC_INTL!A1704)</f>
        <v/>
      </c>
      <c r="B1704" s="22" t="str">
        <f>IF(MOV_CC_INTL!B1704="","",MOV_CC_INTL!B1704)</f>
        <v/>
      </c>
      <c r="C1704" s="22" t="str">
        <f>IF(MOV_CC_INTL!C1704="","",MOV_CC_INTL!C1704)</f>
        <v/>
      </c>
      <c r="D1704" s="22" t="str">
        <f t="shared" si="1"/>
        <v>Other</v>
      </c>
      <c r="E1704" s="21" t="str">
        <f>IF(C1704="","",C1704*CONFIG!B5)</f>
        <v/>
      </c>
    </row>
    <row r="1705" ht="15.75" customHeight="1">
      <c r="A1705" s="22" t="str">
        <f>IF(MOV_CC_INTL!A1705="","",MOV_CC_INTL!A1705)</f>
        <v/>
      </c>
      <c r="B1705" s="22" t="str">
        <f>IF(MOV_CC_INTL!B1705="","",MOV_CC_INTL!B1705)</f>
        <v/>
      </c>
      <c r="C1705" s="22" t="str">
        <f>IF(MOV_CC_INTL!C1705="","",MOV_CC_INTL!C1705)</f>
        <v/>
      </c>
      <c r="D1705" s="22" t="str">
        <f t="shared" si="1"/>
        <v>Other</v>
      </c>
      <c r="E1705" s="21" t="str">
        <f>IF(C1705="","",C1705*CONFIG!B5)</f>
        <v/>
      </c>
    </row>
    <row r="1706" ht="15.75" customHeight="1">
      <c r="A1706" s="22" t="str">
        <f>IF(MOV_CC_INTL!A1706="","",MOV_CC_INTL!A1706)</f>
        <v/>
      </c>
      <c r="B1706" s="22" t="str">
        <f>IF(MOV_CC_INTL!B1706="","",MOV_CC_INTL!B1706)</f>
        <v/>
      </c>
      <c r="C1706" s="22" t="str">
        <f>IF(MOV_CC_INTL!C1706="","",MOV_CC_INTL!C1706)</f>
        <v/>
      </c>
      <c r="D1706" s="22" t="str">
        <f t="shared" si="1"/>
        <v>Other</v>
      </c>
      <c r="E1706" s="21" t="str">
        <f>IF(C1706="","",C1706*CONFIG!B5)</f>
        <v/>
      </c>
    </row>
    <row r="1707" ht="15.75" customHeight="1">
      <c r="A1707" s="22" t="str">
        <f>IF(MOV_CC_INTL!A1707="","",MOV_CC_INTL!A1707)</f>
        <v/>
      </c>
      <c r="B1707" s="22" t="str">
        <f>IF(MOV_CC_INTL!B1707="","",MOV_CC_INTL!B1707)</f>
        <v/>
      </c>
      <c r="C1707" s="22" t="str">
        <f>IF(MOV_CC_INTL!C1707="","",MOV_CC_INTL!C1707)</f>
        <v/>
      </c>
      <c r="D1707" s="22" t="str">
        <f t="shared" si="1"/>
        <v>Other</v>
      </c>
      <c r="E1707" s="21" t="str">
        <f>IF(C1707="","",C1707*CONFIG!B5)</f>
        <v/>
      </c>
    </row>
    <row r="1708" ht="15.75" customHeight="1">
      <c r="A1708" s="22" t="str">
        <f>IF(MOV_CC_INTL!A1708="","",MOV_CC_INTL!A1708)</f>
        <v/>
      </c>
      <c r="B1708" s="22" t="str">
        <f>IF(MOV_CC_INTL!B1708="","",MOV_CC_INTL!B1708)</f>
        <v/>
      </c>
      <c r="C1708" s="22" t="str">
        <f>IF(MOV_CC_INTL!C1708="","",MOV_CC_INTL!C1708)</f>
        <v/>
      </c>
      <c r="D1708" s="22" t="str">
        <f t="shared" si="1"/>
        <v>Other</v>
      </c>
      <c r="E1708" s="21" t="str">
        <f>IF(C1708="","",C1708*CONFIG!B5)</f>
        <v/>
      </c>
    </row>
    <row r="1709" ht="15.75" customHeight="1">
      <c r="A1709" s="22" t="str">
        <f>IF(MOV_CC_INTL!A1709="","",MOV_CC_INTL!A1709)</f>
        <v/>
      </c>
      <c r="B1709" s="22" t="str">
        <f>IF(MOV_CC_INTL!B1709="","",MOV_CC_INTL!B1709)</f>
        <v/>
      </c>
      <c r="C1709" s="22" t="str">
        <f>IF(MOV_CC_INTL!C1709="","",MOV_CC_INTL!C1709)</f>
        <v/>
      </c>
      <c r="D1709" s="22" t="str">
        <f t="shared" si="1"/>
        <v>Other</v>
      </c>
      <c r="E1709" s="21" t="str">
        <f>IF(C1709="","",C1709*CONFIG!B5)</f>
        <v/>
      </c>
    </row>
    <row r="1710" ht="15.75" customHeight="1">
      <c r="A1710" s="22" t="str">
        <f>IF(MOV_CC_INTL!A1710="","",MOV_CC_INTL!A1710)</f>
        <v/>
      </c>
      <c r="B1710" s="22" t="str">
        <f>IF(MOV_CC_INTL!B1710="","",MOV_CC_INTL!B1710)</f>
        <v/>
      </c>
      <c r="C1710" s="22" t="str">
        <f>IF(MOV_CC_INTL!C1710="","",MOV_CC_INTL!C1710)</f>
        <v/>
      </c>
      <c r="D1710" s="22" t="str">
        <f t="shared" si="1"/>
        <v>Other</v>
      </c>
      <c r="E1710" s="21" t="str">
        <f>IF(C1710="","",C1710*CONFIG!B5)</f>
        <v/>
      </c>
    </row>
    <row r="1711" ht="15.75" customHeight="1">
      <c r="A1711" s="22" t="str">
        <f>IF(MOV_CC_INTL!A1711="","",MOV_CC_INTL!A1711)</f>
        <v/>
      </c>
      <c r="B1711" s="22" t="str">
        <f>IF(MOV_CC_INTL!B1711="","",MOV_CC_INTL!B1711)</f>
        <v/>
      </c>
      <c r="C1711" s="22" t="str">
        <f>IF(MOV_CC_INTL!C1711="","",MOV_CC_INTL!C1711)</f>
        <v/>
      </c>
      <c r="D1711" s="22" t="str">
        <f t="shared" si="1"/>
        <v>Other</v>
      </c>
      <c r="E1711" s="21" t="str">
        <f>IF(C1711="","",C1711*CONFIG!B5)</f>
        <v/>
      </c>
    </row>
    <row r="1712" ht="15.75" customHeight="1">
      <c r="A1712" s="22" t="str">
        <f>IF(MOV_CC_INTL!A1712="","",MOV_CC_INTL!A1712)</f>
        <v/>
      </c>
      <c r="B1712" s="22" t="str">
        <f>IF(MOV_CC_INTL!B1712="","",MOV_CC_INTL!B1712)</f>
        <v/>
      </c>
      <c r="C1712" s="22" t="str">
        <f>IF(MOV_CC_INTL!C1712="","",MOV_CC_INTL!C1712)</f>
        <v/>
      </c>
      <c r="D1712" s="22" t="str">
        <f t="shared" si="1"/>
        <v>Other</v>
      </c>
      <c r="E1712" s="21" t="str">
        <f>IF(C1712="","",C1712*CONFIG!B5)</f>
        <v/>
      </c>
    </row>
    <row r="1713" ht="15.75" customHeight="1">
      <c r="A1713" s="22" t="str">
        <f>IF(MOV_CC_INTL!A1713="","",MOV_CC_INTL!A1713)</f>
        <v/>
      </c>
      <c r="B1713" s="22" t="str">
        <f>IF(MOV_CC_INTL!B1713="","",MOV_CC_INTL!B1713)</f>
        <v/>
      </c>
      <c r="C1713" s="22" t="str">
        <f>IF(MOV_CC_INTL!C1713="","",MOV_CC_INTL!C1713)</f>
        <v/>
      </c>
      <c r="D1713" s="22" t="str">
        <f t="shared" si="1"/>
        <v>Other</v>
      </c>
      <c r="E1713" s="21" t="str">
        <f>IF(C1713="","",C1713*CONFIG!B5)</f>
        <v/>
      </c>
    </row>
    <row r="1714" ht="15.75" customHeight="1">
      <c r="A1714" s="22" t="str">
        <f>IF(MOV_CC_INTL!A1714="","",MOV_CC_INTL!A1714)</f>
        <v/>
      </c>
      <c r="B1714" s="22" t="str">
        <f>IF(MOV_CC_INTL!B1714="","",MOV_CC_INTL!B1714)</f>
        <v/>
      </c>
      <c r="C1714" s="22" t="str">
        <f>IF(MOV_CC_INTL!C1714="","",MOV_CC_INTL!C1714)</f>
        <v/>
      </c>
      <c r="D1714" s="22" t="str">
        <f t="shared" si="1"/>
        <v>Other</v>
      </c>
      <c r="E1714" s="21" t="str">
        <f>IF(C1714="","",C1714*CONFIG!B5)</f>
        <v/>
      </c>
    </row>
    <row r="1715" ht="15.75" customHeight="1">
      <c r="A1715" s="22" t="str">
        <f>IF(MOV_CC_INTL!A1715="","",MOV_CC_INTL!A1715)</f>
        <v/>
      </c>
      <c r="B1715" s="22" t="str">
        <f>IF(MOV_CC_INTL!B1715="","",MOV_CC_INTL!B1715)</f>
        <v/>
      </c>
      <c r="C1715" s="22" t="str">
        <f>IF(MOV_CC_INTL!C1715="","",MOV_CC_INTL!C1715)</f>
        <v/>
      </c>
      <c r="D1715" s="22" t="str">
        <f t="shared" si="1"/>
        <v>Other</v>
      </c>
      <c r="E1715" s="21" t="str">
        <f>IF(C1715="","",C1715*CONFIG!B5)</f>
        <v/>
      </c>
    </row>
    <row r="1716" ht="15.75" customHeight="1">
      <c r="A1716" s="22" t="str">
        <f>IF(MOV_CC_INTL!A1716="","",MOV_CC_INTL!A1716)</f>
        <v/>
      </c>
      <c r="B1716" s="22" t="str">
        <f>IF(MOV_CC_INTL!B1716="","",MOV_CC_INTL!B1716)</f>
        <v/>
      </c>
      <c r="C1716" s="22" t="str">
        <f>IF(MOV_CC_INTL!C1716="","",MOV_CC_INTL!C1716)</f>
        <v/>
      </c>
      <c r="D1716" s="22" t="str">
        <f t="shared" si="1"/>
        <v>Other</v>
      </c>
      <c r="E1716" s="21" t="str">
        <f>IF(C1716="","",C1716*CONFIG!B5)</f>
        <v/>
      </c>
    </row>
    <row r="1717" ht="15.75" customHeight="1">
      <c r="A1717" s="22" t="str">
        <f>IF(MOV_CC_INTL!A1717="","",MOV_CC_INTL!A1717)</f>
        <v/>
      </c>
      <c r="B1717" s="22" t="str">
        <f>IF(MOV_CC_INTL!B1717="","",MOV_CC_INTL!B1717)</f>
        <v/>
      </c>
      <c r="C1717" s="22" t="str">
        <f>IF(MOV_CC_INTL!C1717="","",MOV_CC_INTL!C1717)</f>
        <v/>
      </c>
      <c r="D1717" s="22" t="str">
        <f t="shared" si="1"/>
        <v>Other</v>
      </c>
      <c r="E1717" s="21" t="str">
        <f>IF(C1717="","",C1717*CONFIG!B5)</f>
        <v/>
      </c>
    </row>
    <row r="1718" ht="15.75" customHeight="1">
      <c r="A1718" s="22" t="str">
        <f>IF(MOV_CC_INTL!A1718="","",MOV_CC_INTL!A1718)</f>
        <v/>
      </c>
      <c r="B1718" s="22" t="str">
        <f>IF(MOV_CC_INTL!B1718="","",MOV_CC_INTL!B1718)</f>
        <v/>
      </c>
      <c r="C1718" s="22" t="str">
        <f>IF(MOV_CC_INTL!C1718="","",MOV_CC_INTL!C1718)</f>
        <v/>
      </c>
      <c r="D1718" s="22" t="str">
        <f t="shared" si="1"/>
        <v>Other</v>
      </c>
      <c r="E1718" s="21" t="str">
        <f>IF(C1718="","",C1718*CONFIG!B5)</f>
        <v/>
      </c>
    </row>
    <row r="1719" ht="15.75" customHeight="1">
      <c r="A1719" s="22" t="str">
        <f>IF(MOV_CC_INTL!A1719="","",MOV_CC_INTL!A1719)</f>
        <v/>
      </c>
      <c r="B1719" s="22" t="str">
        <f>IF(MOV_CC_INTL!B1719="","",MOV_CC_INTL!B1719)</f>
        <v/>
      </c>
      <c r="C1719" s="22" t="str">
        <f>IF(MOV_CC_INTL!C1719="","",MOV_CC_INTL!C1719)</f>
        <v/>
      </c>
      <c r="D1719" s="22" t="str">
        <f t="shared" si="1"/>
        <v>Other</v>
      </c>
      <c r="E1719" s="21" t="str">
        <f>IF(C1719="","",C1719*CONFIG!B5)</f>
        <v/>
      </c>
    </row>
    <row r="1720" ht="15.75" customHeight="1">
      <c r="A1720" s="22" t="str">
        <f>IF(MOV_CC_INTL!A1720="","",MOV_CC_INTL!A1720)</f>
        <v/>
      </c>
      <c r="B1720" s="22" t="str">
        <f>IF(MOV_CC_INTL!B1720="","",MOV_CC_INTL!B1720)</f>
        <v/>
      </c>
      <c r="C1720" s="22" t="str">
        <f>IF(MOV_CC_INTL!C1720="","",MOV_CC_INTL!C1720)</f>
        <v/>
      </c>
      <c r="D1720" s="22" t="str">
        <f t="shared" si="1"/>
        <v>Other</v>
      </c>
      <c r="E1720" s="21" t="str">
        <f>IF(C1720="","",C1720*CONFIG!B5)</f>
        <v/>
      </c>
    </row>
    <row r="1721" ht="15.75" customHeight="1">
      <c r="A1721" s="22" t="str">
        <f>IF(MOV_CC_INTL!A1721="","",MOV_CC_INTL!A1721)</f>
        <v/>
      </c>
      <c r="B1721" s="22" t="str">
        <f>IF(MOV_CC_INTL!B1721="","",MOV_CC_INTL!B1721)</f>
        <v/>
      </c>
      <c r="C1721" s="22" t="str">
        <f>IF(MOV_CC_INTL!C1721="","",MOV_CC_INTL!C1721)</f>
        <v/>
      </c>
      <c r="D1721" s="22" t="str">
        <f t="shared" si="1"/>
        <v>Other</v>
      </c>
      <c r="E1721" s="21" t="str">
        <f>IF(C1721="","",C1721*CONFIG!B5)</f>
        <v/>
      </c>
    </row>
    <row r="1722" ht="15.75" customHeight="1">
      <c r="A1722" s="22" t="str">
        <f>IF(MOV_CC_INTL!A1722="","",MOV_CC_INTL!A1722)</f>
        <v/>
      </c>
      <c r="B1722" s="22" t="str">
        <f>IF(MOV_CC_INTL!B1722="","",MOV_CC_INTL!B1722)</f>
        <v/>
      </c>
      <c r="C1722" s="22" t="str">
        <f>IF(MOV_CC_INTL!C1722="","",MOV_CC_INTL!C1722)</f>
        <v/>
      </c>
      <c r="D1722" s="22" t="str">
        <f t="shared" si="1"/>
        <v>Other</v>
      </c>
      <c r="E1722" s="21" t="str">
        <f>IF(C1722="","",C1722*CONFIG!B5)</f>
        <v/>
      </c>
    </row>
    <row r="1723" ht="15.75" customHeight="1">
      <c r="A1723" s="22" t="str">
        <f>IF(MOV_CC_INTL!A1723="","",MOV_CC_INTL!A1723)</f>
        <v/>
      </c>
      <c r="B1723" s="22" t="str">
        <f>IF(MOV_CC_INTL!B1723="","",MOV_CC_INTL!B1723)</f>
        <v/>
      </c>
      <c r="C1723" s="22" t="str">
        <f>IF(MOV_CC_INTL!C1723="","",MOV_CC_INTL!C1723)</f>
        <v/>
      </c>
      <c r="D1723" s="22" t="str">
        <f t="shared" si="1"/>
        <v>Other</v>
      </c>
      <c r="E1723" s="21" t="str">
        <f>IF(C1723="","",C1723*CONFIG!B5)</f>
        <v/>
      </c>
    </row>
    <row r="1724" ht="15.75" customHeight="1">
      <c r="A1724" s="22" t="str">
        <f>IF(MOV_CC_INTL!A1724="","",MOV_CC_INTL!A1724)</f>
        <v/>
      </c>
      <c r="B1724" s="22" t="str">
        <f>IF(MOV_CC_INTL!B1724="","",MOV_CC_INTL!B1724)</f>
        <v/>
      </c>
      <c r="C1724" s="22" t="str">
        <f>IF(MOV_CC_INTL!C1724="","",MOV_CC_INTL!C1724)</f>
        <v/>
      </c>
      <c r="D1724" s="22" t="str">
        <f t="shared" si="1"/>
        <v>Other</v>
      </c>
      <c r="E1724" s="21" t="str">
        <f>IF(C1724="","",C1724*CONFIG!B5)</f>
        <v/>
      </c>
    </row>
    <row r="1725" ht="15.75" customHeight="1">
      <c r="A1725" s="22" t="str">
        <f>IF(MOV_CC_INTL!A1725="","",MOV_CC_INTL!A1725)</f>
        <v/>
      </c>
      <c r="B1725" s="22" t="str">
        <f>IF(MOV_CC_INTL!B1725="","",MOV_CC_INTL!B1725)</f>
        <v/>
      </c>
      <c r="C1725" s="22" t="str">
        <f>IF(MOV_CC_INTL!C1725="","",MOV_CC_INTL!C1725)</f>
        <v/>
      </c>
      <c r="D1725" s="22" t="str">
        <f t="shared" si="1"/>
        <v>Other</v>
      </c>
      <c r="E1725" s="21" t="str">
        <f>IF(C1725="","",C1725*CONFIG!B5)</f>
        <v/>
      </c>
    </row>
    <row r="1726" ht="15.75" customHeight="1">
      <c r="A1726" s="22" t="str">
        <f>IF(MOV_CC_INTL!A1726="","",MOV_CC_INTL!A1726)</f>
        <v/>
      </c>
      <c r="B1726" s="22" t="str">
        <f>IF(MOV_CC_INTL!B1726="","",MOV_CC_INTL!B1726)</f>
        <v/>
      </c>
      <c r="C1726" s="22" t="str">
        <f>IF(MOV_CC_INTL!C1726="","",MOV_CC_INTL!C1726)</f>
        <v/>
      </c>
      <c r="D1726" s="22" t="str">
        <f t="shared" si="1"/>
        <v>Other</v>
      </c>
      <c r="E1726" s="21" t="str">
        <f>IF(C1726="","",C1726*CONFIG!B5)</f>
        <v/>
      </c>
    </row>
    <row r="1727" ht="15.75" customHeight="1">
      <c r="A1727" s="22" t="str">
        <f>IF(MOV_CC_INTL!A1727="","",MOV_CC_INTL!A1727)</f>
        <v/>
      </c>
      <c r="B1727" s="22" t="str">
        <f>IF(MOV_CC_INTL!B1727="","",MOV_CC_INTL!B1727)</f>
        <v/>
      </c>
      <c r="C1727" s="22" t="str">
        <f>IF(MOV_CC_INTL!C1727="","",MOV_CC_INTL!C1727)</f>
        <v/>
      </c>
      <c r="D1727" s="22" t="str">
        <f t="shared" si="1"/>
        <v>Other</v>
      </c>
      <c r="E1727" s="21" t="str">
        <f>IF(C1727="","",C1727*CONFIG!B5)</f>
        <v/>
      </c>
    </row>
    <row r="1728" ht="15.75" customHeight="1">
      <c r="A1728" s="22" t="str">
        <f>IF(MOV_CC_INTL!A1728="","",MOV_CC_INTL!A1728)</f>
        <v/>
      </c>
      <c r="B1728" s="22" t="str">
        <f>IF(MOV_CC_INTL!B1728="","",MOV_CC_INTL!B1728)</f>
        <v/>
      </c>
      <c r="C1728" s="22" t="str">
        <f>IF(MOV_CC_INTL!C1728="","",MOV_CC_INTL!C1728)</f>
        <v/>
      </c>
      <c r="D1728" s="22" t="str">
        <f t="shared" si="1"/>
        <v>Other</v>
      </c>
      <c r="E1728" s="21" t="str">
        <f>IF(C1728="","",C1728*CONFIG!B5)</f>
        <v/>
      </c>
    </row>
    <row r="1729" ht="15.75" customHeight="1">
      <c r="A1729" s="22" t="str">
        <f>IF(MOV_CC_INTL!A1729="","",MOV_CC_INTL!A1729)</f>
        <v/>
      </c>
      <c r="B1729" s="22" t="str">
        <f>IF(MOV_CC_INTL!B1729="","",MOV_CC_INTL!B1729)</f>
        <v/>
      </c>
      <c r="C1729" s="22" t="str">
        <f>IF(MOV_CC_INTL!C1729="","",MOV_CC_INTL!C1729)</f>
        <v/>
      </c>
      <c r="D1729" s="22" t="str">
        <f t="shared" si="1"/>
        <v>Other</v>
      </c>
      <c r="E1729" s="21" t="str">
        <f>IF(C1729="","",C1729*CONFIG!B5)</f>
        <v/>
      </c>
    </row>
    <row r="1730" ht="15.75" customHeight="1">
      <c r="A1730" s="22" t="str">
        <f>IF(MOV_CC_INTL!A1730="","",MOV_CC_INTL!A1730)</f>
        <v/>
      </c>
      <c r="B1730" s="22" t="str">
        <f>IF(MOV_CC_INTL!B1730="","",MOV_CC_INTL!B1730)</f>
        <v/>
      </c>
      <c r="C1730" s="22" t="str">
        <f>IF(MOV_CC_INTL!C1730="","",MOV_CC_INTL!C1730)</f>
        <v/>
      </c>
      <c r="D1730" s="22" t="str">
        <f t="shared" si="1"/>
        <v>Other</v>
      </c>
      <c r="E1730" s="21" t="str">
        <f>IF(C1730="","",C1730*CONFIG!B5)</f>
        <v/>
      </c>
    </row>
    <row r="1731" ht="15.75" customHeight="1">
      <c r="A1731" s="22" t="str">
        <f>IF(MOV_CC_INTL!A1731="","",MOV_CC_INTL!A1731)</f>
        <v/>
      </c>
      <c r="B1731" s="22" t="str">
        <f>IF(MOV_CC_INTL!B1731="","",MOV_CC_INTL!B1731)</f>
        <v/>
      </c>
      <c r="C1731" s="22" t="str">
        <f>IF(MOV_CC_INTL!C1731="","",MOV_CC_INTL!C1731)</f>
        <v/>
      </c>
      <c r="D1731" s="22" t="str">
        <f t="shared" si="1"/>
        <v>Other</v>
      </c>
      <c r="E1731" s="21" t="str">
        <f>IF(C1731="","",C1731*CONFIG!B5)</f>
        <v/>
      </c>
    </row>
    <row r="1732" ht="15.75" customHeight="1">
      <c r="A1732" s="22" t="str">
        <f>IF(MOV_CC_INTL!A1732="","",MOV_CC_INTL!A1732)</f>
        <v/>
      </c>
      <c r="B1732" s="22" t="str">
        <f>IF(MOV_CC_INTL!B1732="","",MOV_CC_INTL!B1732)</f>
        <v/>
      </c>
      <c r="C1732" s="22" t="str">
        <f>IF(MOV_CC_INTL!C1732="","",MOV_CC_INTL!C1732)</f>
        <v/>
      </c>
      <c r="D1732" s="22" t="str">
        <f t="shared" si="1"/>
        <v>Other</v>
      </c>
      <c r="E1732" s="21" t="str">
        <f>IF(C1732="","",C1732*CONFIG!B5)</f>
        <v/>
      </c>
    </row>
    <row r="1733" ht="15.75" customHeight="1">
      <c r="A1733" s="22" t="str">
        <f>IF(MOV_CC_INTL!A1733="","",MOV_CC_INTL!A1733)</f>
        <v/>
      </c>
      <c r="B1733" s="22" t="str">
        <f>IF(MOV_CC_INTL!B1733="","",MOV_CC_INTL!B1733)</f>
        <v/>
      </c>
      <c r="C1733" s="22" t="str">
        <f>IF(MOV_CC_INTL!C1733="","",MOV_CC_INTL!C1733)</f>
        <v/>
      </c>
      <c r="D1733" s="22" t="str">
        <f t="shared" si="1"/>
        <v>Other</v>
      </c>
      <c r="E1733" s="21" t="str">
        <f>IF(C1733="","",C1733*CONFIG!B5)</f>
        <v/>
      </c>
    </row>
    <row r="1734" ht="15.75" customHeight="1">
      <c r="A1734" s="22" t="str">
        <f>IF(MOV_CC_INTL!A1734="","",MOV_CC_INTL!A1734)</f>
        <v/>
      </c>
      <c r="B1734" s="22" t="str">
        <f>IF(MOV_CC_INTL!B1734="","",MOV_CC_INTL!B1734)</f>
        <v/>
      </c>
      <c r="C1734" s="22" t="str">
        <f>IF(MOV_CC_INTL!C1734="","",MOV_CC_INTL!C1734)</f>
        <v/>
      </c>
      <c r="D1734" s="22" t="str">
        <f t="shared" si="1"/>
        <v>Other</v>
      </c>
      <c r="E1734" s="21" t="str">
        <f>IF(C1734="","",C1734*CONFIG!B5)</f>
        <v/>
      </c>
    </row>
    <row r="1735" ht="15.75" customHeight="1">
      <c r="A1735" s="22" t="str">
        <f>IF(MOV_CC_INTL!A1735="","",MOV_CC_INTL!A1735)</f>
        <v/>
      </c>
      <c r="B1735" s="22" t="str">
        <f>IF(MOV_CC_INTL!B1735="","",MOV_CC_INTL!B1735)</f>
        <v/>
      </c>
      <c r="C1735" s="22" t="str">
        <f>IF(MOV_CC_INTL!C1735="","",MOV_CC_INTL!C1735)</f>
        <v/>
      </c>
      <c r="D1735" s="22" t="str">
        <f t="shared" si="1"/>
        <v>Other</v>
      </c>
      <c r="E1735" s="21" t="str">
        <f>IF(C1735="","",C1735*CONFIG!B5)</f>
        <v/>
      </c>
    </row>
    <row r="1736" ht="15.75" customHeight="1">
      <c r="A1736" s="22" t="str">
        <f>IF(MOV_CC_INTL!A1736="","",MOV_CC_INTL!A1736)</f>
        <v/>
      </c>
      <c r="B1736" s="22" t="str">
        <f>IF(MOV_CC_INTL!B1736="","",MOV_CC_INTL!B1736)</f>
        <v/>
      </c>
      <c r="C1736" s="22" t="str">
        <f>IF(MOV_CC_INTL!C1736="","",MOV_CC_INTL!C1736)</f>
        <v/>
      </c>
      <c r="D1736" s="22" t="str">
        <f t="shared" si="1"/>
        <v>Other</v>
      </c>
      <c r="E1736" s="21" t="str">
        <f>IF(C1736="","",C1736*CONFIG!B5)</f>
        <v/>
      </c>
    </row>
    <row r="1737" ht="15.75" customHeight="1">
      <c r="A1737" s="22" t="str">
        <f>IF(MOV_CC_INTL!A1737="","",MOV_CC_INTL!A1737)</f>
        <v/>
      </c>
      <c r="B1737" s="22" t="str">
        <f>IF(MOV_CC_INTL!B1737="","",MOV_CC_INTL!B1737)</f>
        <v/>
      </c>
      <c r="C1737" s="22" t="str">
        <f>IF(MOV_CC_INTL!C1737="","",MOV_CC_INTL!C1737)</f>
        <v/>
      </c>
      <c r="D1737" s="22" t="str">
        <f t="shared" si="1"/>
        <v>Other</v>
      </c>
      <c r="E1737" s="21" t="str">
        <f>IF(C1737="","",C1737*CONFIG!B5)</f>
        <v/>
      </c>
    </row>
    <row r="1738" ht="15.75" customHeight="1">
      <c r="A1738" s="22" t="str">
        <f>IF(MOV_CC_INTL!A1738="","",MOV_CC_INTL!A1738)</f>
        <v/>
      </c>
      <c r="B1738" s="22" t="str">
        <f>IF(MOV_CC_INTL!B1738="","",MOV_CC_INTL!B1738)</f>
        <v/>
      </c>
      <c r="C1738" s="22" t="str">
        <f>IF(MOV_CC_INTL!C1738="","",MOV_CC_INTL!C1738)</f>
        <v/>
      </c>
      <c r="D1738" s="22" t="str">
        <f t="shared" si="1"/>
        <v>Other</v>
      </c>
      <c r="E1738" s="21" t="str">
        <f>IF(C1738="","",C1738*CONFIG!B5)</f>
        <v/>
      </c>
    </row>
    <row r="1739" ht="15.75" customHeight="1">
      <c r="A1739" s="22" t="str">
        <f>IF(MOV_CC_INTL!A1739="","",MOV_CC_INTL!A1739)</f>
        <v/>
      </c>
      <c r="B1739" s="22" t="str">
        <f>IF(MOV_CC_INTL!B1739="","",MOV_CC_INTL!B1739)</f>
        <v/>
      </c>
      <c r="C1739" s="22" t="str">
        <f>IF(MOV_CC_INTL!C1739="","",MOV_CC_INTL!C1739)</f>
        <v/>
      </c>
      <c r="D1739" s="22" t="str">
        <f t="shared" si="1"/>
        <v>Other</v>
      </c>
      <c r="E1739" s="21" t="str">
        <f>IF(C1739="","",C1739*CONFIG!B5)</f>
        <v/>
      </c>
    </row>
    <row r="1740" ht="15.75" customHeight="1">
      <c r="A1740" s="22" t="str">
        <f>IF(MOV_CC_INTL!A1740="","",MOV_CC_INTL!A1740)</f>
        <v/>
      </c>
      <c r="B1740" s="22" t="str">
        <f>IF(MOV_CC_INTL!B1740="","",MOV_CC_INTL!B1740)</f>
        <v/>
      </c>
      <c r="C1740" s="22" t="str">
        <f>IF(MOV_CC_INTL!C1740="","",MOV_CC_INTL!C1740)</f>
        <v/>
      </c>
      <c r="D1740" s="22" t="str">
        <f t="shared" si="1"/>
        <v>Other</v>
      </c>
      <c r="E1740" s="21" t="str">
        <f>IF(C1740="","",C1740*CONFIG!B5)</f>
        <v/>
      </c>
    </row>
    <row r="1741" ht="15.75" customHeight="1">
      <c r="A1741" s="22" t="str">
        <f>IF(MOV_CC_INTL!A1741="","",MOV_CC_INTL!A1741)</f>
        <v/>
      </c>
      <c r="B1741" s="22" t="str">
        <f>IF(MOV_CC_INTL!B1741="","",MOV_CC_INTL!B1741)</f>
        <v/>
      </c>
      <c r="C1741" s="22" t="str">
        <f>IF(MOV_CC_INTL!C1741="","",MOV_CC_INTL!C1741)</f>
        <v/>
      </c>
      <c r="D1741" s="22" t="str">
        <f t="shared" si="1"/>
        <v>Other</v>
      </c>
      <c r="E1741" s="21" t="str">
        <f>IF(C1741="","",C1741*CONFIG!B5)</f>
        <v/>
      </c>
    </row>
    <row r="1742" ht="15.75" customHeight="1">
      <c r="A1742" s="22" t="str">
        <f>IF(MOV_CC_INTL!A1742="","",MOV_CC_INTL!A1742)</f>
        <v/>
      </c>
      <c r="B1742" s="22" t="str">
        <f>IF(MOV_CC_INTL!B1742="","",MOV_CC_INTL!B1742)</f>
        <v/>
      </c>
      <c r="C1742" s="22" t="str">
        <f>IF(MOV_CC_INTL!C1742="","",MOV_CC_INTL!C1742)</f>
        <v/>
      </c>
      <c r="D1742" s="22" t="str">
        <f t="shared" si="1"/>
        <v>Other</v>
      </c>
      <c r="E1742" s="21" t="str">
        <f>IF(C1742="","",C1742*CONFIG!B5)</f>
        <v/>
      </c>
    </row>
    <row r="1743" ht="15.75" customHeight="1">
      <c r="A1743" s="22" t="str">
        <f>IF(MOV_CC_INTL!A1743="","",MOV_CC_INTL!A1743)</f>
        <v/>
      </c>
      <c r="B1743" s="22" t="str">
        <f>IF(MOV_CC_INTL!B1743="","",MOV_CC_INTL!B1743)</f>
        <v/>
      </c>
      <c r="C1743" s="22" t="str">
        <f>IF(MOV_CC_INTL!C1743="","",MOV_CC_INTL!C1743)</f>
        <v/>
      </c>
      <c r="D1743" s="22" t="str">
        <f t="shared" si="1"/>
        <v>Other</v>
      </c>
      <c r="E1743" s="21" t="str">
        <f>IF(C1743="","",C1743*CONFIG!B5)</f>
        <v/>
      </c>
    </row>
    <row r="1744" ht="15.75" customHeight="1">
      <c r="A1744" s="22" t="str">
        <f>IF(MOV_CC_INTL!A1744="","",MOV_CC_INTL!A1744)</f>
        <v/>
      </c>
      <c r="B1744" s="22" t="str">
        <f>IF(MOV_CC_INTL!B1744="","",MOV_CC_INTL!B1744)</f>
        <v/>
      </c>
      <c r="C1744" s="22" t="str">
        <f>IF(MOV_CC_INTL!C1744="","",MOV_CC_INTL!C1744)</f>
        <v/>
      </c>
      <c r="D1744" s="22" t="str">
        <f t="shared" si="1"/>
        <v>Other</v>
      </c>
      <c r="E1744" s="21" t="str">
        <f>IF(C1744="","",C1744*CONFIG!B5)</f>
        <v/>
      </c>
    </row>
    <row r="1745" ht="15.75" customHeight="1">
      <c r="A1745" s="22" t="str">
        <f>IF(MOV_CC_INTL!A1745="","",MOV_CC_INTL!A1745)</f>
        <v/>
      </c>
      <c r="B1745" s="22" t="str">
        <f>IF(MOV_CC_INTL!B1745="","",MOV_CC_INTL!B1745)</f>
        <v/>
      </c>
      <c r="C1745" s="22" t="str">
        <f>IF(MOV_CC_INTL!C1745="","",MOV_CC_INTL!C1745)</f>
        <v/>
      </c>
      <c r="D1745" s="22" t="str">
        <f t="shared" si="1"/>
        <v>Other</v>
      </c>
      <c r="E1745" s="21" t="str">
        <f>IF(C1745="","",C1745*CONFIG!B5)</f>
        <v/>
      </c>
    </row>
    <row r="1746" ht="15.75" customHeight="1">
      <c r="A1746" s="22" t="str">
        <f>IF(MOV_CC_INTL!A1746="","",MOV_CC_INTL!A1746)</f>
        <v/>
      </c>
      <c r="B1746" s="22" t="str">
        <f>IF(MOV_CC_INTL!B1746="","",MOV_CC_INTL!B1746)</f>
        <v/>
      </c>
      <c r="C1746" s="22" t="str">
        <f>IF(MOV_CC_INTL!C1746="","",MOV_CC_INTL!C1746)</f>
        <v/>
      </c>
      <c r="D1746" s="22" t="str">
        <f t="shared" si="1"/>
        <v>Other</v>
      </c>
      <c r="E1746" s="21" t="str">
        <f>IF(C1746="","",C1746*CONFIG!B5)</f>
        <v/>
      </c>
    </row>
    <row r="1747" ht="15.75" customHeight="1">
      <c r="A1747" s="22" t="str">
        <f>IF(MOV_CC_INTL!A1747="","",MOV_CC_INTL!A1747)</f>
        <v/>
      </c>
      <c r="B1747" s="22" t="str">
        <f>IF(MOV_CC_INTL!B1747="","",MOV_CC_INTL!B1747)</f>
        <v/>
      </c>
      <c r="C1747" s="22" t="str">
        <f>IF(MOV_CC_INTL!C1747="","",MOV_CC_INTL!C1747)</f>
        <v/>
      </c>
      <c r="D1747" s="22" t="str">
        <f t="shared" si="1"/>
        <v>Other</v>
      </c>
      <c r="E1747" s="21" t="str">
        <f>IF(C1747="","",C1747*CONFIG!B5)</f>
        <v/>
      </c>
    </row>
    <row r="1748" ht="15.75" customHeight="1">
      <c r="A1748" s="22" t="str">
        <f>IF(MOV_CC_INTL!A1748="","",MOV_CC_INTL!A1748)</f>
        <v/>
      </c>
      <c r="B1748" s="22" t="str">
        <f>IF(MOV_CC_INTL!B1748="","",MOV_CC_INTL!B1748)</f>
        <v/>
      </c>
      <c r="C1748" s="22" t="str">
        <f>IF(MOV_CC_INTL!C1748="","",MOV_CC_INTL!C1748)</f>
        <v/>
      </c>
      <c r="D1748" s="22" t="str">
        <f t="shared" si="1"/>
        <v>Other</v>
      </c>
      <c r="E1748" s="21" t="str">
        <f>IF(C1748="","",C1748*CONFIG!B5)</f>
        <v/>
      </c>
    </row>
    <row r="1749" ht="15.75" customHeight="1">
      <c r="A1749" s="22" t="str">
        <f>IF(MOV_CC_INTL!A1749="","",MOV_CC_INTL!A1749)</f>
        <v/>
      </c>
      <c r="B1749" s="22" t="str">
        <f>IF(MOV_CC_INTL!B1749="","",MOV_CC_INTL!B1749)</f>
        <v/>
      </c>
      <c r="C1749" s="22" t="str">
        <f>IF(MOV_CC_INTL!C1749="","",MOV_CC_INTL!C1749)</f>
        <v/>
      </c>
      <c r="D1749" s="22" t="str">
        <f t="shared" si="1"/>
        <v>Other</v>
      </c>
      <c r="E1749" s="21" t="str">
        <f>IF(C1749="","",C1749*CONFIG!B5)</f>
        <v/>
      </c>
    </row>
    <row r="1750" ht="15.75" customHeight="1">
      <c r="A1750" s="22" t="str">
        <f>IF(MOV_CC_INTL!A1750="","",MOV_CC_INTL!A1750)</f>
        <v/>
      </c>
      <c r="B1750" s="22" t="str">
        <f>IF(MOV_CC_INTL!B1750="","",MOV_CC_INTL!B1750)</f>
        <v/>
      </c>
      <c r="C1750" s="22" t="str">
        <f>IF(MOV_CC_INTL!C1750="","",MOV_CC_INTL!C1750)</f>
        <v/>
      </c>
      <c r="D1750" s="22" t="str">
        <f t="shared" si="1"/>
        <v>Other</v>
      </c>
      <c r="E1750" s="21" t="str">
        <f>IF(C1750="","",C1750*CONFIG!B5)</f>
        <v/>
      </c>
    </row>
    <row r="1751" ht="15.75" customHeight="1">
      <c r="A1751" s="22" t="str">
        <f>IF(MOV_CC_INTL!A1751="","",MOV_CC_INTL!A1751)</f>
        <v/>
      </c>
      <c r="B1751" s="22" t="str">
        <f>IF(MOV_CC_INTL!B1751="","",MOV_CC_INTL!B1751)</f>
        <v/>
      </c>
      <c r="C1751" s="22" t="str">
        <f>IF(MOV_CC_INTL!C1751="","",MOV_CC_INTL!C1751)</f>
        <v/>
      </c>
      <c r="D1751" s="22" t="str">
        <f t="shared" si="1"/>
        <v>Other</v>
      </c>
      <c r="E1751" s="21" t="str">
        <f>IF(C1751="","",C1751*CONFIG!B5)</f>
        <v/>
      </c>
    </row>
    <row r="1752" ht="15.75" customHeight="1">
      <c r="A1752" s="22" t="str">
        <f>IF(MOV_CC_INTL!A1752="","",MOV_CC_INTL!A1752)</f>
        <v/>
      </c>
      <c r="B1752" s="22" t="str">
        <f>IF(MOV_CC_INTL!B1752="","",MOV_CC_INTL!B1752)</f>
        <v/>
      </c>
      <c r="C1752" s="22" t="str">
        <f>IF(MOV_CC_INTL!C1752="","",MOV_CC_INTL!C1752)</f>
        <v/>
      </c>
      <c r="D1752" s="22" t="str">
        <f t="shared" si="1"/>
        <v>Other</v>
      </c>
      <c r="E1752" s="21" t="str">
        <f>IF(C1752="","",C1752*CONFIG!B5)</f>
        <v/>
      </c>
    </row>
    <row r="1753" ht="15.75" customHeight="1">
      <c r="A1753" s="22" t="str">
        <f>IF(MOV_CC_INTL!A1753="","",MOV_CC_INTL!A1753)</f>
        <v/>
      </c>
      <c r="B1753" s="22" t="str">
        <f>IF(MOV_CC_INTL!B1753="","",MOV_CC_INTL!B1753)</f>
        <v/>
      </c>
      <c r="C1753" s="22" t="str">
        <f>IF(MOV_CC_INTL!C1753="","",MOV_CC_INTL!C1753)</f>
        <v/>
      </c>
      <c r="D1753" s="22" t="str">
        <f t="shared" si="1"/>
        <v>Other</v>
      </c>
      <c r="E1753" s="21" t="str">
        <f>IF(C1753="","",C1753*CONFIG!B5)</f>
        <v/>
      </c>
    </row>
    <row r="1754" ht="15.75" customHeight="1">
      <c r="A1754" s="22" t="str">
        <f>IF(MOV_CC_INTL!A1754="","",MOV_CC_INTL!A1754)</f>
        <v/>
      </c>
      <c r="B1754" s="22" t="str">
        <f>IF(MOV_CC_INTL!B1754="","",MOV_CC_INTL!B1754)</f>
        <v/>
      </c>
      <c r="C1754" s="22" t="str">
        <f>IF(MOV_CC_INTL!C1754="","",MOV_CC_INTL!C1754)</f>
        <v/>
      </c>
      <c r="D1754" s="22" t="str">
        <f t="shared" si="1"/>
        <v>Other</v>
      </c>
      <c r="E1754" s="21" t="str">
        <f>IF(C1754="","",C1754*CONFIG!B5)</f>
        <v/>
      </c>
    </row>
    <row r="1755" ht="15.75" customHeight="1">
      <c r="A1755" s="22" t="str">
        <f>IF(MOV_CC_INTL!A1755="","",MOV_CC_INTL!A1755)</f>
        <v/>
      </c>
      <c r="B1755" s="22" t="str">
        <f>IF(MOV_CC_INTL!B1755="","",MOV_CC_INTL!B1755)</f>
        <v/>
      </c>
      <c r="C1755" s="22" t="str">
        <f>IF(MOV_CC_INTL!C1755="","",MOV_CC_INTL!C1755)</f>
        <v/>
      </c>
      <c r="D1755" s="22" t="str">
        <f t="shared" si="1"/>
        <v>Other</v>
      </c>
      <c r="E1755" s="21" t="str">
        <f>IF(C1755="","",C1755*CONFIG!B5)</f>
        <v/>
      </c>
    </row>
    <row r="1756" ht="15.75" customHeight="1">
      <c r="A1756" s="22" t="str">
        <f>IF(MOV_CC_INTL!A1756="","",MOV_CC_INTL!A1756)</f>
        <v/>
      </c>
      <c r="B1756" s="22" t="str">
        <f>IF(MOV_CC_INTL!B1756="","",MOV_CC_INTL!B1756)</f>
        <v/>
      </c>
      <c r="C1756" s="22" t="str">
        <f>IF(MOV_CC_INTL!C1756="","",MOV_CC_INTL!C1756)</f>
        <v/>
      </c>
      <c r="D1756" s="22" t="str">
        <f t="shared" si="1"/>
        <v>Other</v>
      </c>
      <c r="E1756" s="21" t="str">
        <f>IF(C1756="","",C1756*CONFIG!B5)</f>
        <v/>
      </c>
    </row>
    <row r="1757" ht="15.75" customHeight="1">
      <c r="A1757" s="22" t="str">
        <f>IF(MOV_CC_INTL!A1757="","",MOV_CC_INTL!A1757)</f>
        <v/>
      </c>
      <c r="B1757" s="22" t="str">
        <f>IF(MOV_CC_INTL!B1757="","",MOV_CC_INTL!B1757)</f>
        <v/>
      </c>
      <c r="C1757" s="22" t="str">
        <f>IF(MOV_CC_INTL!C1757="","",MOV_CC_INTL!C1757)</f>
        <v/>
      </c>
      <c r="D1757" s="22" t="str">
        <f t="shared" si="1"/>
        <v>Other</v>
      </c>
      <c r="E1757" s="21" t="str">
        <f>IF(C1757="","",C1757*CONFIG!B5)</f>
        <v/>
      </c>
    </row>
    <row r="1758" ht="15.75" customHeight="1">
      <c r="A1758" s="22" t="str">
        <f>IF(MOV_CC_INTL!A1758="","",MOV_CC_INTL!A1758)</f>
        <v/>
      </c>
      <c r="B1758" s="22" t="str">
        <f>IF(MOV_CC_INTL!B1758="","",MOV_CC_INTL!B1758)</f>
        <v/>
      </c>
      <c r="C1758" s="22" t="str">
        <f>IF(MOV_CC_INTL!C1758="","",MOV_CC_INTL!C1758)</f>
        <v/>
      </c>
      <c r="D1758" s="22" t="str">
        <f t="shared" si="1"/>
        <v>Other</v>
      </c>
      <c r="E1758" s="21" t="str">
        <f>IF(C1758="","",C1758*CONFIG!B5)</f>
        <v/>
      </c>
    </row>
    <row r="1759" ht="15.75" customHeight="1">
      <c r="A1759" s="22" t="str">
        <f>IF(MOV_CC_INTL!A1759="","",MOV_CC_INTL!A1759)</f>
        <v/>
      </c>
      <c r="B1759" s="22" t="str">
        <f>IF(MOV_CC_INTL!B1759="","",MOV_CC_INTL!B1759)</f>
        <v/>
      </c>
      <c r="C1759" s="22" t="str">
        <f>IF(MOV_CC_INTL!C1759="","",MOV_CC_INTL!C1759)</f>
        <v/>
      </c>
      <c r="D1759" s="22" t="str">
        <f t="shared" si="1"/>
        <v>Other</v>
      </c>
      <c r="E1759" s="21" t="str">
        <f>IF(C1759="","",C1759*CONFIG!B5)</f>
        <v/>
      </c>
    </row>
    <row r="1760" ht="15.75" customHeight="1">
      <c r="A1760" s="22" t="str">
        <f>IF(MOV_CC_INTL!A1760="","",MOV_CC_INTL!A1760)</f>
        <v/>
      </c>
      <c r="B1760" s="22" t="str">
        <f>IF(MOV_CC_INTL!B1760="","",MOV_CC_INTL!B1760)</f>
        <v/>
      </c>
      <c r="C1760" s="22" t="str">
        <f>IF(MOV_CC_INTL!C1760="","",MOV_CC_INTL!C1760)</f>
        <v/>
      </c>
      <c r="D1760" s="22" t="str">
        <f t="shared" si="1"/>
        <v>Other</v>
      </c>
      <c r="E1760" s="21" t="str">
        <f>IF(C1760="","",C1760*CONFIG!B5)</f>
        <v/>
      </c>
    </row>
    <row r="1761" ht="15.75" customHeight="1">
      <c r="A1761" s="22" t="str">
        <f>IF(MOV_CC_INTL!A1761="","",MOV_CC_INTL!A1761)</f>
        <v/>
      </c>
      <c r="B1761" s="22" t="str">
        <f>IF(MOV_CC_INTL!B1761="","",MOV_CC_INTL!B1761)</f>
        <v/>
      </c>
      <c r="C1761" s="22" t="str">
        <f>IF(MOV_CC_INTL!C1761="","",MOV_CC_INTL!C1761)</f>
        <v/>
      </c>
      <c r="D1761" s="22" t="str">
        <f t="shared" si="1"/>
        <v>Other</v>
      </c>
      <c r="E1761" s="21" t="str">
        <f>IF(C1761="","",C1761*CONFIG!B5)</f>
        <v/>
      </c>
    </row>
    <row r="1762" ht="15.75" customHeight="1">
      <c r="A1762" s="22" t="str">
        <f>IF(MOV_CC_INTL!A1762="","",MOV_CC_INTL!A1762)</f>
        <v/>
      </c>
      <c r="B1762" s="22" t="str">
        <f>IF(MOV_CC_INTL!B1762="","",MOV_CC_INTL!B1762)</f>
        <v/>
      </c>
      <c r="C1762" s="22" t="str">
        <f>IF(MOV_CC_INTL!C1762="","",MOV_CC_INTL!C1762)</f>
        <v/>
      </c>
      <c r="D1762" s="22" t="str">
        <f t="shared" si="1"/>
        <v>Other</v>
      </c>
      <c r="E1762" s="21" t="str">
        <f>IF(C1762="","",C1762*CONFIG!B5)</f>
        <v/>
      </c>
    </row>
    <row r="1763" ht="15.75" customHeight="1">
      <c r="A1763" s="22" t="str">
        <f>IF(MOV_CC_INTL!A1763="","",MOV_CC_INTL!A1763)</f>
        <v/>
      </c>
      <c r="B1763" s="22" t="str">
        <f>IF(MOV_CC_INTL!B1763="","",MOV_CC_INTL!B1763)</f>
        <v/>
      </c>
      <c r="C1763" s="22" t="str">
        <f>IF(MOV_CC_INTL!C1763="","",MOV_CC_INTL!C1763)</f>
        <v/>
      </c>
      <c r="D1763" s="22" t="str">
        <f t="shared" si="1"/>
        <v>Other</v>
      </c>
      <c r="E1763" s="21" t="str">
        <f>IF(C1763="","",C1763*CONFIG!B5)</f>
        <v/>
      </c>
    </row>
    <row r="1764" ht="15.75" customHeight="1">
      <c r="A1764" s="22" t="str">
        <f>IF(MOV_CC_INTL!A1764="","",MOV_CC_INTL!A1764)</f>
        <v/>
      </c>
      <c r="B1764" s="22" t="str">
        <f>IF(MOV_CC_INTL!B1764="","",MOV_CC_INTL!B1764)</f>
        <v/>
      </c>
      <c r="C1764" s="22" t="str">
        <f>IF(MOV_CC_INTL!C1764="","",MOV_CC_INTL!C1764)</f>
        <v/>
      </c>
      <c r="D1764" s="22" t="str">
        <f t="shared" si="1"/>
        <v>Other</v>
      </c>
      <c r="E1764" s="21" t="str">
        <f>IF(C1764="","",C1764*CONFIG!B5)</f>
        <v/>
      </c>
    </row>
    <row r="1765" ht="15.75" customHeight="1">
      <c r="A1765" s="22" t="str">
        <f>IF(MOV_CC_INTL!A1765="","",MOV_CC_INTL!A1765)</f>
        <v/>
      </c>
      <c r="B1765" s="22" t="str">
        <f>IF(MOV_CC_INTL!B1765="","",MOV_CC_INTL!B1765)</f>
        <v/>
      </c>
      <c r="C1765" s="22" t="str">
        <f>IF(MOV_CC_INTL!C1765="","",MOV_CC_INTL!C1765)</f>
        <v/>
      </c>
      <c r="D1765" s="22" t="str">
        <f t="shared" si="1"/>
        <v>Other</v>
      </c>
      <c r="E1765" s="21" t="str">
        <f>IF(C1765="","",C1765*CONFIG!B5)</f>
        <v/>
      </c>
    </row>
    <row r="1766" ht="15.75" customHeight="1">
      <c r="A1766" s="22" t="str">
        <f>IF(MOV_CC_INTL!A1766="","",MOV_CC_INTL!A1766)</f>
        <v/>
      </c>
      <c r="B1766" s="22" t="str">
        <f>IF(MOV_CC_INTL!B1766="","",MOV_CC_INTL!B1766)</f>
        <v/>
      </c>
      <c r="C1766" s="22" t="str">
        <f>IF(MOV_CC_INTL!C1766="","",MOV_CC_INTL!C1766)</f>
        <v/>
      </c>
      <c r="D1766" s="22" t="str">
        <f t="shared" si="1"/>
        <v>Other</v>
      </c>
      <c r="E1766" s="21" t="str">
        <f>IF(C1766="","",C1766*CONFIG!B5)</f>
        <v/>
      </c>
    </row>
    <row r="1767" ht="15.75" customHeight="1">
      <c r="A1767" s="22" t="str">
        <f>IF(MOV_CC_INTL!A1767="","",MOV_CC_INTL!A1767)</f>
        <v/>
      </c>
      <c r="B1767" s="22" t="str">
        <f>IF(MOV_CC_INTL!B1767="","",MOV_CC_INTL!B1767)</f>
        <v/>
      </c>
      <c r="C1767" s="22" t="str">
        <f>IF(MOV_CC_INTL!C1767="","",MOV_CC_INTL!C1767)</f>
        <v/>
      </c>
      <c r="D1767" s="22" t="str">
        <f t="shared" si="1"/>
        <v>Other</v>
      </c>
      <c r="E1767" s="21" t="str">
        <f>IF(C1767="","",C1767*CONFIG!B5)</f>
        <v/>
      </c>
    </row>
    <row r="1768" ht="15.75" customHeight="1">
      <c r="A1768" s="22" t="str">
        <f>IF(MOV_CC_INTL!A1768="","",MOV_CC_INTL!A1768)</f>
        <v/>
      </c>
      <c r="B1768" s="22" t="str">
        <f>IF(MOV_CC_INTL!B1768="","",MOV_CC_INTL!B1768)</f>
        <v/>
      </c>
      <c r="C1768" s="22" t="str">
        <f>IF(MOV_CC_INTL!C1768="","",MOV_CC_INTL!C1768)</f>
        <v/>
      </c>
      <c r="D1768" s="22" t="str">
        <f t="shared" si="1"/>
        <v>Other</v>
      </c>
      <c r="E1768" s="21" t="str">
        <f>IF(C1768="","",C1768*CONFIG!B5)</f>
        <v/>
      </c>
    </row>
    <row r="1769" ht="15.75" customHeight="1">
      <c r="A1769" s="22" t="str">
        <f>IF(MOV_CC_INTL!A1769="","",MOV_CC_INTL!A1769)</f>
        <v/>
      </c>
      <c r="B1769" s="22" t="str">
        <f>IF(MOV_CC_INTL!B1769="","",MOV_CC_INTL!B1769)</f>
        <v/>
      </c>
      <c r="C1769" s="22" t="str">
        <f>IF(MOV_CC_INTL!C1769="","",MOV_CC_INTL!C1769)</f>
        <v/>
      </c>
      <c r="D1769" s="22" t="str">
        <f t="shared" si="1"/>
        <v>Other</v>
      </c>
      <c r="E1769" s="21" t="str">
        <f>IF(C1769="","",C1769*CONFIG!B5)</f>
        <v/>
      </c>
    </row>
    <row r="1770" ht="15.75" customHeight="1">
      <c r="A1770" s="22" t="str">
        <f>IF(MOV_CC_INTL!A1770="","",MOV_CC_INTL!A1770)</f>
        <v/>
      </c>
      <c r="B1770" s="22" t="str">
        <f>IF(MOV_CC_INTL!B1770="","",MOV_CC_INTL!B1770)</f>
        <v/>
      </c>
      <c r="C1770" s="22" t="str">
        <f>IF(MOV_CC_INTL!C1770="","",MOV_CC_INTL!C1770)</f>
        <v/>
      </c>
      <c r="D1770" s="22" t="str">
        <f t="shared" si="1"/>
        <v>Other</v>
      </c>
      <c r="E1770" s="21" t="str">
        <f>IF(C1770="","",C1770*CONFIG!B5)</f>
        <v/>
      </c>
    </row>
    <row r="1771" ht="15.75" customHeight="1">
      <c r="A1771" s="22" t="str">
        <f>IF(MOV_CC_INTL!A1771="","",MOV_CC_INTL!A1771)</f>
        <v/>
      </c>
      <c r="B1771" s="22" t="str">
        <f>IF(MOV_CC_INTL!B1771="","",MOV_CC_INTL!B1771)</f>
        <v/>
      </c>
      <c r="C1771" s="22" t="str">
        <f>IF(MOV_CC_INTL!C1771="","",MOV_CC_INTL!C1771)</f>
        <v/>
      </c>
      <c r="D1771" s="22" t="str">
        <f t="shared" si="1"/>
        <v>Other</v>
      </c>
      <c r="E1771" s="21" t="str">
        <f>IF(C1771="","",C1771*CONFIG!B5)</f>
        <v/>
      </c>
    </row>
    <row r="1772" ht="15.75" customHeight="1">
      <c r="A1772" s="22" t="str">
        <f>IF(MOV_CC_INTL!A1772="","",MOV_CC_INTL!A1772)</f>
        <v/>
      </c>
      <c r="B1772" s="22" t="str">
        <f>IF(MOV_CC_INTL!B1772="","",MOV_CC_INTL!B1772)</f>
        <v/>
      </c>
      <c r="C1772" s="22" t="str">
        <f>IF(MOV_CC_INTL!C1772="","",MOV_CC_INTL!C1772)</f>
        <v/>
      </c>
      <c r="D1772" s="22" t="str">
        <f t="shared" si="1"/>
        <v>Other</v>
      </c>
      <c r="E1772" s="21" t="str">
        <f>IF(C1772="","",C1772*CONFIG!B5)</f>
        <v/>
      </c>
    </row>
    <row r="1773" ht="15.75" customHeight="1">
      <c r="A1773" s="22" t="str">
        <f>IF(MOV_CC_INTL!A1773="","",MOV_CC_INTL!A1773)</f>
        <v/>
      </c>
      <c r="B1773" s="22" t="str">
        <f>IF(MOV_CC_INTL!B1773="","",MOV_CC_INTL!B1773)</f>
        <v/>
      </c>
      <c r="C1773" s="22" t="str">
        <f>IF(MOV_CC_INTL!C1773="","",MOV_CC_INTL!C1773)</f>
        <v/>
      </c>
      <c r="D1773" s="22" t="str">
        <f t="shared" si="1"/>
        <v>Other</v>
      </c>
      <c r="E1773" s="21" t="str">
        <f>IF(C1773="","",C1773*CONFIG!B5)</f>
        <v/>
      </c>
    </row>
    <row r="1774" ht="15.75" customHeight="1">
      <c r="A1774" s="22" t="str">
        <f>IF(MOV_CC_INTL!A1774="","",MOV_CC_INTL!A1774)</f>
        <v/>
      </c>
      <c r="B1774" s="22" t="str">
        <f>IF(MOV_CC_INTL!B1774="","",MOV_CC_INTL!B1774)</f>
        <v/>
      </c>
      <c r="C1774" s="22" t="str">
        <f>IF(MOV_CC_INTL!C1774="","",MOV_CC_INTL!C1774)</f>
        <v/>
      </c>
      <c r="D1774" s="22" t="str">
        <f t="shared" si="1"/>
        <v>Other</v>
      </c>
      <c r="E1774" s="21" t="str">
        <f>IF(C1774="","",C1774*CONFIG!B5)</f>
        <v/>
      </c>
    </row>
    <row r="1775" ht="15.75" customHeight="1">
      <c r="A1775" s="22" t="str">
        <f>IF(MOV_CC_INTL!A1775="","",MOV_CC_INTL!A1775)</f>
        <v/>
      </c>
      <c r="B1775" s="22" t="str">
        <f>IF(MOV_CC_INTL!B1775="","",MOV_CC_INTL!B1775)</f>
        <v/>
      </c>
      <c r="C1775" s="22" t="str">
        <f>IF(MOV_CC_INTL!C1775="","",MOV_CC_INTL!C1775)</f>
        <v/>
      </c>
      <c r="D1775" s="22" t="str">
        <f t="shared" si="1"/>
        <v>Other</v>
      </c>
      <c r="E1775" s="21" t="str">
        <f>IF(C1775="","",C1775*CONFIG!B5)</f>
        <v/>
      </c>
    </row>
    <row r="1776" ht="15.75" customHeight="1">
      <c r="A1776" s="22" t="str">
        <f>IF(MOV_CC_INTL!A1776="","",MOV_CC_INTL!A1776)</f>
        <v/>
      </c>
      <c r="B1776" s="22" t="str">
        <f>IF(MOV_CC_INTL!B1776="","",MOV_CC_INTL!B1776)</f>
        <v/>
      </c>
      <c r="C1776" s="22" t="str">
        <f>IF(MOV_CC_INTL!C1776="","",MOV_CC_INTL!C1776)</f>
        <v/>
      </c>
      <c r="D1776" s="22" t="str">
        <f t="shared" si="1"/>
        <v>Other</v>
      </c>
      <c r="E1776" s="21" t="str">
        <f>IF(C1776="","",C1776*CONFIG!B5)</f>
        <v/>
      </c>
    </row>
    <row r="1777" ht="15.75" customHeight="1">
      <c r="A1777" s="22" t="str">
        <f>IF(MOV_CC_INTL!A1777="","",MOV_CC_INTL!A1777)</f>
        <v/>
      </c>
      <c r="B1777" s="22" t="str">
        <f>IF(MOV_CC_INTL!B1777="","",MOV_CC_INTL!B1777)</f>
        <v/>
      </c>
      <c r="C1777" s="22" t="str">
        <f>IF(MOV_CC_INTL!C1777="","",MOV_CC_INTL!C1777)</f>
        <v/>
      </c>
      <c r="D1777" s="22" t="str">
        <f t="shared" si="1"/>
        <v>Other</v>
      </c>
      <c r="E1777" s="21" t="str">
        <f>IF(C1777="","",C1777*CONFIG!B5)</f>
        <v/>
      </c>
    </row>
    <row r="1778" ht="15.75" customHeight="1">
      <c r="A1778" s="22" t="str">
        <f>IF(MOV_CC_INTL!A1778="","",MOV_CC_INTL!A1778)</f>
        <v/>
      </c>
      <c r="B1778" s="22" t="str">
        <f>IF(MOV_CC_INTL!B1778="","",MOV_CC_INTL!B1778)</f>
        <v/>
      </c>
      <c r="C1778" s="22" t="str">
        <f>IF(MOV_CC_INTL!C1778="","",MOV_CC_INTL!C1778)</f>
        <v/>
      </c>
      <c r="D1778" s="22" t="str">
        <f t="shared" si="1"/>
        <v>Other</v>
      </c>
      <c r="E1778" s="21" t="str">
        <f>IF(C1778="","",C1778*CONFIG!B5)</f>
        <v/>
      </c>
    </row>
    <row r="1779" ht="15.75" customHeight="1">
      <c r="A1779" s="22" t="str">
        <f>IF(MOV_CC_INTL!A1779="","",MOV_CC_INTL!A1779)</f>
        <v/>
      </c>
      <c r="B1779" s="22" t="str">
        <f>IF(MOV_CC_INTL!B1779="","",MOV_CC_INTL!B1779)</f>
        <v/>
      </c>
      <c r="C1779" s="22" t="str">
        <f>IF(MOV_CC_INTL!C1779="","",MOV_CC_INTL!C1779)</f>
        <v/>
      </c>
      <c r="D1779" s="22" t="str">
        <f t="shared" si="1"/>
        <v>Other</v>
      </c>
      <c r="E1779" s="21" t="str">
        <f>IF(C1779="","",C1779*CONFIG!B5)</f>
        <v/>
      </c>
    </row>
    <row r="1780" ht="15.75" customHeight="1">
      <c r="A1780" s="22" t="str">
        <f>IF(MOV_CC_INTL!A1780="","",MOV_CC_INTL!A1780)</f>
        <v/>
      </c>
      <c r="B1780" s="22" t="str">
        <f>IF(MOV_CC_INTL!B1780="","",MOV_CC_INTL!B1780)</f>
        <v/>
      </c>
      <c r="C1780" s="22" t="str">
        <f>IF(MOV_CC_INTL!C1780="","",MOV_CC_INTL!C1780)</f>
        <v/>
      </c>
      <c r="D1780" s="22" t="str">
        <f t="shared" si="1"/>
        <v>Other</v>
      </c>
      <c r="E1780" s="21" t="str">
        <f>IF(C1780="","",C1780*CONFIG!B5)</f>
        <v/>
      </c>
    </row>
    <row r="1781" ht="15.75" customHeight="1">
      <c r="A1781" s="22" t="str">
        <f>IF(MOV_CC_INTL!A1781="","",MOV_CC_INTL!A1781)</f>
        <v/>
      </c>
      <c r="B1781" s="22" t="str">
        <f>IF(MOV_CC_INTL!B1781="","",MOV_CC_INTL!B1781)</f>
        <v/>
      </c>
      <c r="C1781" s="22" t="str">
        <f>IF(MOV_CC_INTL!C1781="","",MOV_CC_INTL!C1781)</f>
        <v/>
      </c>
      <c r="D1781" s="22" t="str">
        <f t="shared" si="1"/>
        <v>Other</v>
      </c>
      <c r="E1781" s="21" t="str">
        <f>IF(C1781="","",C1781*CONFIG!B5)</f>
        <v/>
      </c>
    </row>
    <row r="1782" ht="15.75" customHeight="1">
      <c r="A1782" s="22" t="str">
        <f>IF(MOV_CC_INTL!A1782="","",MOV_CC_INTL!A1782)</f>
        <v/>
      </c>
      <c r="B1782" s="22" t="str">
        <f>IF(MOV_CC_INTL!B1782="","",MOV_CC_INTL!B1782)</f>
        <v/>
      </c>
      <c r="C1782" s="22" t="str">
        <f>IF(MOV_CC_INTL!C1782="","",MOV_CC_INTL!C1782)</f>
        <v/>
      </c>
      <c r="D1782" s="22" t="str">
        <f t="shared" si="1"/>
        <v>Other</v>
      </c>
      <c r="E1782" s="21" t="str">
        <f>IF(C1782="","",C1782*CONFIG!B5)</f>
        <v/>
      </c>
    </row>
    <row r="1783" ht="15.75" customHeight="1">
      <c r="A1783" s="22" t="str">
        <f>IF(MOV_CC_INTL!A1783="","",MOV_CC_INTL!A1783)</f>
        <v/>
      </c>
      <c r="B1783" s="22" t="str">
        <f>IF(MOV_CC_INTL!B1783="","",MOV_CC_INTL!B1783)</f>
        <v/>
      </c>
      <c r="C1783" s="22" t="str">
        <f>IF(MOV_CC_INTL!C1783="","",MOV_CC_INTL!C1783)</f>
        <v/>
      </c>
      <c r="D1783" s="22" t="str">
        <f t="shared" si="1"/>
        <v>Other</v>
      </c>
      <c r="E1783" s="21" t="str">
        <f>IF(C1783="","",C1783*CONFIG!B5)</f>
        <v/>
      </c>
    </row>
    <row r="1784" ht="15.75" customHeight="1">
      <c r="A1784" s="22" t="str">
        <f>IF(MOV_CC_INTL!A1784="","",MOV_CC_INTL!A1784)</f>
        <v/>
      </c>
      <c r="B1784" s="22" t="str">
        <f>IF(MOV_CC_INTL!B1784="","",MOV_CC_INTL!B1784)</f>
        <v/>
      </c>
      <c r="C1784" s="22" t="str">
        <f>IF(MOV_CC_INTL!C1784="","",MOV_CC_INTL!C1784)</f>
        <v/>
      </c>
      <c r="D1784" s="22" t="str">
        <f t="shared" si="1"/>
        <v>Other</v>
      </c>
      <c r="E1784" s="21" t="str">
        <f>IF(C1784="","",C1784*CONFIG!B5)</f>
        <v/>
      </c>
    </row>
    <row r="1785" ht="15.75" customHeight="1">
      <c r="A1785" s="22" t="str">
        <f>IF(MOV_CC_INTL!A1785="","",MOV_CC_INTL!A1785)</f>
        <v/>
      </c>
      <c r="B1785" s="22" t="str">
        <f>IF(MOV_CC_INTL!B1785="","",MOV_CC_INTL!B1785)</f>
        <v/>
      </c>
      <c r="C1785" s="22" t="str">
        <f>IF(MOV_CC_INTL!C1785="","",MOV_CC_INTL!C1785)</f>
        <v/>
      </c>
      <c r="D1785" s="22" t="str">
        <f t="shared" si="1"/>
        <v>Other</v>
      </c>
      <c r="E1785" s="21" t="str">
        <f>IF(C1785="","",C1785*CONFIG!B5)</f>
        <v/>
      </c>
    </row>
    <row r="1786" ht="15.75" customHeight="1">
      <c r="A1786" s="22" t="str">
        <f>IF(MOV_CC_INTL!A1786="","",MOV_CC_INTL!A1786)</f>
        <v/>
      </c>
      <c r="B1786" s="22" t="str">
        <f>IF(MOV_CC_INTL!B1786="","",MOV_CC_INTL!B1786)</f>
        <v/>
      </c>
      <c r="C1786" s="22" t="str">
        <f>IF(MOV_CC_INTL!C1786="","",MOV_CC_INTL!C1786)</f>
        <v/>
      </c>
      <c r="D1786" s="22" t="str">
        <f t="shared" si="1"/>
        <v>Other</v>
      </c>
      <c r="E1786" s="21" t="str">
        <f>IF(C1786="","",C1786*CONFIG!B5)</f>
        <v/>
      </c>
    </row>
    <row r="1787" ht="15.75" customHeight="1">
      <c r="A1787" s="22" t="str">
        <f>IF(MOV_CC_INTL!A1787="","",MOV_CC_INTL!A1787)</f>
        <v/>
      </c>
      <c r="B1787" s="22" t="str">
        <f>IF(MOV_CC_INTL!B1787="","",MOV_CC_INTL!B1787)</f>
        <v/>
      </c>
      <c r="C1787" s="22" t="str">
        <f>IF(MOV_CC_INTL!C1787="","",MOV_CC_INTL!C1787)</f>
        <v/>
      </c>
      <c r="D1787" s="22" t="str">
        <f t="shared" si="1"/>
        <v>Other</v>
      </c>
      <c r="E1787" s="21" t="str">
        <f>IF(C1787="","",C1787*CONFIG!B5)</f>
        <v/>
      </c>
    </row>
    <row r="1788" ht="15.75" customHeight="1">
      <c r="A1788" s="22" t="str">
        <f>IF(MOV_CC_INTL!A1788="","",MOV_CC_INTL!A1788)</f>
        <v/>
      </c>
      <c r="B1788" s="22" t="str">
        <f>IF(MOV_CC_INTL!B1788="","",MOV_CC_INTL!B1788)</f>
        <v/>
      </c>
      <c r="C1788" s="22" t="str">
        <f>IF(MOV_CC_INTL!C1788="","",MOV_CC_INTL!C1788)</f>
        <v/>
      </c>
      <c r="D1788" s="22" t="str">
        <f t="shared" si="1"/>
        <v>Other</v>
      </c>
      <c r="E1788" s="21" t="str">
        <f>IF(C1788="","",C1788*CONFIG!B5)</f>
        <v/>
      </c>
    </row>
    <row r="1789" ht="15.75" customHeight="1">
      <c r="A1789" s="22" t="str">
        <f>IF(MOV_CC_INTL!A1789="","",MOV_CC_INTL!A1789)</f>
        <v/>
      </c>
      <c r="B1789" s="22" t="str">
        <f>IF(MOV_CC_INTL!B1789="","",MOV_CC_INTL!B1789)</f>
        <v/>
      </c>
      <c r="C1789" s="22" t="str">
        <f>IF(MOV_CC_INTL!C1789="","",MOV_CC_INTL!C1789)</f>
        <v/>
      </c>
      <c r="D1789" s="22" t="str">
        <f t="shared" si="1"/>
        <v>Other</v>
      </c>
      <c r="E1789" s="21" t="str">
        <f>IF(C1789="","",C1789*CONFIG!B5)</f>
        <v/>
      </c>
    </row>
    <row r="1790" ht="15.75" customHeight="1">
      <c r="A1790" s="22" t="str">
        <f>IF(MOV_CC_INTL!A1790="","",MOV_CC_INTL!A1790)</f>
        <v/>
      </c>
      <c r="B1790" s="22" t="str">
        <f>IF(MOV_CC_INTL!B1790="","",MOV_CC_INTL!B1790)</f>
        <v/>
      </c>
      <c r="C1790" s="22" t="str">
        <f>IF(MOV_CC_INTL!C1790="","",MOV_CC_INTL!C1790)</f>
        <v/>
      </c>
      <c r="D1790" s="22" t="str">
        <f t="shared" si="1"/>
        <v>Other</v>
      </c>
      <c r="E1790" s="21" t="str">
        <f>IF(C1790="","",C1790*CONFIG!B5)</f>
        <v/>
      </c>
    </row>
    <row r="1791" ht="15.75" customHeight="1">
      <c r="A1791" s="22" t="str">
        <f>IF(MOV_CC_INTL!A1791="","",MOV_CC_INTL!A1791)</f>
        <v/>
      </c>
      <c r="B1791" s="22" t="str">
        <f>IF(MOV_CC_INTL!B1791="","",MOV_CC_INTL!B1791)</f>
        <v/>
      </c>
      <c r="C1791" s="22" t="str">
        <f>IF(MOV_CC_INTL!C1791="","",MOV_CC_INTL!C1791)</f>
        <v/>
      </c>
      <c r="D1791" s="22" t="str">
        <f t="shared" si="1"/>
        <v>Other</v>
      </c>
      <c r="E1791" s="21" t="str">
        <f>IF(C1791="","",C1791*CONFIG!B5)</f>
        <v/>
      </c>
    </row>
    <row r="1792" ht="15.75" customHeight="1">
      <c r="A1792" s="22" t="str">
        <f>IF(MOV_CC_INTL!A1792="","",MOV_CC_INTL!A1792)</f>
        <v/>
      </c>
      <c r="B1792" s="22" t="str">
        <f>IF(MOV_CC_INTL!B1792="","",MOV_CC_INTL!B1792)</f>
        <v/>
      </c>
      <c r="C1792" s="22" t="str">
        <f>IF(MOV_CC_INTL!C1792="","",MOV_CC_INTL!C1792)</f>
        <v/>
      </c>
      <c r="D1792" s="22" t="str">
        <f t="shared" si="1"/>
        <v>Other</v>
      </c>
      <c r="E1792" s="21" t="str">
        <f>IF(C1792="","",C1792*CONFIG!B5)</f>
        <v/>
      </c>
    </row>
    <row r="1793" ht="15.75" customHeight="1">
      <c r="A1793" s="22" t="str">
        <f>IF(MOV_CC_INTL!A1793="","",MOV_CC_INTL!A1793)</f>
        <v/>
      </c>
      <c r="B1793" s="22" t="str">
        <f>IF(MOV_CC_INTL!B1793="","",MOV_CC_INTL!B1793)</f>
        <v/>
      </c>
      <c r="C1793" s="22" t="str">
        <f>IF(MOV_CC_INTL!C1793="","",MOV_CC_INTL!C1793)</f>
        <v/>
      </c>
      <c r="D1793" s="22" t="str">
        <f t="shared" si="1"/>
        <v>Other</v>
      </c>
      <c r="E1793" s="21" t="str">
        <f>IF(C1793="","",C1793*CONFIG!B5)</f>
        <v/>
      </c>
    </row>
    <row r="1794" ht="15.75" customHeight="1">
      <c r="A1794" s="22" t="str">
        <f>IF(MOV_CC_INTL!A1794="","",MOV_CC_INTL!A1794)</f>
        <v/>
      </c>
      <c r="B1794" s="22" t="str">
        <f>IF(MOV_CC_INTL!B1794="","",MOV_CC_INTL!B1794)</f>
        <v/>
      </c>
      <c r="C1794" s="22" t="str">
        <f>IF(MOV_CC_INTL!C1794="","",MOV_CC_INTL!C1794)</f>
        <v/>
      </c>
      <c r="D1794" s="22" t="str">
        <f t="shared" si="1"/>
        <v>Other</v>
      </c>
      <c r="E1794" s="21" t="str">
        <f>IF(C1794="","",C1794*CONFIG!B5)</f>
        <v/>
      </c>
    </row>
    <row r="1795" ht="15.75" customHeight="1">
      <c r="A1795" s="22" t="str">
        <f>IF(MOV_CC_INTL!A1795="","",MOV_CC_INTL!A1795)</f>
        <v/>
      </c>
      <c r="B1795" s="22" t="str">
        <f>IF(MOV_CC_INTL!B1795="","",MOV_CC_INTL!B1795)</f>
        <v/>
      </c>
      <c r="C1795" s="22" t="str">
        <f>IF(MOV_CC_INTL!C1795="","",MOV_CC_INTL!C1795)</f>
        <v/>
      </c>
      <c r="D1795" s="22" t="str">
        <f t="shared" si="1"/>
        <v>Other</v>
      </c>
      <c r="E1795" s="21" t="str">
        <f>IF(C1795="","",C1795*CONFIG!B5)</f>
        <v/>
      </c>
    </row>
    <row r="1796" ht="15.75" customHeight="1">
      <c r="A1796" s="22" t="str">
        <f>IF(MOV_CC_INTL!A1796="","",MOV_CC_INTL!A1796)</f>
        <v/>
      </c>
      <c r="B1796" s="22" t="str">
        <f>IF(MOV_CC_INTL!B1796="","",MOV_CC_INTL!B1796)</f>
        <v/>
      </c>
      <c r="C1796" s="22" t="str">
        <f>IF(MOV_CC_INTL!C1796="","",MOV_CC_INTL!C1796)</f>
        <v/>
      </c>
      <c r="D1796" s="22" t="str">
        <f t="shared" si="1"/>
        <v>Other</v>
      </c>
      <c r="E1796" s="21" t="str">
        <f>IF(C1796="","",C1796*CONFIG!B5)</f>
        <v/>
      </c>
    </row>
    <row r="1797" ht="15.75" customHeight="1">
      <c r="A1797" s="22" t="str">
        <f>IF(MOV_CC_INTL!A1797="","",MOV_CC_INTL!A1797)</f>
        <v/>
      </c>
      <c r="B1797" s="22" t="str">
        <f>IF(MOV_CC_INTL!B1797="","",MOV_CC_INTL!B1797)</f>
        <v/>
      </c>
      <c r="C1797" s="22" t="str">
        <f>IF(MOV_CC_INTL!C1797="","",MOV_CC_INTL!C1797)</f>
        <v/>
      </c>
      <c r="D1797" s="22" t="str">
        <f t="shared" si="1"/>
        <v>Other</v>
      </c>
      <c r="E1797" s="21" t="str">
        <f>IF(C1797="","",C1797*CONFIG!B5)</f>
        <v/>
      </c>
    </row>
    <row r="1798" ht="15.75" customHeight="1">
      <c r="A1798" s="22" t="str">
        <f>IF(MOV_CC_INTL!A1798="","",MOV_CC_INTL!A1798)</f>
        <v/>
      </c>
      <c r="B1798" s="22" t="str">
        <f>IF(MOV_CC_INTL!B1798="","",MOV_CC_INTL!B1798)</f>
        <v/>
      </c>
      <c r="C1798" s="22" t="str">
        <f>IF(MOV_CC_INTL!C1798="","",MOV_CC_INTL!C1798)</f>
        <v/>
      </c>
      <c r="D1798" s="22" t="str">
        <f t="shared" si="1"/>
        <v>Other</v>
      </c>
      <c r="E1798" s="21" t="str">
        <f>IF(C1798="","",C1798*CONFIG!B5)</f>
        <v/>
      </c>
    </row>
    <row r="1799" ht="15.75" customHeight="1">
      <c r="A1799" s="22" t="str">
        <f>IF(MOV_CC_INTL!A1799="","",MOV_CC_INTL!A1799)</f>
        <v/>
      </c>
      <c r="B1799" s="22" t="str">
        <f>IF(MOV_CC_INTL!B1799="","",MOV_CC_INTL!B1799)</f>
        <v/>
      </c>
      <c r="C1799" s="22" t="str">
        <f>IF(MOV_CC_INTL!C1799="","",MOV_CC_INTL!C1799)</f>
        <v/>
      </c>
      <c r="D1799" s="22" t="str">
        <f t="shared" si="1"/>
        <v>Other</v>
      </c>
      <c r="E1799" s="21" t="str">
        <f>IF(C1799="","",C1799*CONFIG!B5)</f>
        <v/>
      </c>
    </row>
    <row r="1800" ht="15.75" customHeight="1">
      <c r="A1800" s="22" t="str">
        <f>IF(MOV_CC_INTL!A1800="","",MOV_CC_INTL!A1800)</f>
        <v/>
      </c>
      <c r="B1800" s="22" t="str">
        <f>IF(MOV_CC_INTL!B1800="","",MOV_CC_INTL!B1800)</f>
        <v/>
      </c>
      <c r="C1800" s="22" t="str">
        <f>IF(MOV_CC_INTL!C1800="","",MOV_CC_INTL!C1800)</f>
        <v/>
      </c>
      <c r="D1800" s="22" t="str">
        <f t="shared" si="1"/>
        <v>Other</v>
      </c>
      <c r="E1800" s="21" t="str">
        <f>IF(C1800="","",C1800*CONFIG!B5)</f>
        <v/>
      </c>
    </row>
    <row r="1801" ht="15.75" customHeight="1">
      <c r="A1801" s="22" t="str">
        <f>IF(MOV_CC_INTL!A1801="","",MOV_CC_INTL!A1801)</f>
        <v/>
      </c>
      <c r="B1801" s="22" t="str">
        <f>IF(MOV_CC_INTL!B1801="","",MOV_CC_INTL!B1801)</f>
        <v/>
      </c>
      <c r="C1801" s="22" t="str">
        <f>IF(MOV_CC_INTL!C1801="","",MOV_CC_INTL!C1801)</f>
        <v/>
      </c>
      <c r="D1801" s="22" t="str">
        <f t="shared" si="1"/>
        <v>Other</v>
      </c>
      <c r="E1801" s="21" t="str">
        <f>IF(C1801="","",C1801*CONFIG!B5)</f>
        <v/>
      </c>
    </row>
    <row r="1802" ht="15.75" customHeight="1">
      <c r="A1802" s="22" t="str">
        <f>IF(MOV_CC_INTL!A1802="","",MOV_CC_INTL!A1802)</f>
        <v/>
      </c>
      <c r="B1802" s="22" t="str">
        <f>IF(MOV_CC_INTL!B1802="","",MOV_CC_INTL!B1802)</f>
        <v/>
      </c>
      <c r="C1802" s="22" t="str">
        <f>IF(MOV_CC_INTL!C1802="","",MOV_CC_INTL!C1802)</f>
        <v/>
      </c>
      <c r="D1802" s="22" t="str">
        <f t="shared" si="1"/>
        <v>Other</v>
      </c>
      <c r="E1802" s="21" t="str">
        <f>IF(C1802="","",C1802*CONFIG!B5)</f>
        <v/>
      </c>
    </row>
    <row r="1803" ht="15.75" customHeight="1">
      <c r="A1803" s="22" t="str">
        <f>IF(MOV_CC_INTL!A1803="","",MOV_CC_INTL!A1803)</f>
        <v/>
      </c>
      <c r="B1803" s="22" t="str">
        <f>IF(MOV_CC_INTL!B1803="","",MOV_CC_INTL!B1803)</f>
        <v/>
      </c>
      <c r="C1803" s="22" t="str">
        <f>IF(MOV_CC_INTL!C1803="","",MOV_CC_INTL!C1803)</f>
        <v/>
      </c>
      <c r="D1803" s="22" t="str">
        <f t="shared" si="1"/>
        <v>Other</v>
      </c>
      <c r="E1803" s="21" t="str">
        <f>IF(C1803="","",C1803*CONFIG!B5)</f>
        <v/>
      </c>
    </row>
    <row r="1804" ht="15.75" customHeight="1">
      <c r="A1804" s="22" t="str">
        <f>IF(MOV_CC_INTL!A1804="","",MOV_CC_INTL!A1804)</f>
        <v/>
      </c>
      <c r="B1804" s="22" t="str">
        <f>IF(MOV_CC_INTL!B1804="","",MOV_CC_INTL!B1804)</f>
        <v/>
      </c>
      <c r="C1804" s="22" t="str">
        <f>IF(MOV_CC_INTL!C1804="","",MOV_CC_INTL!C1804)</f>
        <v/>
      </c>
      <c r="D1804" s="22" t="str">
        <f t="shared" si="1"/>
        <v>Other</v>
      </c>
      <c r="E1804" s="21" t="str">
        <f>IF(C1804="","",C1804*CONFIG!B5)</f>
        <v/>
      </c>
    </row>
    <row r="1805" ht="15.75" customHeight="1">
      <c r="A1805" s="22" t="str">
        <f>IF(MOV_CC_INTL!A1805="","",MOV_CC_INTL!A1805)</f>
        <v/>
      </c>
      <c r="B1805" s="22" t="str">
        <f>IF(MOV_CC_INTL!B1805="","",MOV_CC_INTL!B1805)</f>
        <v/>
      </c>
      <c r="C1805" s="22" t="str">
        <f>IF(MOV_CC_INTL!C1805="","",MOV_CC_INTL!C1805)</f>
        <v/>
      </c>
      <c r="D1805" s="22" t="str">
        <f t="shared" si="1"/>
        <v>Other</v>
      </c>
      <c r="E1805" s="21" t="str">
        <f>IF(C1805="","",C1805*CONFIG!B5)</f>
        <v/>
      </c>
    </row>
    <row r="1806" ht="15.75" customHeight="1">
      <c r="A1806" s="22" t="str">
        <f>IF(MOV_CC_INTL!A1806="","",MOV_CC_INTL!A1806)</f>
        <v/>
      </c>
      <c r="B1806" s="22" t="str">
        <f>IF(MOV_CC_INTL!B1806="","",MOV_CC_INTL!B1806)</f>
        <v/>
      </c>
      <c r="C1806" s="22" t="str">
        <f>IF(MOV_CC_INTL!C1806="","",MOV_CC_INTL!C1806)</f>
        <v/>
      </c>
      <c r="D1806" s="22" t="str">
        <f t="shared" si="1"/>
        <v>Other</v>
      </c>
      <c r="E1806" s="21" t="str">
        <f>IF(C1806="","",C1806*CONFIG!B5)</f>
        <v/>
      </c>
    </row>
    <row r="1807" ht="15.75" customHeight="1">
      <c r="A1807" s="22" t="str">
        <f>IF(MOV_CC_INTL!A1807="","",MOV_CC_INTL!A1807)</f>
        <v/>
      </c>
      <c r="B1807" s="22" t="str">
        <f>IF(MOV_CC_INTL!B1807="","",MOV_CC_INTL!B1807)</f>
        <v/>
      </c>
      <c r="C1807" s="22" t="str">
        <f>IF(MOV_CC_INTL!C1807="","",MOV_CC_INTL!C1807)</f>
        <v/>
      </c>
      <c r="D1807" s="22" t="str">
        <f t="shared" si="1"/>
        <v>Other</v>
      </c>
      <c r="E1807" s="21" t="str">
        <f>IF(C1807="","",C1807*CONFIG!B5)</f>
        <v/>
      </c>
    </row>
    <row r="1808" ht="15.75" customHeight="1">
      <c r="A1808" s="22" t="str">
        <f>IF(MOV_CC_INTL!A1808="","",MOV_CC_INTL!A1808)</f>
        <v/>
      </c>
      <c r="B1808" s="22" t="str">
        <f>IF(MOV_CC_INTL!B1808="","",MOV_CC_INTL!B1808)</f>
        <v/>
      </c>
      <c r="C1808" s="22" t="str">
        <f>IF(MOV_CC_INTL!C1808="","",MOV_CC_INTL!C1808)</f>
        <v/>
      </c>
      <c r="D1808" s="22" t="str">
        <f t="shared" si="1"/>
        <v>Other</v>
      </c>
      <c r="E1808" s="21" t="str">
        <f>IF(C1808="","",C1808*CONFIG!B5)</f>
        <v/>
      </c>
    </row>
    <row r="1809" ht="15.75" customHeight="1">
      <c r="A1809" s="22" t="str">
        <f>IF(MOV_CC_INTL!A1809="","",MOV_CC_INTL!A1809)</f>
        <v/>
      </c>
      <c r="B1809" s="22" t="str">
        <f>IF(MOV_CC_INTL!B1809="","",MOV_CC_INTL!B1809)</f>
        <v/>
      </c>
      <c r="C1809" s="22" t="str">
        <f>IF(MOV_CC_INTL!C1809="","",MOV_CC_INTL!C1809)</f>
        <v/>
      </c>
      <c r="D1809" s="22" t="str">
        <f t="shared" si="1"/>
        <v>Other</v>
      </c>
      <c r="E1809" s="21" t="str">
        <f>IF(C1809="","",C1809*CONFIG!B5)</f>
        <v/>
      </c>
    </row>
    <row r="1810" ht="15.75" customHeight="1">
      <c r="A1810" s="22" t="str">
        <f>IF(MOV_CC_INTL!A1810="","",MOV_CC_INTL!A1810)</f>
        <v/>
      </c>
      <c r="B1810" s="22" t="str">
        <f>IF(MOV_CC_INTL!B1810="","",MOV_CC_INTL!B1810)</f>
        <v/>
      </c>
      <c r="C1810" s="22" t="str">
        <f>IF(MOV_CC_INTL!C1810="","",MOV_CC_INTL!C1810)</f>
        <v/>
      </c>
      <c r="D1810" s="22" t="str">
        <f t="shared" si="1"/>
        <v>Other</v>
      </c>
      <c r="E1810" s="21" t="str">
        <f>IF(C1810="","",C1810*CONFIG!B5)</f>
        <v/>
      </c>
    </row>
    <row r="1811" ht="15.75" customHeight="1">
      <c r="A1811" s="22" t="str">
        <f>IF(MOV_CC_INTL!A1811="","",MOV_CC_INTL!A1811)</f>
        <v/>
      </c>
      <c r="B1811" s="22" t="str">
        <f>IF(MOV_CC_INTL!B1811="","",MOV_CC_INTL!B1811)</f>
        <v/>
      </c>
      <c r="C1811" s="22" t="str">
        <f>IF(MOV_CC_INTL!C1811="","",MOV_CC_INTL!C1811)</f>
        <v/>
      </c>
      <c r="D1811" s="22" t="str">
        <f t="shared" si="1"/>
        <v>Other</v>
      </c>
      <c r="E1811" s="21" t="str">
        <f>IF(C1811="","",C1811*CONFIG!B5)</f>
        <v/>
      </c>
    </row>
    <row r="1812" ht="15.75" customHeight="1">
      <c r="A1812" s="22" t="str">
        <f>IF(MOV_CC_INTL!A1812="","",MOV_CC_INTL!A1812)</f>
        <v/>
      </c>
      <c r="B1812" s="22" t="str">
        <f>IF(MOV_CC_INTL!B1812="","",MOV_CC_INTL!B1812)</f>
        <v/>
      </c>
      <c r="C1812" s="22" t="str">
        <f>IF(MOV_CC_INTL!C1812="","",MOV_CC_INTL!C1812)</f>
        <v/>
      </c>
      <c r="D1812" s="22" t="str">
        <f t="shared" si="1"/>
        <v>Other</v>
      </c>
      <c r="E1812" s="21" t="str">
        <f>IF(C1812="","",C1812*CONFIG!B5)</f>
        <v/>
      </c>
    </row>
    <row r="1813" ht="15.75" customHeight="1">
      <c r="A1813" s="22" t="str">
        <f>IF(MOV_CC_INTL!A1813="","",MOV_CC_INTL!A1813)</f>
        <v/>
      </c>
      <c r="B1813" s="22" t="str">
        <f>IF(MOV_CC_INTL!B1813="","",MOV_CC_INTL!B1813)</f>
        <v/>
      </c>
      <c r="C1813" s="22" t="str">
        <f>IF(MOV_CC_INTL!C1813="","",MOV_CC_INTL!C1813)</f>
        <v/>
      </c>
      <c r="D1813" s="22" t="str">
        <f t="shared" si="1"/>
        <v>Other</v>
      </c>
      <c r="E1813" s="21" t="str">
        <f>IF(C1813="","",C1813*CONFIG!B5)</f>
        <v/>
      </c>
    </row>
    <row r="1814" ht="15.75" customHeight="1">
      <c r="A1814" s="22" t="str">
        <f>IF(MOV_CC_INTL!A1814="","",MOV_CC_INTL!A1814)</f>
        <v/>
      </c>
      <c r="B1814" s="22" t="str">
        <f>IF(MOV_CC_INTL!B1814="","",MOV_CC_INTL!B1814)</f>
        <v/>
      </c>
      <c r="C1814" s="22" t="str">
        <f>IF(MOV_CC_INTL!C1814="","",MOV_CC_INTL!C1814)</f>
        <v/>
      </c>
      <c r="D1814" s="22" t="str">
        <f t="shared" si="1"/>
        <v>Other</v>
      </c>
      <c r="E1814" s="21" t="str">
        <f>IF(C1814="","",C1814*CONFIG!B5)</f>
        <v/>
      </c>
    </row>
    <row r="1815" ht="15.75" customHeight="1">
      <c r="A1815" s="22" t="str">
        <f>IF(MOV_CC_INTL!A1815="","",MOV_CC_INTL!A1815)</f>
        <v/>
      </c>
      <c r="B1815" s="22" t="str">
        <f>IF(MOV_CC_INTL!B1815="","",MOV_CC_INTL!B1815)</f>
        <v/>
      </c>
      <c r="C1815" s="22" t="str">
        <f>IF(MOV_CC_INTL!C1815="","",MOV_CC_INTL!C1815)</f>
        <v/>
      </c>
      <c r="D1815" s="22" t="str">
        <f t="shared" si="1"/>
        <v>Other</v>
      </c>
      <c r="E1815" s="21" t="str">
        <f>IF(C1815="","",C1815*CONFIG!B5)</f>
        <v/>
      </c>
    </row>
    <row r="1816" ht="15.75" customHeight="1">
      <c r="A1816" s="22" t="str">
        <f>IF(MOV_CC_INTL!A1816="","",MOV_CC_INTL!A1816)</f>
        <v/>
      </c>
      <c r="B1816" s="22" t="str">
        <f>IF(MOV_CC_INTL!B1816="","",MOV_CC_INTL!B1816)</f>
        <v/>
      </c>
      <c r="C1816" s="22" t="str">
        <f>IF(MOV_CC_INTL!C1816="","",MOV_CC_INTL!C1816)</f>
        <v/>
      </c>
      <c r="D1816" s="22" t="str">
        <f t="shared" si="1"/>
        <v>Other</v>
      </c>
      <c r="E1816" s="21" t="str">
        <f>IF(C1816="","",C1816*CONFIG!B5)</f>
        <v/>
      </c>
    </row>
    <row r="1817" ht="15.75" customHeight="1">
      <c r="A1817" s="22" t="str">
        <f>IF(MOV_CC_INTL!A1817="","",MOV_CC_INTL!A1817)</f>
        <v/>
      </c>
      <c r="B1817" s="22" t="str">
        <f>IF(MOV_CC_INTL!B1817="","",MOV_CC_INTL!B1817)</f>
        <v/>
      </c>
      <c r="C1817" s="22" t="str">
        <f>IF(MOV_CC_INTL!C1817="","",MOV_CC_INTL!C1817)</f>
        <v/>
      </c>
      <c r="D1817" s="22" t="str">
        <f t="shared" si="1"/>
        <v>Other</v>
      </c>
      <c r="E1817" s="21" t="str">
        <f>IF(C1817="","",C1817*CONFIG!B5)</f>
        <v/>
      </c>
    </row>
    <row r="1818" ht="15.75" customHeight="1">
      <c r="A1818" s="22" t="str">
        <f>IF(MOV_CC_INTL!A1818="","",MOV_CC_INTL!A1818)</f>
        <v/>
      </c>
      <c r="B1818" s="22" t="str">
        <f>IF(MOV_CC_INTL!B1818="","",MOV_CC_INTL!B1818)</f>
        <v/>
      </c>
      <c r="C1818" s="22" t="str">
        <f>IF(MOV_CC_INTL!C1818="","",MOV_CC_INTL!C1818)</f>
        <v/>
      </c>
      <c r="D1818" s="22" t="str">
        <f t="shared" si="1"/>
        <v>Other</v>
      </c>
      <c r="E1818" s="21" t="str">
        <f>IF(C1818="","",C1818*CONFIG!B5)</f>
        <v/>
      </c>
    </row>
    <row r="1819" ht="15.75" customHeight="1">
      <c r="A1819" s="22" t="str">
        <f>IF(MOV_CC_INTL!A1819="","",MOV_CC_INTL!A1819)</f>
        <v/>
      </c>
      <c r="B1819" s="22" t="str">
        <f>IF(MOV_CC_INTL!B1819="","",MOV_CC_INTL!B1819)</f>
        <v/>
      </c>
      <c r="C1819" s="22" t="str">
        <f>IF(MOV_CC_INTL!C1819="","",MOV_CC_INTL!C1819)</f>
        <v/>
      </c>
      <c r="D1819" s="22" t="str">
        <f t="shared" si="1"/>
        <v>Other</v>
      </c>
      <c r="E1819" s="21" t="str">
        <f>IF(C1819="","",C1819*CONFIG!B5)</f>
        <v/>
      </c>
    </row>
    <row r="1820" ht="15.75" customHeight="1">
      <c r="A1820" s="22" t="str">
        <f>IF(MOV_CC_INTL!A1820="","",MOV_CC_INTL!A1820)</f>
        <v/>
      </c>
      <c r="B1820" s="22" t="str">
        <f>IF(MOV_CC_INTL!B1820="","",MOV_CC_INTL!B1820)</f>
        <v/>
      </c>
      <c r="C1820" s="22" t="str">
        <f>IF(MOV_CC_INTL!C1820="","",MOV_CC_INTL!C1820)</f>
        <v/>
      </c>
      <c r="D1820" s="22" t="str">
        <f t="shared" si="1"/>
        <v>Other</v>
      </c>
      <c r="E1820" s="21" t="str">
        <f>IF(C1820="","",C1820*CONFIG!B5)</f>
        <v/>
      </c>
    </row>
    <row r="1821" ht="15.75" customHeight="1">
      <c r="A1821" s="22" t="str">
        <f>IF(MOV_CC_INTL!A1821="","",MOV_CC_INTL!A1821)</f>
        <v/>
      </c>
      <c r="B1821" s="22" t="str">
        <f>IF(MOV_CC_INTL!B1821="","",MOV_CC_INTL!B1821)</f>
        <v/>
      </c>
      <c r="C1821" s="22" t="str">
        <f>IF(MOV_CC_INTL!C1821="","",MOV_CC_INTL!C1821)</f>
        <v/>
      </c>
      <c r="D1821" s="22" t="str">
        <f t="shared" si="1"/>
        <v>Other</v>
      </c>
      <c r="E1821" s="21" t="str">
        <f>IF(C1821="","",C1821*CONFIG!B5)</f>
        <v/>
      </c>
    </row>
    <row r="1822" ht="15.75" customHeight="1">
      <c r="A1822" s="22" t="str">
        <f>IF(MOV_CC_INTL!A1822="","",MOV_CC_INTL!A1822)</f>
        <v/>
      </c>
      <c r="B1822" s="22" t="str">
        <f>IF(MOV_CC_INTL!B1822="","",MOV_CC_INTL!B1822)</f>
        <v/>
      </c>
      <c r="C1822" s="22" t="str">
        <f>IF(MOV_CC_INTL!C1822="","",MOV_CC_INTL!C1822)</f>
        <v/>
      </c>
      <c r="D1822" s="22" t="str">
        <f t="shared" si="1"/>
        <v>Other</v>
      </c>
      <c r="E1822" s="21" t="str">
        <f>IF(C1822="","",C1822*CONFIG!B5)</f>
        <v/>
      </c>
    </row>
    <row r="1823" ht="15.75" customHeight="1">
      <c r="A1823" s="22" t="str">
        <f>IF(MOV_CC_INTL!A1823="","",MOV_CC_INTL!A1823)</f>
        <v/>
      </c>
      <c r="B1823" s="22" t="str">
        <f>IF(MOV_CC_INTL!B1823="","",MOV_CC_INTL!B1823)</f>
        <v/>
      </c>
      <c r="C1823" s="22" t="str">
        <f>IF(MOV_CC_INTL!C1823="","",MOV_CC_INTL!C1823)</f>
        <v/>
      </c>
      <c r="D1823" s="22" t="str">
        <f t="shared" si="1"/>
        <v>Other</v>
      </c>
      <c r="E1823" s="21" t="str">
        <f>IF(C1823="","",C1823*CONFIG!B5)</f>
        <v/>
      </c>
    </row>
    <row r="1824" ht="15.75" customHeight="1">
      <c r="A1824" s="22" t="str">
        <f>IF(MOV_CC_INTL!A1824="","",MOV_CC_INTL!A1824)</f>
        <v/>
      </c>
      <c r="B1824" s="22" t="str">
        <f>IF(MOV_CC_INTL!B1824="","",MOV_CC_INTL!B1824)</f>
        <v/>
      </c>
      <c r="C1824" s="22" t="str">
        <f>IF(MOV_CC_INTL!C1824="","",MOV_CC_INTL!C1824)</f>
        <v/>
      </c>
      <c r="D1824" s="22" t="str">
        <f t="shared" si="1"/>
        <v>Other</v>
      </c>
      <c r="E1824" s="21" t="str">
        <f>IF(C1824="","",C1824*CONFIG!B5)</f>
        <v/>
      </c>
    </row>
    <row r="1825" ht="15.75" customHeight="1">
      <c r="A1825" s="22" t="str">
        <f>IF(MOV_CC_INTL!A1825="","",MOV_CC_INTL!A1825)</f>
        <v/>
      </c>
      <c r="B1825" s="22" t="str">
        <f>IF(MOV_CC_INTL!B1825="","",MOV_CC_INTL!B1825)</f>
        <v/>
      </c>
      <c r="C1825" s="22" t="str">
        <f>IF(MOV_CC_INTL!C1825="","",MOV_CC_INTL!C1825)</f>
        <v/>
      </c>
      <c r="D1825" s="22" t="str">
        <f t="shared" si="1"/>
        <v>Other</v>
      </c>
      <c r="E1825" s="21" t="str">
        <f>IF(C1825="","",C1825*CONFIG!B5)</f>
        <v/>
      </c>
    </row>
    <row r="1826" ht="15.75" customHeight="1">
      <c r="A1826" s="22" t="str">
        <f>IF(MOV_CC_INTL!A1826="","",MOV_CC_INTL!A1826)</f>
        <v/>
      </c>
      <c r="B1826" s="22" t="str">
        <f>IF(MOV_CC_INTL!B1826="","",MOV_CC_INTL!B1826)</f>
        <v/>
      </c>
      <c r="C1826" s="22" t="str">
        <f>IF(MOV_CC_INTL!C1826="","",MOV_CC_INTL!C1826)</f>
        <v/>
      </c>
      <c r="D1826" s="22" t="str">
        <f t="shared" si="1"/>
        <v>Other</v>
      </c>
      <c r="E1826" s="21" t="str">
        <f>IF(C1826="","",C1826*CONFIG!B5)</f>
        <v/>
      </c>
    </row>
    <row r="1827" ht="15.75" customHeight="1">
      <c r="A1827" s="22" t="str">
        <f>IF(MOV_CC_INTL!A1827="","",MOV_CC_INTL!A1827)</f>
        <v/>
      </c>
      <c r="B1827" s="22" t="str">
        <f>IF(MOV_CC_INTL!B1827="","",MOV_CC_INTL!B1827)</f>
        <v/>
      </c>
      <c r="C1827" s="22" t="str">
        <f>IF(MOV_CC_INTL!C1827="","",MOV_CC_INTL!C1827)</f>
        <v/>
      </c>
      <c r="D1827" s="22" t="str">
        <f t="shared" si="1"/>
        <v>Other</v>
      </c>
      <c r="E1827" s="21" t="str">
        <f>IF(C1827="","",C1827*CONFIG!B5)</f>
        <v/>
      </c>
    </row>
    <row r="1828" ht="15.75" customHeight="1">
      <c r="A1828" s="22" t="str">
        <f>IF(MOV_CC_INTL!A1828="","",MOV_CC_INTL!A1828)</f>
        <v/>
      </c>
      <c r="B1828" s="22" t="str">
        <f>IF(MOV_CC_INTL!B1828="","",MOV_CC_INTL!B1828)</f>
        <v/>
      </c>
      <c r="C1828" s="22" t="str">
        <f>IF(MOV_CC_INTL!C1828="","",MOV_CC_INTL!C1828)</f>
        <v/>
      </c>
      <c r="D1828" s="22" t="str">
        <f t="shared" si="1"/>
        <v>Other</v>
      </c>
      <c r="E1828" s="21" t="str">
        <f>IF(C1828="","",C1828*CONFIG!B5)</f>
        <v/>
      </c>
    </row>
    <row r="1829" ht="15.75" customHeight="1">
      <c r="A1829" s="22" t="str">
        <f>IF(MOV_CC_INTL!A1829="","",MOV_CC_INTL!A1829)</f>
        <v/>
      </c>
      <c r="B1829" s="22" t="str">
        <f>IF(MOV_CC_INTL!B1829="","",MOV_CC_INTL!B1829)</f>
        <v/>
      </c>
      <c r="C1829" s="22" t="str">
        <f>IF(MOV_CC_INTL!C1829="","",MOV_CC_INTL!C1829)</f>
        <v/>
      </c>
      <c r="D1829" s="22" t="str">
        <f t="shared" si="1"/>
        <v>Other</v>
      </c>
      <c r="E1829" s="21" t="str">
        <f>IF(C1829="","",C1829*CONFIG!B5)</f>
        <v/>
      </c>
    </row>
    <row r="1830" ht="15.75" customHeight="1">
      <c r="A1830" s="22" t="str">
        <f>IF(MOV_CC_INTL!A1830="","",MOV_CC_INTL!A1830)</f>
        <v/>
      </c>
      <c r="B1830" s="22" t="str">
        <f>IF(MOV_CC_INTL!B1830="","",MOV_CC_INTL!B1830)</f>
        <v/>
      </c>
      <c r="C1830" s="22" t="str">
        <f>IF(MOV_CC_INTL!C1830="","",MOV_CC_INTL!C1830)</f>
        <v/>
      </c>
      <c r="D1830" s="22" t="str">
        <f t="shared" si="1"/>
        <v>Other</v>
      </c>
      <c r="E1830" s="21" t="str">
        <f>IF(C1830="","",C1830*CONFIG!B5)</f>
        <v/>
      </c>
    </row>
    <row r="1831" ht="15.75" customHeight="1">
      <c r="A1831" s="22" t="str">
        <f>IF(MOV_CC_INTL!A1831="","",MOV_CC_INTL!A1831)</f>
        <v/>
      </c>
      <c r="B1831" s="22" t="str">
        <f>IF(MOV_CC_INTL!B1831="","",MOV_CC_INTL!B1831)</f>
        <v/>
      </c>
      <c r="C1831" s="22" t="str">
        <f>IF(MOV_CC_INTL!C1831="","",MOV_CC_INTL!C1831)</f>
        <v/>
      </c>
      <c r="D1831" s="22" t="str">
        <f t="shared" si="1"/>
        <v>Other</v>
      </c>
      <c r="E1831" s="21" t="str">
        <f>IF(C1831="","",C1831*CONFIG!B5)</f>
        <v/>
      </c>
    </row>
    <row r="1832" ht="15.75" customHeight="1">
      <c r="A1832" s="22" t="str">
        <f>IF(MOV_CC_INTL!A1832="","",MOV_CC_INTL!A1832)</f>
        <v/>
      </c>
      <c r="B1832" s="22" t="str">
        <f>IF(MOV_CC_INTL!B1832="","",MOV_CC_INTL!B1832)</f>
        <v/>
      </c>
      <c r="C1832" s="22" t="str">
        <f>IF(MOV_CC_INTL!C1832="","",MOV_CC_INTL!C1832)</f>
        <v/>
      </c>
      <c r="D1832" s="22" t="str">
        <f t="shared" si="1"/>
        <v>Other</v>
      </c>
      <c r="E1832" s="21" t="str">
        <f>IF(C1832="","",C1832*CONFIG!B5)</f>
        <v/>
      </c>
    </row>
    <row r="1833" ht="15.75" customHeight="1">
      <c r="A1833" s="22" t="str">
        <f>IF(MOV_CC_INTL!A1833="","",MOV_CC_INTL!A1833)</f>
        <v/>
      </c>
      <c r="B1833" s="22" t="str">
        <f>IF(MOV_CC_INTL!B1833="","",MOV_CC_INTL!B1833)</f>
        <v/>
      </c>
      <c r="C1833" s="22" t="str">
        <f>IF(MOV_CC_INTL!C1833="","",MOV_CC_INTL!C1833)</f>
        <v/>
      </c>
      <c r="D1833" s="22" t="str">
        <f t="shared" si="1"/>
        <v>Other</v>
      </c>
      <c r="E1833" s="21" t="str">
        <f>IF(C1833="","",C1833*CONFIG!B5)</f>
        <v/>
      </c>
    </row>
    <row r="1834" ht="15.75" customHeight="1">
      <c r="A1834" s="22" t="str">
        <f>IF(MOV_CC_INTL!A1834="","",MOV_CC_INTL!A1834)</f>
        <v/>
      </c>
      <c r="B1834" s="22" t="str">
        <f>IF(MOV_CC_INTL!B1834="","",MOV_CC_INTL!B1834)</f>
        <v/>
      </c>
      <c r="C1834" s="22" t="str">
        <f>IF(MOV_CC_INTL!C1834="","",MOV_CC_INTL!C1834)</f>
        <v/>
      </c>
      <c r="D1834" s="22" t="str">
        <f t="shared" si="1"/>
        <v>Other</v>
      </c>
      <c r="E1834" s="21" t="str">
        <f>IF(C1834="","",C1834*CONFIG!B5)</f>
        <v/>
      </c>
    </row>
    <row r="1835" ht="15.75" customHeight="1">
      <c r="A1835" s="22" t="str">
        <f>IF(MOV_CC_INTL!A1835="","",MOV_CC_INTL!A1835)</f>
        <v/>
      </c>
      <c r="B1835" s="22" t="str">
        <f>IF(MOV_CC_INTL!B1835="","",MOV_CC_INTL!B1835)</f>
        <v/>
      </c>
      <c r="C1835" s="22" t="str">
        <f>IF(MOV_CC_INTL!C1835="","",MOV_CC_INTL!C1835)</f>
        <v/>
      </c>
      <c r="D1835" s="22" t="str">
        <f t="shared" si="1"/>
        <v>Other</v>
      </c>
      <c r="E1835" s="21" t="str">
        <f>IF(C1835="","",C1835*CONFIG!B5)</f>
        <v/>
      </c>
    </row>
    <row r="1836" ht="15.75" customHeight="1">
      <c r="A1836" s="22" t="str">
        <f>IF(MOV_CC_INTL!A1836="","",MOV_CC_INTL!A1836)</f>
        <v/>
      </c>
      <c r="B1836" s="22" t="str">
        <f>IF(MOV_CC_INTL!B1836="","",MOV_CC_INTL!B1836)</f>
        <v/>
      </c>
      <c r="C1836" s="22" t="str">
        <f>IF(MOV_CC_INTL!C1836="","",MOV_CC_INTL!C1836)</f>
        <v/>
      </c>
      <c r="D1836" s="22" t="str">
        <f t="shared" si="1"/>
        <v>Other</v>
      </c>
      <c r="E1836" s="21" t="str">
        <f>IF(C1836="","",C1836*CONFIG!B5)</f>
        <v/>
      </c>
    </row>
    <row r="1837" ht="15.75" customHeight="1">
      <c r="A1837" s="22" t="str">
        <f>IF(MOV_CC_INTL!A1837="","",MOV_CC_INTL!A1837)</f>
        <v/>
      </c>
      <c r="B1837" s="22" t="str">
        <f>IF(MOV_CC_INTL!B1837="","",MOV_CC_INTL!B1837)</f>
        <v/>
      </c>
      <c r="C1837" s="22" t="str">
        <f>IF(MOV_CC_INTL!C1837="","",MOV_CC_INTL!C1837)</f>
        <v/>
      </c>
      <c r="D1837" s="22" t="str">
        <f t="shared" si="1"/>
        <v>Other</v>
      </c>
      <c r="E1837" s="21" t="str">
        <f>IF(C1837="","",C1837*CONFIG!B5)</f>
        <v/>
      </c>
    </row>
    <row r="1838" ht="15.75" customHeight="1">
      <c r="A1838" s="22" t="str">
        <f>IF(MOV_CC_INTL!A1838="","",MOV_CC_INTL!A1838)</f>
        <v/>
      </c>
      <c r="B1838" s="22" t="str">
        <f>IF(MOV_CC_INTL!B1838="","",MOV_CC_INTL!B1838)</f>
        <v/>
      </c>
      <c r="C1838" s="22" t="str">
        <f>IF(MOV_CC_INTL!C1838="","",MOV_CC_INTL!C1838)</f>
        <v/>
      </c>
      <c r="D1838" s="22" t="str">
        <f t="shared" si="1"/>
        <v>Other</v>
      </c>
      <c r="E1838" s="21" t="str">
        <f>IF(C1838="","",C1838*CONFIG!B5)</f>
        <v/>
      </c>
    </row>
    <row r="1839" ht="15.75" customHeight="1">
      <c r="A1839" s="22" t="str">
        <f>IF(MOV_CC_INTL!A1839="","",MOV_CC_INTL!A1839)</f>
        <v/>
      </c>
      <c r="B1839" s="22" t="str">
        <f>IF(MOV_CC_INTL!B1839="","",MOV_CC_INTL!B1839)</f>
        <v/>
      </c>
      <c r="C1839" s="22" t="str">
        <f>IF(MOV_CC_INTL!C1839="","",MOV_CC_INTL!C1839)</f>
        <v/>
      </c>
      <c r="D1839" s="22" t="str">
        <f t="shared" si="1"/>
        <v>Other</v>
      </c>
      <c r="E1839" s="21" t="str">
        <f>IF(C1839="","",C1839*CONFIG!B5)</f>
        <v/>
      </c>
    </row>
    <row r="1840" ht="15.75" customHeight="1">
      <c r="A1840" s="22" t="str">
        <f>IF(MOV_CC_INTL!A1840="","",MOV_CC_INTL!A1840)</f>
        <v/>
      </c>
      <c r="B1840" s="22" t="str">
        <f>IF(MOV_CC_INTL!B1840="","",MOV_CC_INTL!B1840)</f>
        <v/>
      </c>
      <c r="C1840" s="22" t="str">
        <f>IF(MOV_CC_INTL!C1840="","",MOV_CC_INTL!C1840)</f>
        <v/>
      </c>
      <c r="D1840" s="22" t="str">
        <f t="shared" si="1"/>
        <v>Other</v>
      </c>
      <c r="E1840" s="21" t="str">
        <f>IF(C1840="","",C1840*CONFIG!B5)</f>
        <v/>
      </c>
    </row>
    <row r="1841" ht="15.75" customHeight="1">
      <c r="A1841" s="22" t="str">
        <f>IF(MOV_CC_INTL!A1841="","",MOV_CC_INTL!A1841)</f>
        <v/>
      </c>
      <c r="B1841" s="22" t="str">
        <f>IF(MOV_CC_INTL!B1841="","",MOV_CC_INTL!B1841)</f>
        <v/>
      </c>
      <c r="C1841" s="22" t="str">
        <f>IF(MOV_CC_INTL!C1841="","",MOV_CC_INTL!C1841)</f>
        <v/>
      </c>
      <c r="D1841" s="22" t="str">
        <f t="shared" si="1"/>
        <v>Other</v>
      </c>
      <c r="E1841" s="21" t="str">
        <f>IF(C1841="","",C1841*CONFIG!B5)</f>
        <v/>
      </c>
    </row>
    <row r="1842" ht="15.75" customHeight="1">
      <c r="A1842" s="22" t="str">
        <f>IF(MOV_CC_INTL!A1842="","",MOV_CC_INTL!A1842)</f>
        <v/>
      </c>
      <c r="B1842" s="22" t="str">
        <f>IF(MOV_CC_INTL!B1842="","",MOV_CC_INTL!B1842)</f>
        <v/>
      </c>
      <c r="C1842" s="22" t="str">
        <f>IF(MOV_CC_INTL!C1842="","",MOV_CC_INTL!C1842)</f>
        <v/>
      </c>
      <c r="D1842" s="22" t="str">
        <f t="shared" si="1"/>
        <v>Other</v>
      </c>
      <c r="E1842" s="21" t="str">
        <f>IF(C1842="","",C1842*CONFIG!B5)</f>
        <v/>
      </c>
    </row>
    <row r="1843" ht="15.75" customHeight="1">
      <c r="A1843" s="22" t="str">
        <f>IF(MOV_CC_INTL!A1843="","",MOV_CC_INTL!A1843)</f>
        <v/>
      </c>
      <c r="B1843" s="22" t="str">
        <f>IF(MOV_CC_INTL!B1843="","",MOV_CC_INTL!B1843)</f>
        <v/>
      </c>
      <c r="C1843" s="22" t="str">
        <f>IF(MOV_CC_INTL!C1843="","",MOV_CC_INTL!C1843)</f>
        <v/>
      </c>
      <c r="D1843" s="22" t="str">
        <f t="shared" si="1"/>
        <v>Other</v>
      </c>
      <c r="E1843" s="21" t="str">
        <f>IF(C1843="","",C1843*CONFIG!B5)</f>
        <v/>
      </c>
    </row>
    <row r="1844" ht="15.75" customHeight="1">
      <c r="A1844" s="22" t="str">
        <f>IF(MOV_CC_INTL!A1844="","",MOV_CC_INTL!A1844)</f>
        <v/>
      </c>
      <c r="B1844" s="22" t="str">
        <f>IF(MOV_CC_INTL!B1844="","",MOV_CC_INTL!B1844)</f>
        <v/>
      </c>
      <c r="C1844" s="22" t="str">
        <f>IF(MOV_CC_INTL!C1844="","",MOV_CC_INTL!C1844)</f>
        <v/>
      </c>
      <c r="D1844" s="22" t="str">
        <f t="shared" si="1"/>
        <v>Other</v>
      </c>
      <c r="E1844" s="21" t="str">
        <f>IF(C1844="","",C1844*CONFIG!B5)</f>
        <v/>
      </c>
    </row>
    <row r="1845" ht="15.75" customHeight="1">
      <c r="A1845" s="22" t="str">
        <f>IF(MOV_CC_INTL!A1845="","",MOV_CC_INTL!A1845)</f>
        <v/>
      </c>
      <c r="B1845" s="22" t="str">
        <f>IF(MOV_CC_INTL!B1845="","",MOV_CC_INTL!B1845)</f>
        <v/>
      </c>
      <c r="C1845" s="22" t="str">
        <f>IF(MOV_CC_INTL!C1845="","",MOV_CC_INTL!C1845)</f>
        <v/>
      </c>
      <c r="D1845" s="22" t="str">
        <f t="shared" si="1"/>
        <v>Other</v>
      </c>
      <c r="E1845" s="21" t="str">
        <f>IF(C1845="","",C1845*CONFIG!B5)</f>
        <v/>
      </c>
    </row>
    <row r="1846" ht="15.75" customHeight="1">
      <c r="A1846" s="22" t="str">
        <f>IF(MOV_CC_INTL!A1846="","",MOV_CC_INTL!A1846)</f>
        <v/>
      </c>
      <c r="B1846" s="22" t="str">
        <f>IF(MOV_CC_INTL!B1846="","",MOV_CC_INTL!B1846)</f>
        <v/>
      </c>
      <c r="C1846" s="22" t="str">
        <f>IF(MOV_CC_INTL!C1846="","",MOV_CC_INTL!C1846)</f>
        <v/>
      </c>
      <c r="D1846" s="22" t="str">
        <f t="shared" si="1"/>
        <v>Other</v>
      </c>
      <c r="E1846" s="21" t="str">
        <f>IF(C1846="","",C1846*CONFIG!B5)</f>
        <v/>
      </c>
    </row>
    <row r="1847" ht="15.75" customHeight="1">
      <c r="A1847" s="22" t="str">
        <f>IF(MOV_CC_INTL!A1847="","",MOV_CC_INTL!A1847)</f>
        <v/>
      </c>
      <c r="B1847" s="22" t="str">
        <f>IF(MOV_CC_INTL!B1847="","",MOV_CC_INTL!B1847)</f>
        <v/>
      </c>
      <c r="C1847" s="22" t="str">
        <f>IF(MOV_CC_INTL!C1847="","",MOV_CC_INTL!C1847)</f>
        <v/>
      </c>
      <c r="D1847" s="22" t="str">
        <f t="shared" si="1"/>
        <v>Other</v>
      </c>
      <c r="E1847" s="21" t="str">
        <f>IF(C1847="","",C1847*CONFIG!B5)</f>
        <v/>
      </c>
    </row>
    <row r="1848" ht="15.75" customHeight="1">
      <c r="A1848" s="22" t="str">
        <f>IF(MOV_CC_INTL!A1848="","",MOV_CC_INTL!A1848)</f>
        <v/>
      </c>
      <c r="B1848" s="22" t="str">
        <f>IF(MOV_CC_INTL!B1848="","",MOV_CC_INTL!B1848)</f>
        <v/>
      </c>
      <c r="C1848" s="22" t="str">
        <f>IF(MOV_CC_INTL!C1848="","",MOV_CC_INTL!C1848)</f>
        <v/>
      </c>
      <c r="D1848" s="22" t="str">
        <f t="shared" si="1"/>
        <v>Other</v>
      </c>
      <c r="E1848" s="21" t="str">
        <f>IF(C1848="","",C1848*CONFIG!B5)</f>
        <v/>
      </c>
    </row>
    <row r="1849" ht="15.75" customHeight="1">
      <c r="A1849" s="22" t="str">
        <f>IF(MOV_CC_INTL!A1849="","",MOV_CC_INTL!A1849)</f>
        <v/>
      </c>
      <c r="B1849" s="22" t="str">
        <f>IF(MOV_CC_INTL!B1849="","",MOV_CC_INTL!B1849)</f>
        <v/>
      </c>
      <c r="C1849" s="22" t="str">
        <f>IF(MOV_CC_INTL!C1849="","",MOV_CC_INTL!C1849)</f>
        <v/>
      </c>
      <c r="D1849" s="22" t="str">
        <f t="shared" si="1"/>
        <v>Other</v>
      </c>
      <c r="E1849" s="21" t="str">
        <f>IF(C1849="","",C1849*CONFIG!B5)</f>
        <v/>
      </c>
    </row>
    <row r="1850" ht="15.75" customHeight="1">
      <c r="A1850" s="22" t="str">
        <f>IF(MOV_CC_INTL!A1850="","",MOV_CC_INTL!A1850)</f>
        <v/>
      </c>
      <c r="B1850" s="22" t="str">
        <f>IF(MOV_CC_INTL!B1850="","",MOV_CC_INTL!B1850)</f>
        <v/>
      </c>
      <c r="C1850" s="22" t="str">
        <f>IF(MOV_CC_INTL!C1850="","",MOV_CC_INTL!C1850)</f>
        <v/>
      </c>
      <c r="D1850" s="22" t="str">
        <f t="shared" si="1"/>
        <v>Other</v>
      </c>
      <c r="E1850" s="21" t="str">
        <f>IF(C1850="","",C1850*CONFIG!B5)</f>
        <v/>
      </c>
    </row>
    <row r="1851" ht="15.75" customHeight="1">
      <c r="A1851" s="22" t="str">
        <f>IF(MOV_CC_INTL!A1851="","",MOV_CC_INTL!A1851)</f>
        <v/>
      </c>
      <c r="B1851" s="22" t="str">
        <f>IF(MOV_CC_INTL!B1851="","",MOV_CC_INTL!B1851)</f>
        <v/>
      </c>
      <c r="C1851" s="22" t="str">
        <f>IF(MOV_CC_INTL!C1851="","",MOV_CC_INTL!C1851)</f>
        <v/>
      </c>
      <c r="D1851" s="22" t="str">
        <f t="shared" si="1"/>
        <v>Other</v>
      </c>
      <c r="E1851" s="21" t="str">
        <f>IF(C1851="","",C1851*CONFIG!B5)</f>
        <v/>
      </c>
    </row>
    <row r="1852" ht="15.75" customHeight="1">
      <c r="A1852" s="22" t="str">
        <f>IF(MOV_CC_INTL!A1852="","",MOV_CC_INTL!A1852)</f>
        <v/>
      </c>
      <c r="B1852" s="22" t="str">
        <f>IF(MOV_CC_INTL!B1852="","",MOV_CC_INTL!B1852)</f>
        <v/>
      </c>
      <c r="C1852" s="22" t="str">
        <f>IF(MOV_CC_INTL!C1852="","",MOV_CC_INTL!C1852)</f>
        <v/>
      </c>
      <c r="D1852" s="22" t="str">
        <f t="shared" si="1"/>
        <v>Other</v>
      </c>
      <c r="E1852" s="21" t="str">
        <f>IF(C1852="","",C1852*CONFIG!B5)</f>
        <v/>
      </c>
    </row>
    <row r="1853" ht="15.75" customHeight="1">
      <c r="A1853" s="22" t="str">
        <f>IF(MOV_CC_INTL!A1853="","",MOV_CC_INTL!A1853)</f>
        <v/>
      </c>
      <c r="B1853" s="22" t="str">
        <f>IF(MOV_CC_INTL!B1853="","",MOV_CC_INTL!B1853)</f>
        <v/>
      </c>
      <c r="C1853" s="22" t="str">
        <f>IF(MOV_CC_INTL!C1853="","",MOV_CC_INTL!C1853)</f>
        <v/>
      </c>
      <c r="D1853" s="22" t="str">
        <f t="shared" si="1"/>
        <v>Other</v>
      </c>
      <c r="E1853" s="21" t="str">
        <f>IF(C1853="","",C1853*CONFIG!B5)</f>
        <v/>
      </c>
    </row>
    <row r="1854" ht="15.75" customHeight="1">
      <c r="A1854" s="22" t="str">
        <f>IF(MOV_CC_INTL!A1854="","",MOV_CC_INTL!A1854)</f>
        <v/>
      </c>
      <c r="B1854" s="22" t="str">
        <f>IF(MOV_CC_INTL!B1854="","",MOV_CC_INTL!B1854)</f>
        <v/>
      </c>
      <c r="C1854" s="22" t="str">
        <f>IF(MOV_CC_INTL!C1854="","",MOV_CC_INTL!C1854)</f>
        <v/>
      </c>
      <c r="D1854" s="22" t="str">
        <f t="shared" si="1"/>
        <v>Other</v>
      </c>
      <c r="E1854" s="21" t="str">
        <f>IF(C1854="","",C1854*CONFIG!B5)</f>
        <v/>
      </c>
    </row>
    <row r="1855" ht="15.75" customHeight="1">
      <c r="A1855" s="22" t="str">
        <f>IF(MOV_CC_INTL!A1855="","",MOV_CC_INTL!A1855)</f>
        <v/>
      </c>
      <c r="B1855" s="22" t="str">
        <f>IF(MOV_CC_INTL!B1855="","",MOV_CC_INTL!B1855)</f>
        <v/>
      </c>
      <c r="C1855" s="22" t="str">
        <f>IF(MOV_CC_INTL!C1855="","",MOV_CC_INTL!C1855)</f>
        <v/>
      </c>
      <c r="D1855" s="22" t="str">
        <f t="shared" si="1"/>
        <v>Other</v>
      </c>
      <c r="E1855" s="21" t="str">
        <f>IF(C1855="","",C1855*CONFIG!B5)</f>
        <v/>
      </c>
    </row>
    <row r="1856" ht="15.75" customHeight="1">
      <c r="A1856" s="22" t="str">
        <f>IF(MOV_CC_INTL!A1856="","",MOV_CC_INTL!A1856)</f>
        <v/>
      </c>
      <c r="B1856" s="22" t="str">
        <f>IF(MOV_CC_INTL!B1856="","",MOV_CC_INTL!B1856)</f>
        <v/>
      </c>
      <c r="C1856" s="22" t="str">
        <f>IF(MOV_CC_INTL!C1856="","",MOV_CC_INTL!C1856)</f>
        <v/>
      </c>
      <c r="D1856" s="22" t="str">
        <f t="shared" si="1"/>
        <v>Other</v>
      </c>
      <c r="E1856" s="21" t="str">
        <f>IF(C1856="","",C1856*CONFIG!B5)</f>
        <v/>
      </c>
    </row>
    <row r="1857" ht="15.75" customHeight="1">
      <c r="A1857" s="22" t="str">
        <f>IF(MOV_CC_INTL!A1857="","",MOV_CC_INTL!A1857)</f>
        <v/>
      </c>
      <c r="B1857" s="22" t="str">
        <f>IF(MOV_CC_INTL!B1857="","",MOV_CC_INTL!B1857)</f>
        <v/>
      </c>
      <c r="C1857" s="22" t="str">
        <f>IF(MOV_CC_INTL!C1857="","",MOV_CC_INTL!C1857)</f>
        <v/>
      </c>
      <c r="D1857" s="22" t="str">
        <f t="shared" si="1"/>
        <v>Other</v>
      </c>
      <c r="E1857" s="21" t="str">
        <f>IF(C1857="","",C1857*CONFIG!B5)</f>
        <v/>
      </c>
    </row>
    <row r="1858" ht="15.75" customHeight="1">
      <c r="A1858" s="22" t="str">
        <f>IF(MOV_CC_INTL!A1858="","",MOV_CC_INTL!A1858)</f>
        <v/>
      </c>
      <c r="B1858" s="22" t="str">
        <f>IF(MOV_CC_INTL!B1858="","",MOV_CC_INTL!B1858)</f>
        <v/>
      </c>
      <c r="C1858" s="22" t="str">
        <f>IF(MOV_CC_INTL!C1858="","",MOV_CC_INTL!C1858)</f>
        <v/>
      </c>
      <c r="D1858" s="22" t="str">
        <f t="shared" si="1"/>
        <v>Other</v>
      </c>
      <c r="E1858" s="21" t="str">
        <f>IF(C1858="","",C1858*CONFIG!B5)</f>
        <v/>
      </c>
    </row>
    <row r="1859" ht="15.75" customHeight="1">
      <c r="A1859" s="22" t="str">
        <f>IF(MOV_CC_INTL!A1859="","",MOV_CC_INTL!A1859)</f>
        <v/>
      </c>
      <c r="B1859" s="22" t="str">
        <f>IF(MOV_CC_INTL!B1859="","",MOV_CC_INTL!B1859)</f>
        <v/>
      </c>
      <c r="C1859" s="22" t="str">
        <f>IF(MOV_CC_INTL!C1859="","",MOV_CC_INTL!C1859)</f>
        <v/>
      </c>
      <c r="D1859" s="22" t="str">
        <f t="shared" si="1"/>
        <v>Other</v>
      </c>
      <c r="E1859" s="21" t="str">
        <f>IF(C1859="","",C1859*CONFIG!B5)</f>
        <v/>
      </c>
    </row>
    <row r="1860" ht="15.75" customHeight="1">
      <c r="A1860" s="22" t="str">
        <f>IF(MOV_CC_INTL!A1860="","",MOV_CC_INTL!A1860)</f>
        <v/>
      </c>
      <c r="B1860" s="22" t="str">
        <f>IF(MOV_CC_INTL!B1860="","",MOV_CC_INTL!B1860)</f>
        <v/>
      </c>
      <c r="C1860" s="22" t="str">
        <f>IF(MOV_CC_INTL!C1860="","",MOV_CC_INTL!C1860)</f>
        <v/>
      </c>
      <c r="D1860" s="22" t="str">
        <f t="shared" si="1"/>
        <v>Other</v>
      </c>
      <c r="E1860" s="21" t="str">
        <f>IF(C1860="","",C1860*CONFIG!B5)</f>
        <v/>
      </c>
    </row>
    <row r="1861" ht="15.75" customHeight="1">
      <c r="A1861" s="22" t="str">
        <f>IF(MOV_CC_INTL!A1861="","",MOV_CC_INTL!A1861)</f>
        <v/>
      </c>
      <c r="B1861" s="22" t="str">
        <f>IF(MOV_CC_INTL!B1861="","",MOV_CC_INTL!B1861)</f>
        <v/>
      </c>
      <c r="C1861" s="22" t="str">
        <f>IF(MOV_CC_INTL!C1861="","",MOV_CC_INTL!C1861)</f>
        <v/>
      </c>
      <c r="D1861" s="22" t="str">
        <f t="shared" si="1"/>
        <v>Other</v>
      </c>
      <c r="E1861" s="21" t="str">
        <f>IF(C1861="","",C1861*CONFIG!B5)</f>
        <v/>
      </c>
    </row>
    <row r="1862" ht="15.75" customHeight="1">
      <c r="A1862" s="22" t="str">
        <f>IF(MOV_CC_INTL!A1862="","",MOV_CC_INTL!A1862)</f>
        <v/>
      </c>
      <c r="B1862" s="22" t="str">
        <f>IF(MOV_CC_INTL!B1862="","",MOV_CC_INTL!B1862)</f>
        <v/>
      </c>
      <c r="C1862" s="22" t="str">
        <f>IF(MOV_CC_INTL!C1862="","",MOV_CC_INTL!C1862)</f>
        <v/>
      </c>
      <c r="D1862" s="22" t="str">
        <f t="shared" si="1"/>
        <v>Other</v>
      </c>
      <c r="E1862" s="21" t="str">
        <f>IF(C1862="","",C1862*CONFIG!B5)</f>
        <v/>
      </c>
    </row>
    <row r="1863" ht="15.75" customHeight="1">
      <c r="A1863" s="22" t="str">
        <f>IF(MOV_CC_INTL!A1863="","",MOV_CC_INTL!A1863)</f>
        <v/>
      </c>
      <c r="B1863" s="22" t="str">
        <f>IF(MOV_CC_INTL!B1863="","",MOV_CC_INTL!B1863)</f>
        <v/>
      </c>
      <c r="C1863" s="22" t="str">
        <f>IF(MOV_CC_INTL!C1863="","",MOV_CC_INTL!C1863)</f>
        <v/>
      </c>
      <c r="D1863" s="22" t="str">
        <f t="shared" si="1"/>
        <v>Other</v>
      </c>
      <c r="E1863" s="21" t="str">
        <f>IF(C1863="","",C1863*CONFIG!B5)</f>
        <v/>
      </c>
    </row>
    <row r="1864" ht="15.75" customHeight="1">
      <c r="A1864" s="22" t="str">
        <f>IF(MOV_CC_INTL!A1864="","",MOV_CC_INTL!A1864)</f>
        <v/>
      </c>
      <c r="B1864" s="22" t="str">
        <f>IF(MOV_CC_INTL!B1864="","",MOV_CC_INTL!B1864)</f>
        <v/>
      </c>
      <c r="C1864" s="22" t="str">
        <f>IF(MOV_CC_INTL!C1864="","",MOV_CC_INTL!C1864)</f>
        <v/>
      </c>
      <c r="D1864" s="22" t="str">
        <f t="shared" si="1"/>
        <v>Other</v>
      </c>
      <c r="E1864" s="21" t="str">
        <f>IF(C1864="","",C1864*CONFIG!B5)</f>
        <v/>
      </c>
    </row>
    <row r="1865" ht="15.75" customHeight="1">
      <c r="A1865" s="22" t="str">
        <f>IF(MOV_CC_INTL!A1865="","",MOV_CC_INTL!A1865)</f>
        <v/>
      </c>
      <c r="B1865" s="22" t="str">
        <f>IF(MOV_CC_INTL!B1865="","",MOV_CC_INTL!B1865)</f>
        <v/>
      </c>
      <c r="C1865" s="22" t="str">
        <f>IF(MOV_CC_INTL!C1865="","",MOV_CC_INTL!C1865)</f>
        <v/>
      </c>
      <c r="D1865" s="22" t="str">
        <f t="shared" si="1"/>
        <v>Other</v>
      </c>
      <c r="E1865" s="21" t="str">
        <f>IF(C1865="","",C1865*CONFIG!B5)</f>
        <v/>
      </c>
    </row>
    <row r="1866" ht="15.75" customHeight="1">
      <c r="A1866" s="22" t="str">
        <f>IF(MOV_CC_INTL!A1866="","",MOV_CC_INTL!A1866)</f>
        <v/>
      </c>
      <c r="B1866" s="22" t="str">
        <f>IF(MOV_CC_INTL!B1866="","",MOV_CC_INTL!B1866)</f>
        <v/>
      </c>
      <c r="C1866" s="22" t="str">
        <f>IF(MOV_CC_INTL!C1866="","",MOV_CC_INTL!C1866)</f>
        <v/>
      </c>
      <c r="D1866" s="22" t="str">
        <f t="shared" si="1"/>
        <v>Other</v>
      </c>
      <c r="E1866" s="21" t="str">
        <f>IF(C1866="","",C1866*CONFIG!B5)</f>
        <v/>
      </c>
    </row>
    <row r="1867" ht="15.75" customHeight="1">
      <c r="A1867" s="22" t="str">
        <f>IF(MOV_CC_INTL!A1867="","",MOV_CC_INTL!A1867)</f>
        <v/>
      </c>
      <c r="B1867" s="22" t="str">
        <f>IF(MOV_CC_INTL!B1867="","",MOV_CC_INTL!B1867)</f>
        <v/>
      </c>
      <c r="C1867" s="22" t="str">
        <f>IF(MOV_CC_INTL!C1867="","",MOV_CC_INTL!C1867)</f>
        <v/>
      </c>
      <c r="D1867" s="22" t="str">
        <f t="shared" si="1"/>
        <v>Other</v>
      </c>
      <c r="E1867" s="21" t="str">
        <f>IF(C1867="","",C1867*CONFIG!B5)</f>
        <v/>
      </c>
    </row>
    <row r="1868" ht="15.75" customHeight="1">
      <c r="A1868" s="22" t="str">
        <f>IF(MOV_CC_INTL!A1868="","",MOV_CC_INTL!A1868)</f>
        <v/>
      </c>
      <c r="B1868" s="22" t="str">
        <f>IF(MOV_CC_INTL!B1868="","",MOV_CC_INTL!B1868)</f>
        <v/>
      </c>
      <c r="C1868" s="22" t="str">
        <f>IF(MOV_CC_INTL!C1868="","",MOV_CC_INTL!C1868)</f>
        <v/>
      </c>
      <c r="D1868" s="22" t="str">
        <f t="shared" si="1"/>
        <v>Other</v>
      </c>
      <c r="E1868" s="21" t="str">
        <f>IF(C1868="","",C1868*CONFIG!B5)</f>
        <v/>
      </c>
    </row>
    <row r="1869" ht="15.75" customHeight="1">
      <c r="A1869" s="22" t="str">
        <f>IF(MOV_CC_INTL!A1869="","",MOV_CC_INTL!A1869)</f>
        <v/>
      </c>
      <c r="B1869" s="22" t="str">
        <f>IF(MOV_CC_INTL!B1869="","",MOV_CC_INTL!B1869)</f>
        <v/>
      </c>
      <c r="C1869" s="22" t="str">
        <f>IF(MOV_CC_INTL!C1869="","",MOV_CC_INTL!C1869)</f>
        <v/>
      </c>
      <c r="D1869" s="22" t="str">
        <f t="shared" si="1"/>
        <v>Other</v>
      </c>
      <c r="E1869" s="21" t="str">
        <f>IF(C1869="","",C1869*CONFIG!B5)</f>
        <v/>
      </c>
    </row>
    <row r="1870" ht="15.75" customHeight="1">
      <c r="A1870" s="22" t="str">
        <f>IF(MOV_CC_INTL!A1870="","",MOV_CC_INTL!A1870)</f>
        <v/>
      </c>
      <c r="B1870" s="22" t="str">
        <f>IF(MOV_CC_INTL!B1870="","",MOV_CC_INTL!B1870)</f>
        <v/>
      </c>
      <c r="C1870" s="22" t="str">
        <f>IF(MOV_CC_INTL!C1870="","",MOV_CC_INTL!C1870)</f>
        <v/>
      </c>
      <c r="D1870" s="22" t="str">
        <f t="shared" si="1"/>
        <v>Other</v>
      </c>
      <c r="E1870" s="21" t="str">
        <f>IF(C1870="","",C1870*CONFIG!B5)</f>
        <v/>
      </c>
    </row>
    <row r="1871" ht="15.75" customHeight="1">
      <c r="A1871" s="22" t="str">
        <f>IF(MOV_CC_INTL!A1871="","",MOV_CC_INTL!A1871)</f>
        <v/>
      </c>
      <c r="B1871" s="22" t="str">
        <f>IF(MOV_CC_INTL!B1871="","",MOV_CC_INTL!B1871)</f>
        <v/>
      </c>
      <c r="C1871" s="22" t="str">
        <f>IF(MOV_CC_INTL!C1871="","",MOV_CC_INTL!C1871)</f>
        <v/>
      </c>
      <c r="D1871" s="22" t="str">
        <f t="shared" si="1"/>
        <v>Other</v>
      </c>
      <c r="E1871" s="21" t="str">
        <f>IF(C1871="","",C1871*CONFIG!B5)</f>
        <v/>
      </c>
    </row>
    <row r="1872" ht="15.75" customHeight="1">
      <c r="A1872" s="22" t="str">
        <f>IF(MOV_CC_INTL!A1872="","",MOV_CC_INTL!A1872)</f>
        <v/>
      </c>
      <c r="B1872" s="22" t="str">
        <f>IF(MOV_CC_INTL!B1872="","",MOV_CC_INTL!B1872)</f>
        <v/>
      </c>
      <c r="C1872" s="22" t="str">
        <f>IF(MOV_CC_INTL!C1872="","",MOV_CC_INTL!C1872)</f>
        <v/>
      </c>
      <c r="D1872" s="22" t="str">
        <f t="shared" si="1"/>
        <v>Other</v>
      </c>
      <c r="E1872" s="21" t="str">
        <f>IF(C1872="","",C1872*CONFIG!B5)</f>
        <v/>
      </c>
    </row>
    <row r="1873" ht="15.75" customHeight="1">
      <c r="A1873" s="22" t="str">
        <f>IF(MOV_CC_INTL!A1873="","",MOV_CC_INTL!A1873)</f>
        <v/>
      </c>
      <c r="B1873" s="22" t="str">
        <f>IF(MOV_CC_INTL!B1873="","",MOV_CC_INTL!B1873)</f>
        <v/>
      </c>
      <c r="C1873" s="22" t="str">
        <f>IF(MOV_CC_INTL!C1873="","",MOV_CC_INTL!C1873)</f>
        <v/>
      </c>
      <c r="D1873" s="22" t="str">
        <f t="shared" si="1"/>
        <v>Other</v>
      </c>
      <c r="E1873" s="21" t="str">
        <f>IF(C1873="","",C1873*CONFIG!B5)</f>
        <v/>
      </c>
    </row>
    <row r="1874" ht="15.75" customHeight="1">
      <c r="A1874" s="22" t="str">
        <f>IF(MOV_CC_INTL!A1874="","",MOV_CC_INTL!A1874)</f>
        <v/>
      </c>
      <c r="B1874" s="22" t="str">
        <f>IF(MOV_CC_INTL!B1874="","",MOV_CC_INTL!B1874)</f>
        <v/>
      </c>
      <c r="C1874" s="22" t="str">
        <f>IF(MOV_CC_INTL!C1874="","",MOV_CC_INTL!C1874)</f>
        <v/>
      </c>
      <c r="D1874" s="22" t="str">
        <f t="shared" si="1"/>
        <v>Other</v>
      </c>
      <c r="E1874" s="21" t="str">
        <f>IF(C1874="","",C1874*CONFIG!B5)</f>
        <v/>
      </c>
    </row>
    <row r="1875" ht="15.75" customHeight="1">
      <c r="A1875" s="22" t="str">
        <f>IF(MOV_CC_INTL!A1875="","",MOV_CC_INTL!A1875)</f>
        <v/>
      </c>
      <c r="B1875" s="22" t="str">
        <f>IF(MOV_CC_INTL!B1875="","",MOV_CC_INTL!B1875)</f>
        <v/>
      </c>
      <c r="C1875" s="22" t="str">
        <f>IF(MOV_CC_INTL!C1875="","",MOV_CC_INTL!C1875)</f>
        <v/>
      </c>
      <c r="D1875" s="22" t="str">
        <f t="shared" si="1"/>
        <v>Other</v>
      </c>
      <c r="E1875" s="21" t="str">
        <f>IF(C1875="","",C1875*CONFIG!B5)</f>
        <v/>
      </c>
    </row>
    <row r="1876" ht="15.75" customHeight="1">
      <c r="A1876" s="22" t="str">
        <f>IF(MOV_CC_INTL!A1876="","",MOV_CC_INTL!A1876)</f>
        <v/>
      </c>
      <c r="B1876" s="22" t="str">
        <f>IF(MOV_CC_INTL!B1876="","",MOV_CC_INTL!B1876)</f>
        <v/>
      </c>
      <c r="C1876" s="22" t="str">
        <f>IF(MOV_CC_INTL!C1876="","",MOV_CC_INTL!C1876)</f>
        <v/>
      </c>
      <c r="D1876" s="22" t="str">
        <f t="shared" si="1"/>
        <v>Other</v>
      </c>
      <c r="E1876" s="21" t="str">
        <f>IF(C1876="","",C1876*CONFIG!B5)</f>
        <v/>
      </c>
    </row>
    <row r="1877" ht="15.75" customHeight="1">
      <c r="A1877" s="22" t="str">
        <f>IF(MOV_CC_INTL!A1877="","",MOV_CC_INTL!A1877)</f>
        <v/>
      </c>
      <c r="B1877" s="22" t="str">
        <f>IF(MOV_CC_INTL!B1877="","",MOV_CC_INTL!B1877)</f>
        <v/>
      </c>
      <c r="C1877" s="22" t="str">
        <f>IF(MOV_CC_INTL!C1877="","",MOV_CC_INTL!C1877)</f>
        <v/>
      </c>
      <c r="D1877" s="22" t="str">
        <f t="shared" si="1"/>
        <v>Other</v>
      </c>
      <c r="E1877" s="21" t="str">
        <f>IF(C1877="","",C1877*CONFIG!B5)</f>
        <v/>
      </c>
    </row>
    <row r="1878" ht="15.75" customHeight="1">
      <c r="A1878" s="22" t="str">
        <f>IF(MOV_CC_INTL!A1878="","",MOV_CC_INTL!A1878)</f>
        <v/>
      </c>
      <c r="B1878" s="22" t="str">
        <f>IF(MOV_CC_INTL!B1878="","",MOV_CC_INTL!B1878)</f>
        <v/>
      </c>
      <c r="C1878" s="22" t="str">
        <f>IF(MOV_CC_INTL!C1878="","",MOV_CC_INTL!C1878)</f>
        <v/>
      </c>
      <c r="D1878" s="22" t="str">
        <f t="shared" si="1"/>
        <v>Other</v>
      </c>
      <c r="E1878" s="21" t="str">
        <f>IF(C1878="","",C1878*CONFIG!B5)</f>
        <v/>
      </c>
    </row>
    <row r="1879" ht="15.75" customHeight="1">
      <c r="A1879" s="22" t="str">
        <f>IF(MOV_CC_INTL!A1879="","",MOV_CC_INTL!A1879)</f>
        <v/>
      </c>
      <c r="B1879" s="22" t="str">
        <f>IF(MOV_CC_INTL!B1879="","",MOV_CC_INTL!B1879)</f>
        <v/>
      </c>
      <c r="C1879" s="22" t="str">
        <f>IF(MOV_CC_INTL!C1879="","",MOV_CC_INTL!C1879)</f>
        <v/>
      </c>
      <c r="D1879" s="22" t="str">
        <f t="shared" si="1"/>
        <v>Other</v>
      </c>
      <c r="E1879" s="21" t="str">
        <f>IF(C1879="","",C1879*CONFIG!B5)</f>
        <v/>
      </c>
    </row>
    <row r="1880" ht="15.75" customHeight="1">
      <c r="A1880" s="22" t="str">
        <f>IF(MOV_CC_INTL!A1880="","",MOV_CC_INTL!A1880)</f>
        <v/>
      </c>
      <c r="B1880" s="22" t="str">
        <f>IF(MOV_CC_INTL!B1880="","",MOV_CC_INTL!B1880)</f>
        <v/>
      </c>
      <c r="C1880" s="22" t="str">
        <f>IF(MOV_CC_INTL!C1880="","",MOV_CC_INTL!C1880)</f>
        <v/>
      </c>
      <c r="D1880" s="22" t="str">
        <f t="shared" si="1"/>
        <v>Other</v>
      </c>
      <c r="E1880" s="21" t="str">
        <f>IF(C1880="","",C1880*CONFIG!B5)</f>
        <v/>
      </c>
    </row>
    <row r="1881" ht="15.75" customHeight="1">
      <c r="A1881" s="22" t="str">
        <f>IF(MOV_CC_INTL!A1881="","",MOV_CC_INTL!A1881)</f>
        <v/>
      </c>
      <c r="B1881" s="22" t="str">
        <f>IF(MOV_CC_INTL!B1881="","",MOV_CC_INTL!B1881)</f>
        <v/>
      </c>
      <c r="C1881" s="22" t="str">
        <f>IF(MOV_CC_INTL!C1881="","",MOV_CC_INTL!C1881)</f>
        <v/>
      </c>
      <c r="D1881" s="22" t="str">
        <f t="shared" si="1"/>
        <v>Other</v>
      </c>
      <c r="E1881" s="21" t="str">
        <f>IF(C1881="","",C1881*CONFIG!B5)</f>
        <v/>
      </c>
    </row>
    <row r="1882" ht="15.75" customHeight="1">
      <c r="A1882" s="22" t="str">
        <f>IF(MOV_CC_INTL!A1882="","",MOV_CC_INTL!A1882)</f>
        <v/>
      </c>
      <c r="B1882" s="22" t="str">
        <f>IF(MOV_CC_INTL!B1882="","",MOV_CC_INTL!B1882)</f>
        <v/>
      </c>
      <c r="C1882" s="22" t="str">
        <f>IF(MOV_CC_INTL!C1882="","",MOV_CC_INTL!C1882)</f>
        <v/>
      </c>
      <c r="D1882" s="22" t="str">
        <f t="shared" si="1"/>
        <v>Other</v>
      </c>
      <c r="E1882" s="21" t="str">
        <f>IF(C1882="","",C1882*CONFIG!B5)</f>
        <v/>
      </c>
    </row>
    <row r="1883" ht="15.75" customHeight="1">
      <c r="A1883" s="22" t="str">
        <f>IF(MOV_CC_INTL!A1883="","",MOV_CC_INTL!A1883)</f>
        <v/>
      </c>
      <c r="B1883" s="22" t="str">
        <f>IF(MOV_CC_INTL!B1883="","",MOV_CC_INTL!B1883)</f>
        <v/>
      </c>
      <c r="C1883" s="22" t="str">
        <f>IF(MOV_CC_INTL!C1883="","",MOV_CC_INTL!C1883)</f>
        <v/>
      </c>
      <c r="D1883" s="22" t="str">
        <f t="shared" si="1"/>
        <v>Other</v>
      </c>
      <c r="E1883" s="21" t="str">
        <f>IF(C1883="","",C1883*CONFIG!B5)</f>
        <v/>
      </c>
    </row>
    <row r="1884" ht="15.75" customHeight="1">
      <c r="A1884" s="22" t="str">
        <f>IF(MOV_CC_INTL!A1884="","",MOV_CC_INTL!A1884)</f>
        <v/>
      </c>
      <c r="B1884" s="22" t="str">
        <f>IF(MOV_CC_INTL!B1884="","",MOV_CC_INTL!B1884)</f>
        <v/>
      </c>
      <c r="C1884" s="22" t="str">
        <f>IF(MOV_CC_INTL!C1884="","",MOV_CC_INTL!C1884)</f>
        <v/>
      </c>
      <c r="D1884" s="22" t="str">
        <f t="shared" si="1"/>
        <v>Other</v>
      </c>
      <c r="E1884" s="21" t="str">
        <f>IF(C1884="","",C1884*CONFIG!B5)</f>
        <v/>
      </c>
    </row>
    <row r="1885" ht="15.75" customHeight="1">
      <c r="A1885" s="22" t="str">
        <f>IF(MOV_CC_INTL!A1885="","",MOV_CC_INTL!A1885)</f>
        <v/>
      </c>
      <c r="B1885" s="22" t="str">
        <f>IF(MOV_CC_INTL!B1885="","",MOV_CC_INTL!B1885)</f>
        <v/>
      </c>
      <c r="C1885" s="22" t="str">
        <f>IF(MOV_CC_INTL!C1885="","",MOV_CC_INTL!C1885)</f>
        <v/>
      </c>
      <c r="D1885" s="22" t="str">
        <f t="shared" si="1"/>
        <v>Other</v>
      </c>
      <c r="E1885" s="21" t="str">
        <f>IF(C1885="","",C1885*CONFIG!B5)</f>
        <v/>
      </c>
    </row>
    <row r="1886" ht="15.75" customHeight="1">
      <c r="A1886" s="22" t="str">
        <f>IF(MOV_CC_INTL!A1886="","",MOV_CC_INTL!A1886)</f>
        <v/>
      </c>
      <c r="B1886" s="22" t="str">
        <f>IF(MOV_CC_INTL!B1886="","",MOV_CC_INTL!B1886)</f>
        <v/>
      </c>
      <c r="C1886" s="22" t="str">
        <f>IF(MOV_CC_INTL!C1886="","",MOV_CC_INTL!C1886)</f>
        <v/>
      </c>
      <c r="D1886" s="22" t="str">
        <f t="shared" si="1"/>
        <v>Other</v>
      </c>
      <c r="E1886" s="21" t="str">
        <f>IF(C1886="","",C1886*CONFIG!B5)</f>
        <v/>
      </c>
    </row>
    <row r="1887" ht="15.75" customHeight="1">
      <c r="A1887" s="22" t="str">
        <f>IF(MOV_CC_INTL!A1887="","",MOV_CC_INTL!A1887)</f>
        <v/>
      </c>
      <c r="B1887" s="22" t="str">
        <f>IF(MOV_CC_INTL!B1887="","",MOV_CC_INTL!B1887)</f>
        <v/>
      </c>
      <c r="C1887" s="22" t="str">
        <f>IF(MOV_CC_INTL!C1887="","",MOV_CC_INTL!C1887)</f>
        <v/>
      </c>
      <c r="D1887" s="22" t="str">
        <f t="shared" si="1"/>
        <v>Other</v>
      </c>
      <c r="E1887" s="21" t="str">
        <f>IF(C1887="","",C1887*CONFIG!B5)</f>
        <v/>
      </c>
    </row>
    <row r="1888" ht="15.75" customHeight="1">
      <c r="A1888" s="22" t="str">
        <f>IF(MOV_CC_INTL!A1888="","",MOV_CC_INTL!A1888)</f>
        <v/>
      </c>
      <c r="B1888" s="22" t="str">
        <f>IF(MOV_CC_INTL!B1888="","",MOV_CC_INTL!B1888)</f>
        <v/>
      </c>
      <c r="C1888" s="22" t="str">
        <f>IF(MOV_CC_INTL!C1888="","",MOV_CC_INTL!C1888)</f>
        <v/>
      </c>
      <c r="D1888" s="22" t="str">
        <f t="shared" si="1"/>
        <v>Other</v>
      </c>
      <c r="E1888" s="21" t="str">
        <f>IF(C1888="","",C1888*CONFIG!B5)</f>
        <v/>
      </c>
    </row>
    <row r="1889" ht="15.75" customHeight="1">
      <c r="A1889" s="22" t="str">
        <f>IF(MOV_CC_INTL!A1889="","",MOV_CC_INTL!A1889)</f>
        <v/>
      </c>
      <c r="B1889" s="22" t="str">
        <f>IF(MOV_CC_INTL!B1889="","",MOV_CC_INTL!B1889)</f>
        <v/>
      </c>
      <c r="C1889" s="22" t="str">
        <f>IF(MOV_CC_INTL!C1889="","",MOV_CC_INTL!C1889)</f>
        <v/>
      </c>
      <c r="D1889" s="22" t="str">
        <f t="shared" si="1"/>
        <v>Other</v>
      </c>
      <c r="E1889" s="21" t="str">
        <f>IF(C1889="","",C1889*CONFIG!B5)</f>
        <v/>
      </c>
    </row>
    <row r="1890" ht="15.75" customHeight="1">
      <c r="A1890" s="22" t="str">
        <f>IF(MOV_CC_INTL!A1890="","",MOV_CC_INTL!A1890)</f>
        <v/>
      </c>
      <c r="B1890" s="22" t="str">
        <f>IF(MOV_CC_INTL!B1890="","",MOV_CC_INTL!B1890)</f>
        <v/>
      </c>
      <c r="C1890" s="22" t="str">
        <f>IF(MOV_CC_INTL!C1890="","",MOV_CC_INTL!C1890)</f>
        <v/>
      </c>
      <c r="D1890" s="22" t="str">
        <f t="shared" si="1"/>
        <v>Other</v>
      </c>
      <c r="E1890" s="21" t="str">
        <f>IF(C1890="","",C1890*CONFIG!B5)</f>
        <v/>
      </c>
    </row>
    <row r="1891" ht="15.75" customHeight="1">
      <c r="A1891" s="22" t="str">
        <f>IF(MOV_CC_INTL!A1891="","",MOV_CC_INTL!A1891)</f>
        <v/>
      </c>
      <c r="B1891" s="22" t="str">
        <f>IF(MOV_CC_INTL!B1891="","",MOV_CC_INTL!B1891)</f>
        <v/>
      </c>
      <c r="C1891" s="22" t="str">
        <f>IF(MOV_CC_INTL!C1891="","",MOV_CC_INTL!C1891)</f>
        <v/>
      </c>
      <c r="D1891" s="22" t="str">
        <f t="shared" si="1"/>
        <v>Other</v>
      </c>
      <c r="E1891" s="21" t="str">
        <f>IF(C1891="","",C1891*CONFIG!B5)</f>
        <v/>
      </c>
    </row>
    <row r="1892" ht="15.75" customHeight="1">
      <c r="A1892" s="22" t="str">
        <f>IF(MOV_CC_INTL!A1892="","",MOV_CC_INTL!A1892)</f>
        <v/>
      </c>
      <c r="B1892" s="22" t="str">
        <f>IF(MOV_CC_INTL!B1892="","",MOV_CC_INTL!B1892)</f>
        <v/>
      </c>
      <c r="C1892" s="22" t="str">
        <f>IF(MOV_CC_INTL!C1892="","",MOV_CC_INTL!C1892)</f>
        <v/>
      </c>
      <c r="D1892" s="22" t="str">
        <f t="shared" si="1"/>
        <v>Other</v>
      </c>
      <c r="E1892" s="21" t="str">
        <f>IF(C1892="","",C1892*CONFIG!B5)</f>
        <v/>
      </c>
    </row>
    <row r="1893" ht="15.75" customHeight="1">
      <c r="A1893" s="22" t="str">
        <f>IF(MOV_CC_INTL!A1893="","",MOV_CC_INTL!A1893)</f>
        <v/>
      </c>
      <c r="B1893" s="22" t="str">
        <f>IF(MOV_CC_INTL!B1893="","",MOV_CC_INTL!B1893)</f>
        <v/>
      </c>
      <c r="C1893" s="22" t="str">
        <f>IF(MOV_CC_INTL!C1893="","",MOV_CC_INTL!C1893)</f>
        <v/>
      </c>
      <c r="D1893" s="22" t="str">
        <f t="shared" si="1"/>
        <v>Other</v>
      </c>
      <c r="E1893" s="21" t="str">
        <f>IF(C1893="","",C1893*CONFIG!B5)</f>
        <v/>
      </c>
    </row>
    <row r="1894" ht="15.75" customHeight="1">
      <c r="A1894" s="22" t="str">
        <f>IF(MOV_CC_INTL!A1894="","",MOV_CC_INTL!A1894)</f>
        <v/>
      </c>
      <c r="B1894" s="22" t="str">
        <f>IF(MOV_CC_INTL!B1894="","",MOV_CC_INTL!B1894)</f>
        <v/>
      </c>
      <c r="C1894" s="22" t="str">
        <f>IF(MOV_CC_INTL!C1894="","",MOV_CC_INTL!C1894)</f>
        <v/>
      </c>
      <c r="D1894" s="22" t="str">
        <f t="shared" si="1"/>
        <v>Other</v>
      </c>
      <c r="E1894" s="21" t="str">
        <f>IF(C1894="","",C1894*CONFIG!B5)</f>
        <v/>
      </c>
    </row>
    <row r="1895" ht="15.75" customHeight="1">
      <c r="A1895" s="22" t="str">
        <f>IF(MOV_CC_INTL!A1895="","",MOV_CC_INTL!A1895)</f>
        <v/>
      </c>
      <c r="B1895" s="22" t="str">
        <f>IF(MOV_CC_INTL!B1895="","",MOV_CC_INTL!B1895)</f>
        <v/>
      </c>
      <c r="C1895" s="22" t="str">
        <f>IF(MOV_CC_INTL!C1895="","",MOV_CC_INTL!C1895)</f>
        <v/>
      </c>
      <c r="D1895" s="22" t="str">
        <f t="shared" si="1"/>
        <v>Other</v>
      </c>
      <c r="E1895" s="21" t="str">
        <f>IF(C1895="","",C1895*CONFIG!B5)</f>
        <v/>
      </c>
    </row>
    <row r="1896" ht="15.75" customHeight="1">
      <c r="A1896" s="22" t="str">
        <f>IF(MOV_CC_INTL!A1896="","",MOV_CC_INTL!A1896)</f>
        <v/>
      </c>
      <c r="B1896" s="22" t="str">
        <f>IF(MOV_CC_INTL!B1896="","",MOV_CC_INTL!B1896)</f>
        <v/>
      </c>
      <c r="C1896" s="22" t="str">
        <f>IF(MOV_CC_INTL!C1896="","",MOV_CC_INTL!C1896)</f>
        <v/>
      </c>
      <c r="D1896" s="22" t="str">
        <f t="shared" si="1"/>
        <v>Other</v>
      </c>
      <c r="E1896" s="21" t="str">
        <f>IF(C1896="","",C1896*CONFIG!B5)</f>
        <v/>
      </c>
    </row>
    <row r="1897" ht="15.75" customHeight="1">
      <c r="A1897" s="22" t="str">
        <f>IF(MOV_CC_INTL!A1897="","",MOV_CC_INTL!A1897)</f>
        <v/>
      </c>
      <c r="B1897" s="22" t="str">
        <f>IF(MOV_CC_INTL!B1897="","",MOV_CC_INTL!B1897)</f>
        <v/>
      </c>
      <c r="C1897" s="22" t="str">
        <f>IF(MOV_CC_INTL!C1897="","",MOV_CC_INTL!C1897)</f>
        <v/>
      </c>
      <c r="D1897" s="22" t="str">
        <f t="shared" si="1"/>
        <v>Other</v>
      </c>
      <c r="E1897" s="21" t="str">
        <f>IF(C1897="","",C1897*CONFIG!B5)</f>
        <v/>
      </c>
    </row>
    <row r="1898" ht="15.75" customHeight="1">
      <c r="A1898" s="22" t="str">
        <f>IF(MOV_CC_INTL!A1898="","",MOV_CC_INTL!A1898)</f>
        <v/>
      </c>
      <c r="B1898" s="22" t="str">
        <f>IF(MOV_CC_INTL!B1898="","",MOV_CC_INTL!B1898)</f>
        <v/>
      </c>
      <c r="C1898" s="22" t="str">
        <f>IF(MOV_CC_INTL!C1898="","",MOV_CC_INTL!C1898)</f>
        <v/>
      </c>
      <c r="D1898" s="22" t="str">
        <f t="shared" si="1"/>
        <v>Other</v>
      </c>
      <c r="E1898" s="21" t="str">
        <f>IF(C1898="","",C1898*CONFIG!B5)</f>
        <v/>
      </c>
    </row>
    <row r="1899" ht="15.75" customHeight="1">
      <c r="A1899" s="22" t="str">
        <f>IF(MOV_CC_INTL!A1899="","",MOV_CC_INTL!A1899)</f>
        <v/>
      </c>
      <c r="B1899" s="22" t="str">
        <f>IF(MOV_CC_INTL!B1899="","",MOV_CC_INTL!B1899)</f>
        <v/>
      </c>
      <c r="C1899" s="22" t="str">
        <f>IF(MOV_CC_INTL!C1899="","",MOV_CC_INTL!C1899)</f>
        <v/>
      </c>
      <c r="D1899" s="22" t="str">
        <f t="shared" si="1"/>
        <v>Other</v>
      </c>
      <c r="E1899" s="21" t="str">
        <f>IF(C1899="","",C1899*CONFIG!B5)</f>
        <v/>
      </c>
    </row>
    <row r="1900" ht="15.75" customHeight="1">
      <c r="A1900" s="22" t="str">
        <f>IF(MOV_CC_INTL!A1900="","",MOV_CC_INTL!A1900)</f>
        <v/>
      </c>
      <c r="B1900" s="22" t="str">
        <f>IF(MOV_CC_INTL!B1900="","",MOV_CC_INTL!B1900)</f>
        <v/>
      </c>
      <c r="C1900" s="22" t="str">
        <f>IF(MOV_CC_INTL!C1900="","",MOV_CC_INTL!C1900)</f>
        <v/>
      </c>
      <c r="D1900" s="22" t="str">
        <f t="shared" si="1"/>
        <v>Other</v>
      </c>
      <c r="E1900" s="21" t="str">
        <f>IF(C1900="","",C1900*CONFIG!B5)</f>
        <v/>
      </c>
    </row>
    <row r="1901" ht="15.75" customHeight="1">
      <c r="A1901" s="22" t="str">
        <f>IF(MOV_CC_INTL!A1901="","",MOV_CC_INTL!A1901)</f>
        <v/>
      </c>
      <c r="B1901" s="22" t="str">
        <f>IF(MOV_CC_INTL!B1901="","",MOV_CC_INTL!B1901)</f>
        <v/>
      </c>
      <c r="C1901" s="22" t="str">
        <f>IF(MOV_CC_INTL!C1901="","",MOV_CC_INTL!C1901)</f>
        <v/>
      </c>
      <c r="D1901" s="22" t="str">
        <f t="shared" si="1"/>
        <v>Other</v>
      </c>
      <c r="E1901" s="21" t="str">
        <f>IF(C1901="","",C1901*CONFIG!B5)</f>
        <v/>
      </c>
    </row>
    <row r="1902" ht="15.75" customHeight="1">
      <c r="A1902" s="22" t="str">
        <f>IF(MOV_CC_INTL!A1902="","",MOV_CC_INTL!A1902)</f>
        <v/>
      </c>
      <c r="B1902" s="22" t="str">
        <f>IF(MOV_CC_INTL!B1902="","",MOV_CC_INTL!B1902)</f>
        <v/>
      </c>
      <c r="C1902" s="22" t="str">
        <f>IF(MOV_CC_INTL!C1902="","",MOV_CC_INTL!C1902)</f>
        <v/>
      </c>
      <c r="D1902" s="22" t="str">
        <f t="shared" si="1"/>
        <v>Other</v>
      </c>
      <c r="E1902" s="21" t="str">
        <f>IF(C1902="","",C1902*CONFIG!B5)</f>
        <v/>
      </c>
    </row>
    <row r="1903" ht="15.75" customHeight="1">
      <c r="A1903" s="22" t="str">
        <f>IF(MOV_CC_INTL!A1903="","",MOV_CC_INTL!A1903)</f>
        <v/>
      </c>
      <c r="B1903" s="22" t="str">
        <f>IF(MOV_CC_INTL!B1903="","",MOV_CC_INTL!B1903)</f>
        <v/>
      </c>
      <c r="C1903" s="22" t="str">
        <f>IF(MOV_CC_INTL!C1903="","",MOV_CC_INTL!C1903)</f>
        <v/>
      </c>
      <c r="D1903" s="22" t="str">
        <f t="shared" si="1"/>
        <v>Other</v>
      </c>
      <c r="E1903" s="21" t="str">
        <f>IF(C1903="","",C1903*CONFIG!B5)</f>
        <v/>
      </c>
    </row>
    <row r="1904" ht="15.75" customHeight="1">
      <c r="A1904" s="22" t="str">
        <f>IF(MOV_CC_INTL!A1904="","",MOV_CC_INTL!A1904)</f>
        <v/>
      </c>
      <c r="B1904" s="22" t="str">
        <f>IF(MOV_CC_INTL!B1904="","",MOV_CC_INTL!B1904)</f>
        <v/>
      </c>
      <c r="C1904" s="22" t="str">
        <f>IF(MOV_CC_INTL!C1904="","",MOV_CC_INTL!C1904)</f>
        <v/>
      </c>
      <c r="D1904" s="22" t="str">
        <f t="shared" si="1"/>
        <v>Other</v>
      </c>
      <c r="E1904" s="21" t="str">
        <f>IF(C1904="","",C1904*CONFIG!B5)</f>
        <v/>
      </c>
    </row>
    <row r="1905" ht="15.75" customHeight="1">
      <c r="A1905" s="22" t="str">
        <f>IF(MOV_CC_INTL!A1905="","",MOV_CC_INTL!A1905)</f>
        <v/>
      </c>
      <c r="B1905" s="22" t="str">
        <f>IF(MOV_CC_INTL!B1905="","",MOV_CC_INTL!B1905)</f>
        <v/>
      </c>
      <c r="C1905" s="22" t="str">
        <f>IF(MOV_CC_INTL!C1905="","",MOV_CC_INTL!C1905)</f>
        <v/>
      </c>
      <c r="D1905" s="22" t="str">
        <f t="shared" si="1"/>
        <v>Other</v>
      </c>
      <c r="E1905" s="21" t="str">
        <f>IF(C1905="","",C1905*CONFIG!B5)</f>
        <v/>
      </c>
    </row>
    <row r="1906" ht="15.75" customHeight="1">
      <c r="A1906" s="22" t="str">
        <f>IF(MOV_CC_INTL!A1906="","",MOV_CC_INTL!A1906)</f>
        <v/>
      </c>
      <c r="B1906" s="22" t="str">
        <f>IF(MOV_CC_INTL!B1906="","",MOV_CC_INTL!B1906)</f>
        <v/>
      </c>
      <c r="C1906" s="22" t="str">
        <f>IF(MOV_CC_INTL!C1906="","",MOV_CC_INTL!C1906)</f>
        <v/>
      </c>
      <c r="D1906" s="22" t="str">
        <f t="shared" si="1"/>
        <v>Other</v>
      </c>
      <c r="E1906" s="21" t="str">
        <f>IF(C1906="","",C1906*CONFIG!B5)</f>
        <v/>
      </c>
    </row>
    <row r="1907" ht="15.75" customHeight="1">
      <c r="A1907" s="22" t="str">
        <f>IF(MOV_CC_INTL!A1907="","",MOV_CC_INTL!A1907)</f>
        <v/>
      </c>
      <c r="B1907" s="22" t="str">
        <f>IF(MOV_CC_INTL!B1907="","",MOV_CC_INTL!B1907)</f>
        <v/>
      </c>
      <c r="C1907" s="22" t="str">
        <f>IF(MOV_CC_INTL!C1907="","",MOV_CC_INTL!C1907)</f>
        <v/>
      </c>
      <c r="D1907" s="22" t="str">
        <f t="shared" si="1"/>
        <v>Other</v>
      </c>
      <c r="E1907" s="21" t="str">
        <f>IF(C1907="","",C1907*CONFIG!B5)</f>
        <v/>
      </c>
    </row>
    <row r="1908" ht="15.75" customHeight="1">
      <c r="A1908" s="22" t="str">
        <f>IF(MOV_CC_INTL!A1908="","",MOV_CC_INTL!A1908)</f>
        <v/>
      </c>
      <c r="B1908" s="22" t="str">
        <f>IF(MOV_CC_INTL!B1908="","",MOV_CC_INTL!B1908)</f>
        <v/>
      </c>
      <c r="C1908" s="22" t="str">
        <f>IF(MOV_CC_INTL!C1908="","",MOV_CC_INTL!C1908)</f>
        <v/>
      </c>
      <c r="D1908" s="22" t="str">
        <f t="shared" si="1"/>
        <v>Other</v>
      </c>
      <c r="E1908" s="21" t="str">
        <f>IF(C1908="","",C1908*CONFIG!B5)</f>
        <v/>
      </c>
    </row>
    <row r="1909" ht="15.75" customHeight="1">
      <c r="A1909" s="22" t="str">
        <f>IF(MOV_CC_INTL!A1909="","",MOV_CC_INTL!A1909)</f>
        <v/>
      </c>
      <c r="B1909" s="22" t="str">
        <f>IF(MOV_CC_INTL!B1909="","",MOV_CC_INTL!B1909)</f>
        <v/>
      </c>
      <c r="C1909" s="22" t="str">
        <f>IF(MOV_CC_INTL!C1909="","",MOV_CC_INTL!C1909)</f>
        <v/>
      </c>
      <c r="D1909" s="22" t="str">
        <f t="shared" si="1"/>
        <v>Other</v>
      </c>
      <c r="E1909" s="21" t="str">
        <f>IF(C1909="","",C1909*CONFIG!B5)</f>
        <v/>
      </c>
    </row>
    <row r="1910" ht="15.75" customHeight="1">
      <c r="A1910" s="22" t="str">
        <f>IF(MOV_CC_INTL!A1910="","",MOV_CC_INTL!A1910)</f>
        <v/>
      </c>
      <c r="B1910" s="22" t="str">
        <f>IF(MOV_CC_INTL!B1910="","",MOV_CC_INTL!B1910)</f>
        <v/>
      </c>
      <c r="C1910" s="22" t="str">
        <f>IF(MOV_CC_INTL!C1910="","",MOV_CC_INTL!C1910)</f>
        <v/>
      </c>
      <c r="D1910" s="22" t="str">
        <f t="shared" si="1"/>
        <v>Other</v>
      </c>
      <c r="E1910" s="21" t="str">
        <f>IF(C1910="","",C1910*CONFIG!B5)</f>
        <v/>
      </c>
    </row>
    <row r="1911" ht="15.75" customHeight="1">
      <c r="A1911" s="22" t="str">
        <f>IF(MOV_CC_INTL!A1911="","",MOV_CC_INTL!A1911)</f>
        <v/>
      </c>
      <c r="B1911" s="22" t="str">
        <f>IF(MOV_CC_INTL!B1911="","",MOV_CC_INTL!B1911)</f>
        <v/>
      </c>
      <c r="C1911" s="22" t="str">
        <f>IF(MOV_CC_INTL!C1911="","",MOV_CC_INTL!C1911)</f>
        <v/>
      </c>
      <c r="D1911" s="22" t="str">
        <f t="shared" si="1"/>
        <v>Other</v>
      </c>
      <c r="E1911" s="21" t="str">
        <f>IF(C1911="","",C1911*CONFIG!B5)</f>
        <v/>
      </c>
    </row>
    <row r="1912" ht="15.75" customHeight="1">
      <c r="A1912" s="22" t="str">
        <f>IF(MOV_CC_INTL!A1912="","",MOV_CC_INTL!A1912)</f>
        <v/>
      </c>
      <c r="B1912" s="22" t="str">
        <f>IF(MOV_CC_INTL!B1912="","",MOV_CC_INTL!B1912)</f>
        <v/>
      </c>
      <c r="C1912" s="22" t="str">
        <f>IF(MOV_CC_INTL!C1912="","",MOV_CC_INTL!C1912)</f>
        <v/>
      </c>
      <c r="D1912" s="22" t="str">
        <f t="shared" si="1"/>
        <v>Other</v>
      </c>
      <c r="E1912" s="21" t="str">
        <f>IF(C1912="","",C1912*CONFIG!B5)</f>
        <v/>
      </c>
    </row>
    <row r="1913" ht="15.75" customHeight="1">
      <c r="A1913" s="22" t="str">
        <f>IF(MOV_CC_INTL!A1913="","",MOV_CC_INTL!A1913)</f>
        <v/>
      </c>
      <c r="B1913" s="22" t="str">
        <f>IF(MOV_CC_INTL!B1913="","",MOV_CC_INTL!B1913)</f>
        <v/>
      </c>
      <c r="C1913" s="22" t="str">
        <f>IF(MOV_CC_INTL!C1913="","",MOV_CC_INTL!C1913)</f>
        <v/>
      </c>
      <c r="D1913" s="22" t="str">
        <f t="shared" si="1"/>
        <v>Other</v>
      </c>
      <c r="E1913" s="21" t="str">
        <f>IF(C1913="","",C1913*CONFIG!B5)</f>
        <v/>
      </c>
    </row>
    <row r="1914" ht="15.75" customHeight="1">
      <c r="A1914" s="22" t="str">
        <f>IF(MOV_CC_INTL!A1914="","",MOV_CC_INTL!A1914)</f>
        <v/>
      </c>
      <c r="B1914" s="22" t="str">
        <f>IF(MOV_CC_INTL!B1914="","",MOV_CC_INTL!B1914)</f>
        <v/>
      </c>
      <c r="C1914" s="22" t="str">
        <f>IF(MOV_CC_INTL!C1914="","",MOV_CC_INTL!C1914)</f>
        <v/>
      </c>
      <c r="D1914" s="22" t="str">
        <f t="shared" si="1"/>
        <v>Other</v>
      </c>
      <c r="E1914" s="21" t="str">
        <f>IF(C1914="","",C1914*CONFIG!B5)</f>
        <v/>
      </c>
    </row>
    <row r="1915" ht="15.75" customHeight="1">
      <c r="A1915" s="22" t="str">
        <f>IF(MOV_CC_INTL!A1915="","",MOV_CC_INTL!A1915)</f>
        <v/>
      </c>
      <c r="B1915" s="22" t="str">
        <f>IF(MOV_CC_INTL!B1915="","",MOV_CC_INTL!B1915)</f>
        <v/>
      </c>
      <c r="C1915" s="22" t="str">
        <f>IF(MOV_CC_INTL!C1915="","",MOV_CC_INTL!C1915)</f>
        <v/>
      </c>
      <c r="D1915" s="22" t="str">
        <f t="shared" si="1"/>
        <v>Other</v>
      </c>
      <c r="E1915" s="21" t="str">
        <f>IF(C1915="","",C1915*CONFIG!B5)</f>
        <v/>
      </c>
    </row>
    <row r="1916" ht="15.75" customHeight="1">
      <c r="A1916" s="22" t="str">
        <f>IF(MOV_CC_INTL!A1916="","",MOV_CC_INTL!A1916)</f>
        <v/>
      </c>
      <c r="B1916" s="22" t="str">
        <f>IF(MOV_CC_INTL!B1916="","",MOV_CC_INTL!B1916)</f>
        <v/>
      </c>
      <c r="C1916" s="22" t="str">
        <f>IF(MOV_CC_INTL!C1916="","",MOV_CC_INTL!C1916)</f>
        <v/>
      </c>
      <c r="D1916" s="22" t="str">
        <f t="shared" si="1"/>
        <v>Other</v>
      </c>
      <c r="E1916" s="21" t="str">
        <f>IF(C1916="","",C1916*CONFIG!B5)</f>
        <v/>
      </c>
    </row>
    <row r="1917" ht="15.75" customHeight="1">
      <c r="A1917" s="22" t="str">
        <f>IF(MOV_CC_INTL!A1917="","",MOV_CC_INTL!A1917)</f>
        <v/>
      </c>
      <c r="B1917" s="22" t="str">
        <f>IF(MOV_CC_INTL!B1917="","",MOV_CC_INTL!B1917)</f>
        <v/>
      </c>
      <c r="C1917" s="22" t="str">
        <f>IF(MOV_CC_INTL!C1917="","",MOV_CC_INTL!C1917)</f>
        <v/>
      </c>
      <c r="D1917" s="22" t="str">
        <f t="shared" si="1"/>
        <v>Other</v>
      </c>
      <c r="E1917" s="21" t="str">
        <f>IF(C1917="","",C1917*CONFIG!B5)</f>
        <v/>
      </c>
    </row>
    <row r="1918" ht="15.75" customHeight="1">
      <c r="A1918" s="22" t="str">
        <f>IF(MOV_CC_INTL!A1918="","",MOV_CC_INTL!A1918)</f>
        <v/>
      </c>
      <c r="B1918" s="22" t="str">
        <f>IF(MOV_CC_INTL!B1918="","",MOV_CC_INTL!B1918)</f>
        <v/>
      </c>
      <c r="C1918" s="22" t="str">
        <f>IF(MOV_CC_INTL!C1918="","",MOV_CC_INTL!C1918)</f>
        <v/>
      </c>
      <c r="D1918" s="22" t="str">
        <f t="shared" si="1"/>
        <v>Other</v>
      </c>
      <c r="E1918" s="21" t="str">
        <f>IF(C1918="","",C1918*CONFIG!B5)</f>
        <v/>
      </c>
    </row>
    <row r="1919" ht="15.75" customHeight="1">
      <c r="A1919" s="22" t="str">
        <f>IF(MOV_CC_INTL!A1919="","",MOV_CC_INTL!A1919)</f>
        <v/>
      </c>
      <c r="B1919" s="22" t="str">
        <f>IF(MOV_CC_INTL!B1919="","",MOV_CC_INTL!B1919)</f>
        <v/>
      </c>
      <c r="C1919" s="22" t="str">
        <f>IF(MOV_CC_INTL!C1919="","",MOV_CC_INTL!C1919)</f>
        <v/>
      </c>
      <c r="D1919" s="22" t="str">
        <f t="shared" si="1"/>
        <v>Other</v>
      </c>
      <c r="E1919" s="21" t="str">
        <f>IF(C1919="","",C1919*CONFIG!B5)</f>
        <v/>
      </c>
    </row>
    <row r="1920" ht="15.75" customHeight="1">
      <c r="A1920" s="22" t="str">
        <f>IF(MOV_CC_INTL!A1920="","",MOV_CC_INTL!A1920)</f>
        <v/>
      </c>
      <c r="B1920" s="22" t="str">
        <f>IF(MOV_CC_INTL!B1920="","",MOV_CC_INTL!B1920)</f>
        <v/>
      </c>
      <c r="C1920" s="22" t="str">
        <f>IF(MOV_CC_INTL!C1920="","",MOV_CC_INTL!C1920)</f>
        <v/>
      </c>
      <c r="D1920" s="22" t="str">
        <f t="shared" si="1"/>
        <v>Other</v>
      </c>
      <c r="E1920" s="21" t="str">
        <f>IF(C1920="","",C1920*CONFIG!B5)</f>
        <v/>
      </c>
    </row>
    <row r="1921" ht="15.75" customHeight="1">
      <c r="A1921" s="22" t="str">
        <f>IF(MOV_CC_INTL!A1921="","",MOV_CC_INTL!A1921)</f>
        <v/>
      </c>
      <c r="B1921" s="22" t="str">
        <f>IF(MOV_CC_INTL!B1921="","",MOV_CC_INTL!B1921)</f>
        <v/>
      </c>
      <c r="C1921" s="22" t="str">
        <f>IF(MOV_CC_INTL!C1921="","",MOV_CC_INTL!C1921)</f>
        <v/>
      </c>
      <c r="D1921" s="22" t="str">
        <f t="shared" si="1"/>
        <v>Other</v>
      </c>
      <c r="E1921" s="21" t="str">
        <f>IF(C1921="","",C1921*CONFIG!B5)</f>
        <v/>
      </c>
    </row>
    <row r="1922" ht="15.75" customHeight="1">
      <c r="A1922" s="22" t="str">
        <f>IF(MOV_CC_INTL!A1922="","",MOV_CC_INTL!A1922)</f>
        <v/>
      </c>
      <c r="B1922" s="22" t="str">
        <f>IF(MOV_CC_INTL!B1922="","",MOV_CC_INTL!B1922)</f>
        <v/>
      </c>
      <c r="C1922" s="22" t="str">
        <f>IF(MOV_CC_INTL!C1922="","",MOV_CC_INTL!C1922)</f>
        <v/>
      </c>
      <c r="D1922" s="22" t="str">
        <f t="shared" si="1"/>
        <v>Other</v>
      </c>
      <c r="E1922" s="21" t="str">
        <f>IF(C1922="","",C1922*CONFIG!B5)</f>
        <v/>
      </c>
    </row>
    <row r="1923" ht="15.75" customHeight="1">
      <c r="A1923" s="22" t="str">
        <f>IF(MOV_CC_INTL!A1923="","",MOV_CC_INTL!A1923)</f>
        <v/>
      </c>
      <c r="B1923" s="22" t="str">
        <f>IF(MOV_CC_INTL!B1923="","",MOV_CC_INTL!B1923)</f>
        <v/>
      </c>
      <c r="C1923" s="22" t="str">
        <f>IF(MOV_CC_INTL!C1923="","",MOV_CC_INTL!C1923)</f>
        <v/>
      </c>
      <c r="D1923" s="22" t="str">
        <f t="shared" si="1"/>
        <v>Other</v>
      </c>
      <c r="E1923" s="21" t="str">
        <f>IF(C1923="","",C1923*CONFIG!B5)</f>
        <v/>
      </c>
    </row>
    <row r="1924" ht="15.75" customHeight="1">
      <c r="A1924" s="22" t="str">
        <f>IF(MOV_CC_INTL!A1924="","",MOV_CC_INTL!A1924)</f>
        <v/>
      </c>
      <c r="B1924" s="22" t="str">
        <f>IF(MOV_CC_INTL!B1924="","",MOV_CC_INTL!B1924)</f>
        <v/>
      </c>
      <c r="C1924" s="22" t="str">
        <f>IF(MOV_CC_INTL!C1924="","",MOV_CC_INTL!C1924)</f>
        <v/>
      </c>
      <c r="D1924" s="22" t="str">
        <f t="shared" si="1"/>
        <v>Other</v>
      </c>
      <c r="E1924" s="21" t="str">
        <f>IF(C1924="","",C1924*CONFIG!B5)</f>
        <v/>
      </c>
    </row>
    <row r="1925" ht="15.75" customHeight="1">
      <c r="A1925" s="22" t="str">
        <f>IF(MOV_CC_INTL!A1925="","",MOV_CC_INTL!A1925)</f>
        <v/>
      </c>
      <c r="B1925" s="22" t="str">
        <f>IF(MOV_CC_INTL!B1925="","",MOV_CC_INTL!B1925)</f>
        <v/>
      </c>
      <c r="C1925" s="22" t="str">
        <f>IF(MOV_CC_INTL!C1925="","",MOV_CC_INTL!C1925)</f>
        <v/>
      </c>
      <c r="D1925" s="22" t="str">
        <f t="shared" si="1"/>
        <v>Other</v>
      </c>
      <c r="E1925" s="21" t="str">
        <f>IF(C1925="","",C1925*CONFIG!B5)</f>
        <v/>
      </c>
    </row>
    <row r="1926" ht="15.75" customHeight="1">
      <c r="A1926" s="22" t="str">
        <f>IF(MOV_CC_INTL!A1926="","",MOV_CC_INTL!A1926)</f>
        <v/>
      </c>
      <c r="B1926" s="22" t="str">
        <f>IF(MOV_CC_INTL!B1926="","",MOV_CC_INTL!B1926)</f>
        <v/>
      </c>
      <c r="C1926" s="22" t="str">
        <f>IF(MOV_CC_INTL!C1926="","",MOV_CC_INTL!C1926)</f>
        <v/>
      </c>
      <c r="D1926" s="22" t="str">
        <f t="shared" si="1"/>
        <v>Other</v>
      </c>
      <c r="E1926" s="21" t="str">
        <f>IF(C1926="","",C1926*CONFIG!B5)</f>
        <v/>
      </c>
    </row>
    <row r="1927" ht="15.75" customHeight="1">
      <c r="A1927" s="22" t="str">
        <f>IF(MOV_CC_INTL!A1927="","",MOV_CC_INTL!A1927)</f>
        <v/>
      </c>
      <c r="B1927" s="22" t="str">
        <f>IF(MOV_CC_INTL!B1927="","",MOV_CC_INTL!B1927)</f>
        <v/>
      </c>
      <c r="C1927" s="22" t="str">
        <f>IF(MOV_CC_INTL!C1927="","",MOV_CC_INTL!C1927)</f>
        <v/>
      </c>
      <c r="D1927" s="22" t="str">
        <f t="shared" si="1"/>
        <v>Other</v>
      </c>
      <c r="E1927" s="21" t="str">
        <f>IF(C1927="","",C1927*CONFIG!B5)</f>
        <v/>
      </c>
    </row>
    <row r="1928" ht="15.75" customHeight="1">
      <c r="A1928" s="22" t="str">
        <f>IF(MOV_CC_INTL!A1928="","",MOV_CC_INTL!A1928)</f>
        <v/>
      </c>
      <c r="B1928" s="22" t="str">
        <f>IF(MOV_CC_INTL!B1928="","",MOV_CC_INTL!B1928)</f>
        <v/>
      </c>
      <c r="C1928" s="22" t="str">
        <f>IF(MOV_CC_INTL!C1928="","",MOV_CC_INTL!C1928)</f>
        <v/>
      </c>
      <c r="D1928" s="22" t="str">
        <f t="shared" si="1"/>
        <v>Other</v>
      </c>
      <c r="E1928" s="21" t="str">
        <f>IF(C1928="","",C1928*CONFIG!B5)</f>
        <v/>
      </c>
    </row>
    <row r="1929" ht="15.75" customHeight="1">
      <c r="A1929" s="22" t="str">
        <f>IF(MOV_CC_INTL!A1929="","",MOV_CC_INTL!A1929)</f>
        <v/>
      </c>
      <c r="B1929" s="22" t="str">
        <f>IF(MOV_CC_INTL!B1929="","",MOV_CC_INTL!B1929)</f>
        <v/>
      </c>
      <c r="C1929" s="22" t="str">
        <f>IF(MOV_CC_INTL!C1929="","",MOV_CC_INTL!C1929)</f>
        <v/>
      </c>
      <c r="D1929" s="22" t="str">
        <f t="shared" si="1"/>
        <v>Other</v>
      </c>
      <c r="E1929" s="21" t="str">
        <f>IF(C1929="","",C1929*CONFIG!B5)</f>
        <v/>
      </c>
    </row>
    <row r="1930" ht="15.75" customHeight="1">
      <c r="A1930" s="22" t="str">
        <f>IF(MOV_CC_INTL!A1930="","",MOV_CC_INTL!A1930)</f>
        <v/>
      </c>
      <c r="B1930" s="22" t="str">
        <f>IF(MOV_CC_INTL!B1930="","",MOV_CC_INTL!B1930)</f>
        <v/>
      </c>
      <c r="C1930" s="22" t="str">
        <f>IF(MOV_CC_INTL!C1930="","",MOV_CC_INTL!C1930)</f>
        <v/>
      </c>
      <c r="D1930" s="22" t="str">
        <f t="shared" si="1"/>
        <v>Other</v>
      </c>
      <c r="E1930" s="21" t="str">
        <f>IF(C1930="","",C1930*CONFIG!B5)</f>
        <v/>
      </c>
    </row>
    <row r="1931" ht="15.75" customHeight="1">
      <c r="A1931" s="22" t="str">
        <f>IF(MOV_CC_INTL!A1931="","",MOV_CC_INTL!A1931)</f>
        <v/>
      </c>
      <c r="B1931" s="22" t="str">
        <f>IF(MOV_CC_INTL!B1931="","",MOV_CC_INTL!B1931)</f>
        <v/>
      </c>
      <c r="C1931" s="22" t="str">
        <f>IF(MOV_CC_INTL!C1931="","",MOV_CC_INTL!C1931)</f>
        <v/>
      </c>
      <c r="D1931" s="22" t="str">
        <f t="shared" si="1"/>
        <v>Other</v>
      </c>
      <c r="E1931" s="21" t="str">
        <f>IF(C1931="","",C1931*CONFIG!B5)</f>
        <v/>
      </c>
    </row>
    <row r="1932" ht="15.75" customHeight="1">
      <c r="A1932" s="22" t="str">
        <f>IF(MOV_CC_INTL!A1932="","",MOV_CC_INTL!A1932)</f>
        <v/>
      </c>
      <c r="B1932" s="22" t="str">
        <f>IF(MOV_CC_INTL!B1932="","",MOV_CC_INTL!B1932)</f>
        <v/>
      </c>
      <c r="C1932" s="22" t="str">
        <f>IF(MOV_CC_INTL!C1932="","",MOV_CC_INTL!C1932)</f>
        <v/>
      </c>
      <c r="D1932" s="22" t="str">
        <f t="shared" si="1"/>
        <v>Other</v>
      </c>
      <c r="E1932" s="21" t="str">
        <f>IF(C1932="","",C1932*CONFIG!B5)</f>
        <v/>
      </c>
    </row>
    <row r="1933" ht="15.75" customHeight="1">
      <c r="A1933" s="22" t="str">
        <f>IF(MOV_CC_INTL!A1933="","",MOV_CC_INTL!A1933)</f>
        <v/>
      </c>
      <c r="B1933" s="22" t="str">
        <f>IF(MOV_CC_INTL!B1933="","",MOV_CC_INTL!B1933)</f>
        <v/>
      </c>
      <c r="C1933" s="22" t="str">
        <f>IF(MOV_CC_INTL!C1933="","",MOV_CC_INTL!C1933)</f>
        <v/>
      </c>
      <c r="D1933" s="22" t="str">
        <f t="shared" si="1"/>
        <v>Other</v>
      </c>
      <c r="E1933" s="21" t="str">
        <f>IF(C1933="","",C1933*CONFIG!B5)</f>
        <v/>
      </c>
    </row>
    <row r="1934" ht="15.75" customHeight="1">
      <c r="A1934" s="22" t="str">
        <f>IF(MOV_CC_INTL!A1934="","",MOV_CC_INTL!A1934)</f>
        <v/>
      </c>
      <c r="B1934" s="22" t="str">
        <f>IF(MOV_CC_INTL!B1934="","",MOV_CC_INTL!B1934)</f>
        <v/>
      </c>
      <c r="C1934" s="22" t="str">
        <f>IF(MOV_CC_INTL!C1934="","",MOV_CC_INTL!C1934)</f>
        <v/>
      </c>
      <c r="D1934" s="22" t="str">
        <f t="shared" si="1"/>
        <v>Other</v>
      </c>
      <c r="E1934" s="21" t="str">
        <f>IF(C1934="","",C1934*CONFIG!B5)</f>
        <v/>
      </c>
    </row>
    <row r="1935" ht="15.75" customHeight="1">
      <c r="A1935" s="22" t="str">
        <f>IF(MOV_CC_INTL!A1935="","",MOV_CC_INTL!A1935)</f>
        <v/>
      </c>
      <c r="B1935" s="22" t="str">
        <f>IF(MOV_CC_INTL!B1935="","",MOV_CC_INTL!B1935)</f>
        <v/>
      </c>
      <c r="C1935" s="22" t="str">
        <f>IF(MOV_CC_INTL!C1935="","",MOV_CC_INTL!C1935)</f>
        <v/>
      </c>
      <c r="D1935" s="22" t="str">
        <f t="shared" si="1"/>
        <v>Other</v>
      </c>
      <c r="E1935" s="21" t="str">
        <f>IF(C1935="","",C1935*CONFIG!B5)</f>
        <v/>
      </c>
    </row>
    <row r="1936" ht="15.75" customHeight="1">
      <c r="A1936" s="22" t="str">
        <f>IF(MOV_CC_INTL!A1936="","",MOV_CC_INTL!A1936)</f>
        <v/>
      </c>
      <c r="B1936" s="22" t="str">
        <f>IF(MOV_CC_INTL!B1936="","",MOV_CC_INTL!B1936)</f>
        <v/>
      </c>
      <c r="C1936" s="22" t="str">
        <f>IF(MOV_CC_INTL!C1936="","",MOV_CC_INTL!C1936)</f>
        <v/>
      </c>
      <c r="D1936" s="22" t="str">
        <f t="shared" si="1"/>
        <v>Other</v>
      </c>
      <c r="E1936" s="21" t="str">
        <f>IF(C1936="","",C1936*CONFIG!B5)</f>
        <v/>
      </c>
    </row>
    <row r="1937" ht="15.75" customHeight="1">
      <c r="A1937" s="22" t="str">
        <f>IF(MOV_CC_INTL!A1937="","",MOV_CC_INTL!A1937)</f>
        <v/>
      </c>
      <c r="B1937" s="22" t="str">
        <f>IF(MOV_CC_INTL!B1937="","",MOV_CC_INTL!B1937)</f>
        <v/>
      </c>
      <c r="C1937" s="22" t="str">
        <f>IF(MOV_CC_INTL!C1937="","",MOV_CC_INTL!C1937)</f>
        <v/>
      </c>
      <c r="D1937" s="22" t="str">
        <f t="shared" si="1"/>
        <v>Other</v>
      </c>
      <c r="E1937" s="21" t="str">
        <f>IF(C1937="","",C1937*CONFIG!B5)</f>
        <v/>
      </c>
    </row>
    <row r="1938" ht="15.75" customHeight="1">
      <c r="A1938" s="22" t="str">
        <f>IF(MOV_CC_INTL!A1938="","",MOV_CC_INTL!A1938)</f>
        <v/>
      </c>
      <c r="B1938" s="22" t="str">
        <f>IF(MOV_CC_INTL!B1938="","",MOV_CC_INTL!B1938)</f>
        <v/>
      </c>
      <c r="C1938" s="22" t="str">
        <f>IF(MOV_CC_INTL!C1938="","",MOV_CC_INTL!C1938)</f>
        <v/>
      </c>
      <c r="D1938" s="22" t="str">
        <f t="shared" si="1"/>
        <v>Other</v>
      </c>
      <c r="E1938" s="21" t="str">
        <f>IF(C1938="","",C1938*CONFIG!B5)</f>
        <v/>
      </c>
    </row>
    <row r="1939" ht="15.75" customHeight="1">
      <c r="A1939" s="22" t="str">
        <f>IF(MOV_CC_INTL!A1939="","",MOV_CC_INTL!A1939)</f>
        <v/>
      </c>
      <c r="B1939" s="22" t="str">
        <f>IF(MOV_CC_INTL!B1939="","",MOV_CC_INTL!B1939)</f>
        <v/>
      </c>
      <c r="C1939" s="22" t="str">
        <f>IF(MOV_CC_INTL!C1939="","",MOV_CC_INTL!C1939)</f>
        <v/>
      </c>
      <c r="D1939" s="22" t="str">
        <f t="shared" si="1"/>
        <v>Other</v>
      </c>
      <c r="E1939" s="21" t="str">
        <f>IF(C1939="","",C1939*CONFIG!B5)</f>
        <v/>
      </c>
    </row>
    <row r="1940" ht="15.75" customHeight="1">
      <c r="A1940" s="22" t="str">
        <f>IF(MOV_CC_INTL!A1940="","",MOV_CC_INTL!A1940)</f>
        <v/>
      </c>
      <c r="B1940" s="22" t="str">
        <f>IF(MOV_CC_INTL!B1940="","",MOV_CC_INTL!B1940)</f>
        <v/>
      </c>
      <c r="C1940" s="22" t="str">
        <f>IF(MOV_CC_INTL!C1940="","",MOV_CC_INTL!C1940)</f>
        <v/>
      </c>
      <c r="D1940" s="22" t="str">
        <f t="shared" si="1"/>
        <v>Other</v>
      </c>
      <c r="E1940" s="21" t="str">
        <f>IF(C1940="","",C1940*CONFIG!B5)</f>
        <v/>
      </c>
    </row>
    <row r="1941" ht="15.75" customHeight="1">
      <c r="A1941" s="22" t="str">
        <f>IF(MOV_CC_INTL!A1941="","",MOV_CC_INTL!A1941)</f>
        <v/>
      </c>
      <c r="B1941" s="22" t="str">
        <f>IF(MOV_CC_INTL!B1941="","",MOV_CC_INTL!B1941)</f>
        <v/>
      </c>
      <c r="C1941" s="22" t="str">
        <f>IF(MOV_CC_INTL!C1941="","",MOV_CC_INTL!C1941)</f>
        <v/>
      </c>
      <c r="D1941" s="22" t="str">
        <f t="shared" si="1"/>
        <v>Other</v>
      </c>
      <c r="E1941" s="21" t="str">
        <f>IF(C1941="","",C1941*CONFIG!B5)</f>
        <v/>
      </c>
    </row>
    <row r="1942" ht="15.75" customHeight="1">
      <c r="A1942" s="22" t="str">
        <f>IF(MOV_CC_INTL!A1942="","",MOV_CC_INTL!A1942)</f>
        <v/>
      </c>
      <c r="B1942" s="22" t="str">
        <f>IF(MOV_CC_INTL!B1942="","",MOV_CC_INTL!B1942)</f>
        <v/>
      </c>
      <c r="C1942" s="22" t="str">
        <f>IF(MOV_CC_INTL!C1942="","",MOV_CC_INTL!C1942)</f>
        <v/>
      </c>
      <c r="D1942" s="22" t="str">
        <f t="shared" si="1"/>
        <v>Other</v>
      </c>
      <c r="E1942" s="21" t="str">
        <f>IF(C1942="","",C1942*CONFIG!B5)</f>
        <v/>
      </c>
    </row>
    <row r="1943" ht="15.75" customHeight="1">
      <c r="A1943" s="22" t="str">
        <f>IF(MOV_CC_INTL!A1943="","",MOV_CC_INTL!A1943)</f>
        <v/>
      </c>
      <c r="B1943" s="22" t="str">
        <f>IF(MOV_CC_INTL!B1943="","",MOV_CC_INTL!B1943)</f>
        <v/>
      </c>
      <c r="C1943" s="22" t="str">
        <f>IF(MOV_CC_INTL!C1943="","",MOV_CC_INTL!C1943)</f>
        <v/>
      </c>
      <c r="D1943" s="22" t="str">
        <f t="shared" si="1"/>
        <v>Other</v>
      </c>
      <c r="E1943" s="21" t="str">
        <f>IF(C1943="","",C1943*CONFIG!B5)</f>
        <v/>
      </c>
    </row>
    <row r="1944" ht="15.75" customHeight="1">
      <c r="A1944" s="22" t="str">
        <f>IF(MOV_CC_INTL!A1944="","",MOV_CC_INTL!A1944)</f>
        <v/>
      </c>
      <c r="B1944" s="22" t="str">
        <f>IF(MOV_CC_INTL!B1944="","",MOV_CC_INTL!B1944)</f>
        <v/>
      </c>
      <c r="C1944" s="22" t="str">
        <f>IF(MOV_CC_INTL!C1944="","",MOV_CC_INTL!C1944)</f>
        <v/>
      </c>
      <c r="D1944" s="22" t="str">
        <f t="shared" si="1"/>
        <v>Other</v>
      </c>
      <c r="E1944" s="21" t="str">
        <f>IF(C1944="","",C1944*CONFIG!B5)</f>
        <v/>
      </c>
    </row>
    <row r="1945" ht="15.75" customHeight="1">
      <c r="A1945" s="22" t="str">
        <f>IF(MOV_CC_INTL!A1945="","",MOV_CC_INTL!A1945)</f>
        <v/>
      </c>
      <c r="B1945" s="22" t="str">
        <f>IF(MOV_CC_INTL!B1945="","",MOV_CC_INTL!B1945)</f>
        <v/>
      </c>
      <c r="C1945" s="22" t="str">
        <f>IF(MOV_CC_INTL!C1945="","",MOV_CC_INTL!C1945)</f>
        <v/>
      </c>
      <c r="D1945" s="22" t="str">
        <f t="shared" si="1"/>
        <v>Other</v>
      </c>
      <c r="E1945" s="21" t="str">
        <f>IF(C1945="","",C1945*CONFIG!B5)</f>
        <v/>
      </c>
    </row>
    <row r="1946" ht="15.75" customHeight="1">
      <c r="A1946" s="22" t="str">
        <f>IF(MOV_CC_INTL!A1946="","",MOV_CC_INTL!A1946)</f>
        <v/>
      </c>
      <c r="B1946" s="22" t="str">
        <f>IF(MOV_CC_INTL!B1946="","",MOV_CC_INTL!B1946)</f>
        <v/>
      </c>
      <c r="C1946" s="22" t="str">
        <f>IF(MOV_CC_INTL!C1946="","",MOV_CC_INTL!C1946)</f>
        <v/>
      </c>
      <c r="D1946" s="22" t="str">
        <f t="shared" si="1"/>
        <v>Other</v>
      </c>
      <c r="E1946" s="21" t="str">
        <f>IF(C1946="","",C1946*CONFIG!B5)</f>
        <v/>
      </c>
    </row>
    <row r="1947" ht="15.75" customHeight="1">
      <c r="A1947" s="22" t="str">
        <f>IF(MOV_CC_INTL!A1947="","",MOV_CC_INTL!A1947)</f>
        <v/>
      </c>
      <c r="B1947" s="22" t="str">
        <f>IF(MOV_CC_INTL!B1947="","",MOV_CC_INTL!B1947)</f>
        <v/>
      </c>
      <c r="C1947" s="22" t="str">
        <f>IF(MOV_CC_INTL!C1947="","",MOV_CC_INTL!C1947)</f>
        <v/>
      </c>
      <c r="D1947" s="22" t="str">
        <f t="shared" si="1"/>
        <v>Other</v>
      </c>
      <c r="E1947" s="21" t="str">
        <f>IF(C1947="","",C1947*CONFIG!B5)</f>
        <v/>
      </c>
    </row>
    <row r="1948" ht="15.75" customHeight="1">
      <c r="A1948" s="22" t="str">
        <f>IF(MOV_CC_INTL!A1948="","",MOV_CC_INTL!A1948)</f>
        <v/>
      </c>
      <c r="B1948" s="22" t="str">
        <f>IF(MOV_CC_INTL!B1948="","",MOV_CC_INTL!B1948)</f>
        <v/>
      </c>
      <c r="C1948" s="22" t="str">
        <f>IF(MOV_CC_INTL!C1948="","",MOV_CC_INTL!C1948)</f>
        <v/>
      </c>
      <c r="D1948" s="22" t="str">
        <f t="shared" si="1"/>
        <v>Other</v>
      </c>
      <c r="E1948" s="21" t="str">
        <f>IF(C1948="","",C1948*CONFIG!B5)</f>
        <v/>
      </c>
    </row>
    <row r="1949" ht="15.75" customHeight="1">
      <c r="A1949" s="22" t="str">
        <f>IF(MOV_CC_INTL!A1949="","",MOV_CC_INTL!A1949)</f>
        <v/>
      </c>
      <c r="B1949" s="22" t="str">
        <f>IF(MOV_CC_INTL!B1949="","",MOV_CC_INTL!B1949)</f>
        <v/>
      </c>
      <c r="C1949" s="22" t="str">
        <f>IF(MOV_CC_INTL!C1949="","",MOV_CC_INTL!C1949)</f>
        <v/>
      </c>
      <c r="D1949" s="22" t="str">
        <f t="shared" si="1"/>
        <v>Other</v>
      </c>
      <c r="E1949" s="21" t="str">
        <f>IF(C1949="","",C1949*CONFIG!B5)</f>
        <v/>
      </c>
    </row>
    <row r="1950" ht="15.75" customHeight="1">
      <c r="A1950" s="22" t="str">
        <f>IF(MOV_CC_INTL!A1950="","",MOV_CC_INTL!A1950)</f>
        <v/>
      </c>
      <c r="B1950" s="22" t="str">
        <f>IF(MOV_CC_INTL!B1950="","",MOV_CC_INTL!B1950)</f>
        <v/>
      </c>
      <c r="C1950" s="22" t="str">
        <f>IF(MOV_CC_INTL!C1950="","",MOV_CC_INTL!C1950)</f>
        <v/>
      </c>
      <c r="D1950" s="22" t="str">
        <f t="shared" si="1"/>
        <v>Other</v>
      </c>
      <c r="E1950" s="21" t="str">
        <f>IF(C1950="","",C1950*CONFIG!B5)</f>
        <v/>
      </c>
    </row>
    <row r="1951" ht="15.75" customHeight="1">
      <c r="A1951" s="22" t="str">
        <f>IF(MOV_CC_INTL!A1951="","",MOV_CC_INTL!A1951)</f>
        <v/>
      </c>
      <c r="B1951" s="22" t="str">
        <f>IF(MOV_CC_INTL!B1951="","",MOV_CC_INTL!B1951)</f>
        <v/>
      </c>
      <c r="C1951" s="22" t="str">
        <f>IF(MOV_CC_INTL!C1951="","",MOV_CC_INTL!C1951)</f>
        <v/>
      </c>
      <c r="D1951" s="22" t="str">
        <f t="shared" si="1"/>
        <v>Other</v>
      </c>
      <c r="E1951" s="21" t="str">
        <f>IF(C1951="","",C1951*CONFIG!B5)</f>
        <v/>
      </c>
    </row>
    <row r="1952" ht="15.75" customHeight="1">
      <c r="A1952" s="22" t="str">
        <f>IF(MOV_CC_INTL!A1952="","",MOV_CC_INTL!A1952)</f>
        <v/>
      </c>
      <c r="B1952" s="22" t="str">
        <f>IF(MOV_CC_INTL!B1952="","",MOV_CC_INTL!B1952)</f>
        <v/>
      </c>
      <c r="C1952" s="22" t="str">
        <f>IF(MOV_CC_INTL!C1952="","",MOV_CC_INTL!C1952)</f>
        <v/>
      </c>
      <c r="D1952" s="22" t="str">
        <f t="shared" si="1"/>
        <v>Other</v>
      </c>
      <c r="E1952" s="21" t="str">
        <f>IF(C1952="","",C1952*CONFIG!B5)</f>
        <v/>
      </c>
    </row>
    <row r="1953" ht="15.75" customHeight="1">
      <c r="A1953" s="22" t="str">
        <f>IF(MOV_CC_INTL!A1953="","",MOV_CC_INTL!A1953)</f>
        <v/>
      </c>
      <c r="B1953" s="22" t="str">
        <f>IF(MOV_CC_INTL!B1953="","",MOV_CC_INTL!B1953)</f>
        <v/>
      </c>
      <c r="C1953" s="22" t="str">
        <f>IF(MOV_CC_INTL!C1953="","",MOV_CC_INTL!C1953)</f>
        <v/>
      </c>
      <c r="D1953" s="22" t="str">
        <f t="shared" si="1"/>
        <v>Other</v>
      </c>
      <c r="E1953" s="21" t="str">
        <f>IF(C1953="","",C1953*CONFIG!B5)</f>
        <v/>
      </c>
    </row>
    <row r="1954" ht="15.75" customHeight="1">
      <c r="A1954" s="22" t="str">
        <f>IF(MOV_CC_INTL!A1954="","",MOV_CC_INTL!A1954)</f>
        <v/>
      </c>
      <c r="B1954" s="22" t="str">
        <f>IF(MOV_CC_INTL!B1954="","",MOV_CC_INTL!B1954)</f>
        <v/>
      </c>
      <c r="C1954" s="22" t="str">
        <f>IF(MOV_CC_INTL!C1954="","",MOV_CC_INTL!C1954)</f>
        <v/>
      </c>
      <c r="D1954" s="22" t="str">
        <f t="shared" si="1"/>
        <v>Other</v>
      </c>
      <c r="E1954" s="21" t="str">
        <f>IF(C1954="","",C1954*CONFIG!B5)</f>
        <v/>
      </c>
    </row>
    <row r="1955" ht="15.75" customHeight="1">
      <c r="A1955" s="22" t="str">
        <f>IF(MOV_CC_INTL!A1955="","",MOV_CC_INTL!A1955)</f>
        <v/>
      </c>
      <c r="B1955" s="22" t="str">
        <f>IF(MOV_CC_INTL!B1955="","",MOV_CC_INTL!B1955)</f>
        <v/>
      </c>
      <c r="C1955" s="22" t="str">
        <f>IF(MOV_CC_INTL!C1955="","",MOV_CC_INTL!C1955)</f>
        <v/>
      </c>
      <c r="D1955" s="22" t="str">
        <f t="shared" si="1"/>
        <v>Other</v>
      </c>
      <c r="E1955" s="21" t="str">
        <f>IF(C1955="","",C1955*CONFIG!B5)</f>
        <v/>
      </c>
    </row>
    <row r="1956" ht="15.75" customHeight="1">
      <c r="A1956" s="22" t="str">
        <f>IF(MOV_CC_INTL!A1956="","",MOV_CC_INTL!A1956)</f>
        <v/>
      </c>
      <c r="B1956" s="22" t="str">
        <f>IF(MOV_CC_INTL!B1956="","",MOV_CC_INTL!B1956)</f>
        <v/>
      </c>
      <c r="C1956" s="22" t="str">
        <f>IF(MOV_CC_INTL!C1956="","",MOV_CC_INTL!C1956)</f>
        <v/>
      </c>
      <c r="D1956" s="22" t="str">
        <f t="shared" si="1"/>
        <v>Other</v>
      </c>
      <c r="E1956" s="21" t="str">
        <f>IF(C1956="","",C1956*CONFIG!B5)</f>
        <v/>
      </c>
    </row>
    <row r="1957" ht="15.75" customHeight="1">
      <c r="A1957" s="22" t="str">
        <f>IF(MOV_CC_INTL!A1957="","",MOV_CC_INTL!A1957)</f>
        <v/>
      </c>
      <c r="B1957" s="22" t="str">
        <f>IF(MOV_CC_INTL!B1957="","",MOV_CC_INTL!B1957)</f>
        <v/>
      </c>
      <c r="C1957" s="22" t="str">
        <f>IF(MOV_CC_INTL!C1957="","",MOV_CC_INTL!C1957)</f>
        <v/>
      </c>
      <c r="D1957" s="22" t="str">
        <f t="shared" si="1"/>
        <v>Other</v>
      </c>
      <c r="E1957" s="21" t="str">
        <f>IF(C1957="","",C1957*CONFIG!B5)</f>
        <v/>
      </c>
    </row>
    <row r="1958" ht="15.75" customHeight="1">
      <c r="A1958" s="22" t="str">
        <f>IF(MOV_CC_INTL!A1958="","",MOV_CC_INTL!A1958)</f>
        <v/>
      </c>
      <c r="B1958" s="22" t="str">
        <f>IF(MOV_CC_INTL!B1958="","",MOV_CC_INTL!B1958)</f>
        <v/>
      </c>
      <c r="C1958" s="22" t="str">
        <f>IF(MOV_CC_INTL!C1958="","",MOV_CC_INTL!C1958)</f>
        <v/>
      </c>
      <c r="D1958" s="22" t="str">
        <f t="shared" si="1"/>
        <v>Other</v>
      </c>
      <c r="E1958" s="21" t="str">
        <f>IF(C1958="","",C1958*CONFIG!B5)</f>
        <v/>
      </c>
    </row>
    <row r="1959" ht="15.75" customHeight="1">
      <c r="A1959" s="22" t="str">
        <f>IF(MOV_CC_INTL!A1959="","",MOV_CC_INTL!A1959)</f>
        <v/>
      </c>
      <c r="B1959" s="22" t="str">
        <f>IF(MOV_CC_INTL!B1959="","",MOV_CC_INTL!B1959)</f>
        <v/>
      </c>
      <c r="C1959" s="22" t="str">
        <f>IF(MOV_CC_INTL!C1959="","",MOV_CC_INTL!C1959)</f>
        <v/>
      </c>
      <c r="D1959" s="22" t="str">
        <f t="shared" si="1"/>
        <v>Other</v>
      </c>
      <c r="E1959" s="21" t="str">
        <f>IF(C1959="","",C1959*CONFIG!B5)</f>
        <v/>
      </c>
    </row>
    <row r="1960" ht="15.75" customHeight="1">
      <c r="A1960" s="22" t="str">
        <f>IF(MOV_CC_INTL!A1960="","",MOV_CC_INTL!A1960)</f>
        <v/>
      </c>
      <c r="B1960" s="22" t="str">
        <f>IF(MOV_CC_INTL!B1960="","",MOV_CC_INTL!B1960)</f>
        <v/>
      </c>
      <c r="C1960" s="22" t="str">
        <f>IF(MOV_CC_INTL!C1960="","",MOV_CC_INTL!C1960)</f>
        <v/>
      </c>
      <c r="D1960" s="22" t="str">
        <f t="shared" si="1"/>
        <v>Other</v>
      </c>
      <c r="E1960" s="21" t="str">
        <f>IF(C1960="","",C1960*CONFIG!B5)</f>
        <v/>
      </c>
    </row>
    <row r="1961" ht="15.75" customHeight="1">
      <c r="A1961" s="22" t="str">
        <f>IF(MOV_CC_INTL!A1961="","",MOV_CC_INTL!A1961)</f>
        <v/>
      </c>
      <c r="B1961" s="22" t="str">
        <f>IF(MOV_CC_INTL!B1961="","",MOV_CC_INTL!B1961)</f>
        <v/>
      </c>
      <c r="C1961" s="22" t="str">
        <f>IF(MOV_CC_INTL!C1961="","",MOV_CC_INTL!C1961)</f>
        <v/>
      </c>
      <c r="D1961" s="22" t="str">
        <f t="shared" si="1"/>
        <v>Other</v>
      </c>
      <c r="E1961" s="21" t="str">
        <f>IF(C1961="","",C1961*CONFIG!B5)</f>
        <v/>
      </c>
    </row>
    <row r="1962" ht="15.75" customHeight="1">
      <c r="A1962" s="22" t="str">
        <f>IF(MOV_CC_INTL!A1962="","",MOV_CC_INTL!A1962)</f>
        <v/>
      </c>
      <c r="B1962" s="22" t="str">
        <f>IF(MOV_CC_INTL!B1962="","",MOV_CC_INTL!B1962)</f>
        <v/>
      </c>
      <c r="C1962" s="22" t="str">
        <f>IF(MOV_CC_INTL!C1962="","",MOV_CC_INTL!C1962)</f>
        <v/>
      </c>
      <c r="D1962" s="22" t="str">
        <f t="shared" si="1"/>
        <v>Other</v>
      </c>
      <c r="E1962" s="21" t="str">
        <f>IF(C1962="","",C1962*CONFIG!B5)</f>
        <v/>
      </c>
    </row>
    <row r="1963" ht="15.75" customHeight="1">
      <c r="A1963" s="22" t="str">
        <f>IF(MOV_CC_INTL!A1963="","",MOV_CC_INTL!A1963)</f>
        <v/>
      </c>
      <c r="B1963" s="22" t="str">
        <f>IF(MOV_CC_INTL!B1963="","",MOV_CC_INTL!B1963)</f>
        <v/>
      </c>
      <c r="C1963" s="22" t="str">
        <f>IF(MOV_CC_INTL!C1963="","",MOV_CC_INTL!C1963)</f>
        <v/>
      </c>
      <c r="D1963" s="22" t="str">
        <f t="shared" si="1"/>
        <v>Other</v>
      </c>
      <c r="E1963" s="21" t="str">
        <f>IF(C1963="","",C1963*CONFIG!B5)</f>
        <v/>
      </c>
    </row>
    <row r="1964" ht="15.75" customHeight="1">
      <c r="A1964" s="22" t="str">
        <f>IF(MOV_CC_INTL!A1964="","",MOV_CC_INTL!A1964)</f>
        <v/>
      </c>
      <c r="B1964" s="22" t="str">
        <f>IF(MOV_CC_INTL!B1964="","",MOV_CC_INTL!B1964)</f>
        <v/>
      </c>
      <c r="C1964" s="22" t="str">
        <f>IF(MOV_CC_INTL!C1964="","",MOV_CC_INTL!C1964)</f>
        <v/>
      </c>
      <c r="D1964" s="22" t="str">
        <f t="shared" si="1"/>
        <v>Other</v>
      </c>
      <c r="E1964" s="21" t="str">
        <f>IF(C1964="","",C1964*CONFIG!B5)</f>
        <v/>
      </c>
    </row>
    <row r="1965" ht="15.75" customHeight="1">
      <c r="A1965" s="22" t="str">
        <f>IF(MOV_CC_INTL!A1965="","",MOV_CC_INTL!A1965)</f>
        <v/>
      </c>
      <c r="B1965" s="22" t="str">
        <f>IF(MOV_CC_INTL!B1965="","",MOV_CC_INTL!B1965)</f>
        <v/>
      </c>
      <c r="C1965" s="22" t="str">
        <f>IF(MOV_CC_INTL!C1965="","",MOV_CC_INTL!C1965)</f>
        <v/>
      </c>
      <c r="D1965" s="22" t="str">
        <f t="shared" si="1"/>
        <v>Other</v>
      </c>
      <c r="E1965" s="21" t="str">
        <f>IF(C1965="","",C1965*CONFIG!B5)</f>
        <v/>
      </c>
    </row>
    <row r="1966" ht="15.75" customHeight="1">
      <c r="A1966" s="22" t="str">
        <f>IF(MOV_CC_INTL!A1966="","",MOV_CC_INTL!A1966)</f>
        <v/>
      </c>
      <c r="B1966" s="22" t="str">
        <f>IF(MOV_CC_INTL!B1966="","",MOV_CC_INTL!B1966)</f>
        <v/>
      </c>
      <c r="C1966" s="22" t="str">
        <f>IF(MOV_CC_INTL!C1966="","",MOV_CC_INTL!C1966)</f>
        <v/>
      </c>
      <c r="D1966" s="22" t="str">
        <f t="shared" si="1"/>
        <v>Other</v>
      </c>
      <c r="E1966" s="21" t="str">
        <f>IF(C1966="","",C1966*CONFIG!B5)</f>
        <v/>
      </c>
    </row>
    <row r="1967" ht="15.75" customHeight="1">
      <c r="A1967" s="22" t="str">
        <f>IF(MOV_CC_INTL!A1967="","",MOV_CC_INTL!A1967)</f>
        <v/>
      </c>
      <c r="B1967" s="22" t="str">
        <f>IF(MOV_CC_INTL!B1967="","",MOV_CC_INTL!B1967)</f>
        <v/>
      </c>
      <c r="C1967" s="22" t="str">
        <f>IF(MOV_CC_INTL!C1967="","",MOV_CC_INTL!C1967)</f>
        <v/>
      </c>
      <c r="D1967" s="22" t="str">
        <f t="shared" si="1"/>
        <v>Other</v>
      </c>
      <c r="E1967" s="21" t="str">
        <f>IF(C1967="","",C1967*CONFIG!B5)</f>
        <v/>
      </c>
    </row>
    <row r="1968" ht="15.75" customHeight="1">
      <c r="A1968" s="22" t="str">
        <f>IF(MOV_CC_INTL!A1968="","",MOV_CC_INTL!A1968)</f>
        <v/>
      </c>
      <c r="B1968" s="22" t="str">
        <f>IF(MOV_CC_INTL!B1968="","",MOV_CC_INTL!B1968)</f>
        <v/>
      </c>
      <c r="C1968" s="22" t="str">
        <f>IF(MOV_CC_INTL!C1968="","",MOV_CC_INTL!C1968)</f>
        <v/>
      </c>
      <c r="D1968" s="22" t="str">
        <f t="shared" si="1"/>
        <v>Other</v>
      </c>
      <c r="E1968" s="21" t="str">
        <f>IF(C1968="","",C1968*CONFIG!B5)</f>
        <v/>
      </c>
    </row>
    <row r="1969" ht="15.75" customHeight="1">
      <c r="A1969" s="22" t="str">
        <f>IF(MOV_CC_INTL!A1969="","",MOV_CC_INTL!A1969)</f>
        <v/>
      </c>
      <c r="B1969" s="22" t="str">
        <f>IF(MOV_CC_INTL!B1969="","",MOV_CC_INTL!B1969)</f>
        <v/>
      </c>
      <c r="C1969" s="22" t="str">
        <f>IF(MOV_CC_INTL!C1969="","",MOV_CC_INTL!C1969)</f>
        <v/>
      </c>
      <c r="D1969" s="22" t="str">
        <f t="shared" si="1"/>
        <v>Other</v>
      </c>
      <c r="E1969" s="21" t="str">
        <f>IF(C1969="","",C1969*CONFIG!B5)</f>
        <v/>
      </c>
    </row>
    <row r="1970" ht="15.75" customHeight="1">
      <c r="A1970" s="22" t="str">
        <f>IF(MOV_CC_INTL!A1970="","",MOV_CC_INTL!A1970)</f>
        <v/>
      </c>
      <c r="B1970" s="22" t="str">
        <f>IF(MOV_CC_INTL!B1970="","",MOV_CC_INTL!B1970)</f>
        <v/>
      </c>
      <c r="C1970" s="22" t="str">
        <f>IF(MOV_CC_INTL!C1970="","",MOV_CC_INTL!C1970)</f>
        <v/>
      </c>
      <c r="D1970" s="22" t="str">
        <f t="shared" si="1"/>
        <v>Other</v>
      </c>
      <c r="E1970" s="21" t="str">
        <f>IF(C1970="","",C1970*CONFIG!B5)</f>
        <v/>
      </c>
    </row>
    <row r="1971" ht="15.75" customHeight="1">
      <c r="A1971" s="22" t="str">
        <f>IF(MOV_CC_INTL!A1971="","",MOV_CC_INTL!A1971)</f>
        <v/>
      </c>
      <c r="B1971" s="22" t="str">
        <f>IF(MOV_CC_INTL!B1971="","",MOV_CC_INTL!B1971)</f>
        <v/>
      </c>
      <c r="C1971" s="22" t="str">
        <f>IF(MOV_CC_INTL!C1971="","",MOV_CC_INTL!C1971)</f>
        <v/>
      </c>
      <c r="D1971" s="22" t="str">
        <f t="shared" si="1"/>
        <v>Other</v>
      </c>
      <c r="E1971" s="21" t="str">
        <f>IF(C1971="","",C1971*CONFIG!B5)</f>
        <v/>
      </c>
    </row>
    <row r="1972" ht="15.75" customHeight="1">
      <c r="A1972" s="22" t="str">
        <f>IF(MOV_CC_INTL!A1972="","",MOV_CC_INTL!A1972)</f>
        <v/>
      </c>
      <c r="B1972" s="22" t="str">
        <f>IF(MOV_CC_INTL!B1972="","",MOV_CC_INTL!B1972)</f>
        <v/>
      </c>
      <c r="C1972" s="22" t="str">
        <f>IF(MOV_CC_INTL!C1972="","",MOV_CC_INTL!C1972)</f>
        <v/>
      </c>
      <c r="D1972" s="22" t="str">
        <f t="shared" si="1"/>
        <v>Other</v>
      </c>
      <c r="E1972" s="21" t="str">
        <f>IF(C1972="","",C1972*CONFIG!B5)</f>
        <v/>
      </c>
    </row>
    <row r="1973" ht="15.75" customHeight="1">
      <c r="A1973" s="22" t="str">
        <f>IF(MOV_CC_INTL!A1973="","",MOV_CC_INTL!A1973)</f>
        <v/>
      </c>
      <c r="B1973" s="22" t="str">
        <f>IF(MOV_CC_INTL!B1973="","",MOV_CC_INTL!B1973)</f>
        <v/>
      </c>
      <c r="C1973" s="22" t="str">
        <f>IF(MOV_CC_INTL!C1973="","",MOV_CC_INTL!C1973)</f>
        <v/>
      </c>
      <c r="D1973" s="22" t="str">
        <f t="shared" si="1"/>
        <v>Other</v>
      </c>
      <c r="E1973" s="21" t="str">
        <f>IF(C1973="","",C1973*CONFIG!B5)</f>
        <v/>
      </c>
    </row>
    <row r="1974" ht="15.75" customHeight="1">
      <c r="A1974" s="22" t="str">
        <f>IF(MOV_CC_INTL!A1974="","",MOV_CC_INTL!A1974)</f>
        <v/>
      </c>
      <c r="B1974" s="22" t="str">
        <f>IF(MOV_CC_INTL!B1974="","",MOV_CC_INTL!B1974)</f>
        <v/>
      </c>
      <c r="C1974" s="22" t="str">
        <f>IF(MOV_CC_INTL!C1974="","",MOV_CC_INTL!C1974)</f>
        <v/>
      </c>
      <c r="D1974" s="22" t="str">
        <f t="shared" si="1"/>
        <v>Other</v>
      </c>
      <c r="E1974" s="21" t="str">
        <f>IF(C1974="","",C1974*CONFIG!B5)</f>
        <v/>
      </c>
    </row>
    <row r="1975" ht="15.75" customHeight="1">
      <c r="A1975" s="22" t="str">
        <f>IF(MOV_CC_INTL!A1975="","",MOV_CC_INTL!A1975)</f>
        <v/>
      </c>
      <c r="B1975" s="22" t="str">
        <f>IF(MOV_CC_INTL!B1975="","",MOV_CC_INTL!B1975)</f>
        <v/>
      </c>
      <c r="C1975" s="22" t="str">
        <f>IF(MOV_CC_INTL!C1975="","",MOV_CC_INTL!C1975)</f>
        <v/>
      </c>
      <c r="D1975" s="22" t="str">
        <f t="shared" si="1"/>
        <v>Other</v>
      </c>
      <c r="E1975" s="21" t="str">
        <f>IF(C1975="","",C1975*CONFIG!B5)</f>
        <v/>
      </c>
    </row>
    <row r="1976" ht="15.75" customHeight="1">
      <c r="A1976" s="22" t="str">
        <f>IF(MOV_CC_INTL!A1976="","",MOV_CC_INTL!A1976)</f>
        <v/>
      </c>
      <c r="B1976" s="22" t="str">
        <f>IF(MOV_CC_INTL!B1976="","",MOV_CC_INTL!B1976)</f>
        <v/>
      </c>
      <c r="C1976" s="22" t="str">
        <f>IF(MOV_CC_INTL!C1976="","",MOV_CC_INTL!C1976)</f>
        <v/>
      </c>
      <c r="D1976" s="22" t="str">
        <f t="shared" si="1"/>
        <v>Other</v>
      </c>
      <c r="E1976" s="21" t="str">
        <f>IF(C1976="","",C1976*CONFIG!B5)</f>
        <v/>
      </c>
    </row>
    <row r="1977" ht="15.75" customHeight="1">
      <c r="A1977" s="22" t="str">
        <f>IF(MOV_CC_INTL!A1977="","",MOV_CC_INTL!A1977)</f>
        <v/>
      </c>
      <c r="B1977" s="22" t="str">
        <f>IF(MOV_CC_INTL!B1977="","",MOV_CC_INTL!B1977)</f>
        <v/>
      </c>
      <c r="C1977" s="22" t="str">
        <f>IF(MOV_CC_INTL!C1977="","",MOV_CC_INTL!C1977)</f>
        <v/>
      </c>
      <c r="D1977" s="22" t="str">
        <f t="shared" si="1"/>
        <v>Other</v>
      </c>
      <c r="E1977" s="21" t="str">
        <f>IF(C1977="","",C1977*CONFIG!B5)</f>
        <v/>
      </c>
    </row>
    <row r="1978" ht="15.75" customHeight="1">
      <c r="A1978" s="22" t="str">
        <f>IF(MOV_CC_INTL!A1978="","",MOV_CC_INTL!A1978)</f>
        <v/>
      </c>
      <c r="B1978" s="22" t="str">
        <f>IF(MOV_CC_INTL!B1978="","",MOV_CC_INTL!B1978)</f>
        <v/>
      </c>
      <c r="C1978" s="22" t="str">
        <f>IF(MOV_CC_INTL!C1978="","",MOV_CC_INTL!C1978)</f>
        <v/>
      </c>
      <c r="D1978" s="22" t="str">
        <f t="shared" si="1"/>
        <v>Other</v>
      </c>
      <c r="E1978" s="21" t="str">
        <f>IF(C1978="","",C1978*CONFIG!B5)</f>
        <v/>
      </c>
    </row>
    <row r="1979" ht="15.75" customHeight="1">
      <c r="A1979" s="22" t="str">
        <f>IF(MOV_CC_INTL!A1979="","",MOV_CC_INTL!A1979)</f>
        <v/>
      </c>
      <c r="B1979" s="22" t="str">
        <f>IF(MOV_CC_INTL!B1979="","",MOV_CC_INTL!B1979)</f>
        <v/>
      </c>
      <c r="C1979" s="22" t="str">
        <f>IF(MOV_CC_INTL!C1979="","",MOV_CC_INTL!C1979)</f>
        <v/>
      </c>
      <c r="D1979" s="22" t="str">
        <f t="shared" si="1"/>
        <v>Other</v>
      </c>
      <c r="E1979" s="21" t="str">
        <f>IF(C1979="","",C1979*CONFIG!B5)</f>
        <v/>
      </c>
    </row>
    <row r="1980" ht="15.75" customHeight="1">
      <c r="A1980" s="22" t="str">
        <f>IF(MOV_CC_INTL!A1980="","",MOV_CC_INTL!A1980)</f>
        <v/>
      </c>
      <c r="B1980" s="22" t="str">
        <f>IF(MOV_CC_INTL!B1980="","",MOV_CC_INTL!B1980)</f>
        <v/>
      </c>
      <c r="C1980" s="22" t="str">
        <f>IF(MOV_CC_INTL!C1980="","",MOV_CC_INTL!C1980)</f>
        <v/>
      </c>
      <c r="D1980" s="22" t="str">
        <f t="shared" si="1"/>
        <v>Other</v>
      </c>
      <c r="E1980" s="21" t="str">
        <f>IF(C1980="","",C1980*CONFIG!B5)</f>
        <v/>
      </c>
    </row>
    <row r="1981" ht="15.75" customHeight="1">
      <c r="A1981" s="22" t="str">
        <f>IF(MOV_CC_INTL!A1981="","",MOV_CC_INTL!A1981)</f>
        <v/>
      </c>
      <c r="B1981" s="22" t="str">
        <f>IF(MOV_CC_INTL!B1981="","",MOV_CC_INTL!B1981)</f>
        <v/>
      </c>
      <c r="C1981" s="22" t="str">
        <f>IF(MOV_CC_INTL!C1981="","",MOV_CC_INTL!C1981)</f>
        <v/>
      </c>
      <c r="D1981" s="22" t="str">
        <f t="shared" si="1"/>
        <v>Other</v>
      </c>
      <c r="E1981" s="21" t="str">
        <f>IF(C1981="","",C1981*CONFIG!B5)</f>
        <v/>
      </c>
    </row>
    <row r="1982" ht="15.75" customHeight="1">
      <c r="A1982" s="22" t="str">
        <f>IF(MOV_CC_INTL!A1982="","",MOV_CC_INTL!A1982)</f>
        <v/>
      </c>
      <c r="B1982" s="22" t="str">
        <f>IF(MOV_CC_INTL!B1982="","",MOV_CC_INTL!B1982)</f>
        <v/>
      </c>
      <c r="C1982" s="22" t="str">
        <f>IF(MOV_CC_INTL!C1982="","",MOV_CC_INTL!C1982)</f>
        <v/>
      </c>
      <c r="D1982" s="22" t="str">
        <f t="shared" si="1"/>
        <v>Other</v>
      </c>
      <c r="E1982" s="21" t="str">
        <f>IF(C1982="","",C1982*CONFIG!B5)</f>
        <v/>
      </c>
    </row>
    <row r="1983" ht="15.75" customHeight="1">
      <c r="A1983" s="22" t="str">
        <f>IF(MOV_CC_INTL!A1983="","",MOV_CC_INTL!A1983)</f>
        <v/>
      </c>
      <c r="B1983" s="22" t="str">
        <f>IF(MOV_CC_INTL!B1983="","",MOV_CC_INTL!B1983)</f>
        <v/>
      </c>
      <c r="C1983" s="22" t="str">
        <f>IF(MOV_CC_INTL!C1983="","",MOV_CC_INTL!C1983)</f>
        <v/>
      </c>
      <c r="D1983" s="22" t="str">
        <f t="shared" si="1"/>
        <v>Other</v>
      </c>
      <c r="E1983" s="21" t="str">
        <f>IF(C1983="","",C1983*CONFIG!B5)</f>
        <v/>
      </c>
    </row>
    <row r="1984" ht="15.75" customHeight="1">
      <c r="A1984" s="22" t="str">
        <f>IF(MOV_CC_INTL!A1984="","",MOV_CC_INTL!A1984)</f>
        <v/>
      </c>
      <c r="B1984" s="22" t="str">
        <f>IF(MOV_CC_INTL!B1984="","",MOV_CC_INTL!B1984)</f>
        <v/>
      </c>
      <c r="C1984" s="22" t="str">
        <f>IF(MOV_CC_INTL!C1984="","",MOV_CC_INTL!C1984)</f>
        <v/>
      </c>
      <c r="D1984" s="22" t="str">
        <f t="shared" si="1"/>
        <v>Other</v>
      </c>
      <c r="E1984" s="21" t="str">
        <f>IF(C1984="","",C1984*CONFIG!B5)</f>
        <v/>
      </c>
    </row>
    <row r="1985" ht="15.75" customHeight="1">
      <c r="A1985" s="22" t="str">
        <f>IF(MOV_CC_INTL!A1985="","",MOV_CC_INTL!A1985)</f>
        <v/>
      </c>
      <c r="B1985" s="22" t="str">
        <f>IF(MOV_CC_INTL!B1985="","",MOV_CC_INTL!B1985)</f>
        <v/>
      </c>
      <c r="C1985" s="22" t="str">
        <f>IF(MOV_CC_INTL!C1985="","",MOV_CC_INTL!C1985)</f>
        <v/>
      </c>
      <c r="D1985" s="22" t="str">
        <f t="shared" si="1"/>
        <v>Other</v>
      </c>
      <c r="E1985" s="21" t="str">
        <f>IF(C1985="","",C1985*CONFIG!B5)</f>
        <v/>
      </c>
    </row>
    <row r="1986" ht="15.75" customHeight="1">
      <c r="A1986" s="22" t="str">
        <f>IF(MOV_CC_INTL!A1986="","",MOV_CC_INTL!A1986)</f>
        <v/>
      </c>
      <c r="B1986" s="22" t="str">
        <f>IF(MOV_CC_INTL!B1986="","",MOV_CC_INTL!B1986)</f>
        <v/>
      </c>
      <c r="C1986" s="22" t="str">
        <f>IF(MOV_CC_INTL!C1986="","",MOV_CC_INTL!C1986)</f>
        <v/>
      </c>
      <c r="D1986" s="22" t="str">
        <f t="shared" si="1"/>
        <v>Other</v>
      </c>
      <c r="E1986" s="21" t="str">
        <f>IF(C1986="","",C1986*CONFIG!B5)</f>
        <v/>
      </c>
    </row>
    <row r="1987" ht="15.75" customHeight="1">
      <c r="A1987" s="22" t="str">
        <f>IF(MOV_CC_INTL!A1987="","",MOV_CC_INTL!A1987)</f>
        <v/>
      </c>
      <c r="B1987" s="22" t="str">
        <f>IF(MOV_CC_INTL!B1987="","",MOV_CC_INTL!B1987)</f>
        <v/>
      </c>
      <c r="C1987" s="22" t="str">
        <f>IF(MOV_CC_INTL!C1987="","",MOV_CC_INTL!C1987)</f>
        <v/>
      </c>
      <c r="D1987" s="22" t="str">
        <f t="shared" si="1"/>
        <v>Other</v>
      </c>
      <c r="E1987" s="21" t="str">
        <f>IF(C1987="","",C1987*CONFIG!B5)</f>
        <v/>
      </c>
    </row>
    <row r="1988" ht="15.75" customHeight="1">
      <c r="A1988" s="22" t="str">
        <f>IF(MOV_CC_INTL!A1988="","",MOV_CC_INTL!A1988)</f>
        <v/>
      </c>
      <c r="B1988" s="22" t="str">
        <f>IF(MOV_CC_INTL!B1988="","",MOV_CC_INTL!B1988)</f>
        <v/>
      </c>
      <c r="C1988" s="22" t="str">
        <f>IF(MOV_CC_INTL!C1988="","",MOV_CC_INTL!C1988)</f>
        <v/>
      </c>
      <c r="D1988" s="22" t="str">
        <f t="shared" si="1"/>
        <v>Other</v>
      </c>
      <c r="E1988" s="21" t="str">
        <f>IF(C1988="","",C1988*CONFIG!B5)</f>
        <v/>
      </c>
    </row>
    <row r="1989" ht="15.75" customHeight="1">
      <c r="A1989" s="22" t="str">
        <f>IF(MOV_CC_INTL!A1989="","",MOV_CC_INTL!A1989)</f>
        <v/>
      </c>
      <c r="B1989" s="22" t="str">
        <f>IF(MOV_CC_INTL!B1989="","",MOV_CC_INTL!B1989)</f>
        <v/>
      </c>
      <c r="C1989" s="22" t="str">
        <f>IF(MOV_CC_INTL!C1989="","",MOV_CC_INTL!C1989)</f>
        <v/>
      </c>
      <c r="D1989" s="22" t="str">
        <f t="shared" si="1"/>
        <v>Other</v>
      </c>
      <c r="E1989" s="21" t="str">
        <f>IF(C1989="","",C1989*CONFIG!B5)</f>
        <v/>
      </c>
    </row>
    <row r="1990" ht="15.75" customHeight="1">
      <c r="A1990" s="22" t="str">
        <f>IF(MOV_CC_INTL!A1990="","",MOV_CC_INTL!A1990)</f>
        <v/>
      </c>
      <c r="B1990" s="22" t="str">
        <f>IF(MOV_CC_INTL!B1990="","",MOV_CC_INTL!B1990)</f>
        <v/>
      </c>
      <c r="C1990" s="22" t="str">
        <f>IF(MOV_CC_INTL!C1990="","",MOV_CC_INTL!C1990)</f>
        <v/>
      </c>
      <c r="D1990" s="22" t="str">
        <f t="shared" si="1"/>
        <v>Other</v>
      </c>
      <c r="E1990" s="21" t="str">
        <f>IF(C1990="","",C1990*CONFIG!B5)</f>
        <v/>
      </c>
    </row>
    <row r="1991" ht="15.75" customHeight="1">
      <c r="A1991" s="22" t="str">
        <f>IF(MOV_CC_INTL!A1991="","",MOV_CC_INTL!A1991)</f>
        <v/>
      </c>
      <c r="B1991" s="22" t="str">
        <f>IF(MOV_CC_INTL!B1991="","",MOV_CC_INTL!B1991)</f>
        <v/>
      </c>
      <c r="C1991" s="22" t="str">
        <f>IF(MOV_CC_INTL!C1991="","",MOV_CC_INTL!C1991)</f>
        <v/>
      </c>
      <c r="D1991" s="22" t="str">
        <f t="shared" si="1"/>
        <v>Other</v>
      </c>
      <c r="E1991" s="21" t="str">
        <f>IF(C1991="","",C1991*CONFIG!B5)</f>
        <v/>
      </c>
    </row>
    <row r="1992" ht="15.75" customHeight="1">
      <c r="A1992" s="22" t="str">
        <f>IF(MOV_CC_INTL!A1992="","",MOV_CC_INTL!A1992)</f>
        <v/>
      </c>
      <c r="B1992" s="22" t="str">
        <f>IF(MOV_CC_INTL!B1992="","",MOV_CC_INTL!B1992)</f>
        <v/>
      </c>
      <c r="C1992" s="22" t="str">
        <f>IF(MOV_CC_INTL!C1992="","",MOV_CC_INTL!C1992)</f>
        <v/>
      </c>
      <c r="D1992" s="22" t="str">
        <f t="shared" si="1"/>
        <v>Other</v>
      </c>
      <c r="E1992" s="21" t="str">
        <f>IF(C1992="","",C1992*CONFIG!B5)</f>
        <v/>
      </c>
    </row>
    <row r="1993" ht="15.75" customHeight="1">
      <c r="A1993" s="22" t="str">
        <f>IF(MOV_CC_INTL!A1993="","",MOV_CC_INTL!A1993)</f>
        <v/>
      </c>
      <c r="B1993" s="22" t="str">
        <f>IF(MOV_CC_INTL!B1993="","",MOV_CC_INTL!B1993)</f>
        <v/>
      </c>
      <c r="C1993" s="22" t="str">
        <f>IF(MOV_CC_INTL!C1993="","",MOV_CC_INTL!C1993)</f>
        <v/>
      </c>
      <c r="D1993" s="22" t="str">
        <f t="shared" si="1"/>
        <v>Other</v>
      </c>
      <c r="E1993" s="21" t="str">
        <f>IF(C1993="","",C1993*CONFIG!B5)</f>
        <v/>
      </c>
    </row>
    <row r="1994" ht="15.75" customHeight="1">
      <c r="A1994" s="22" t="str">
        <f>IF(MOV_CC_INTL!A1994="","",MOV_CC_INTL!A1994)</f>
        <v/>
      </c>
      <c r="B1994" s="22" t="str">
        <f>IF(MOV_CC_INTL!B1994="","",MOV_CC_INTL!B1994)</f>
        <v/>
      </c>
      <c r="C1994" s="22" t="str">
        <f>IF(MOV_CC_INTL!C1994="","",MOV_CC_INTL!C1994)</f>
        <v/>
      </c>
      <c r="D1994" s="22" t="str">
        <f t="shared" si="1"/>
        <v>Other</v>
      </c>
      <c r="E1994" s="21" t="str">
        <f>IF(C1994="","",C1994*CONFIG!B5)</f>
        <v/>
      </c>
    </row>
    <row r="1995" ht="15.75" customHeight="1">
      <c r="A1995" s="22" t="str">
        <f>IF(MOV_CC_INTL!A1995="","",MOV_CC_INTL!A1995)</f>
        <v/>
      </c>
      <c r="B1995" s="22" t="str">
        <f>IF(MOV_CC_INTL!B1995="","",MOV_CC_INTL!B1995)</f>
        <v/>
      </c>
      <c r="C1995" s="22" t="str">
        <f>IF(MOV_CC_INTL!C1995="","",MOV_CC_INTL!C1995)</f>
        <v/>
      </c>
      <c r="D1995" s="22" t="str">
        <f t="shared" si="1"/>
        <v>Other</v>
      </c>
      <c r="E1995" s="21" t="str">
        <f>IF(C1995="","",C1995*CONFIG!B5)</f>
        <v/>
      </c>
    </row>
    <row r="1996" ht="15.75" customHeight="1">
      <c r="A1996" s="22" t="str">
        <f>IF(MOV_CC_INTL!A1996="","",MOV_CC_INTL!A1996)</f>
        <v/>
      </c>
      <c r="B1996" s="22" t="str">
        <f>IF(MOV_CC_INTL!B1996="","",MOV_CC_INTL!B1996)</f>
        <v/>
      </c>
      <c r="C1996" s="22" t="str">
        <f>IF(MOV_CC_INTL!C1996="","",MOV_CC_INTL!C1996)</f>
        <v/>
      </c>
      <c r="D1996" s="22" t="str">
        <f t="shared" si="1"/>
        <v>Other</v>
      </c>
      <c r="E1996" s="21" t="str">
        <f>IF(C1996="","",C1996*CONFIG!B5)</f>
        <v/>
      </c>
    </row>
    <row r="1997" ht="15.75" customHeight="1">
      <c r="A1997" s="22" t="str">
        <f>IF(MOV_CC_INTL!A1997="","",MOV_CC_INTL!A1997)</f>
        <v/>
      </c>
      <c r="B1997" s="22" t="str">
        <f>IF(MOV_CC_INTL!B1997="","",MOV_CC_INTL!B1997)</f>
        <v/>
      </c>
      <c r="C1997" s="22" t="str">
        <f>IF(MOV_CC_INTL!C1997="","",MOV_CC_INTL!C1997)</f>
        <v/>
      </c>
      <c r="D1997" s="22" t="str">
        <f t="shared" si="1"/>
        <v>Other</v>
      </c>
      <c r="E1997" s="21" t="str">
        <f>IF(C1997="","",C1997*CONFIG!B5)</f>
        <v/>
      </c>
    </row>
    <row r="1998" ht="15.75" customHeight="1">
      <c r="A1998" s="22" t="str">
        <f>IF(MOV_CC_INTL!A1998="","",MOV_CC_INTL!A1998)</f>
        <v/>
      </c>
      <c r="B1998" s="22" t="str">
        <f>IF(MOV_CC_INTL!B1998="","",MOV_CC_INTL!B1998)</f>
        <v/>
      </c>
      <c r="C1998" s="22" t="str">
        <f>IF(MOV_CC_INTL!C1998="","",MOV_CC_INTL!C1998)</f>
        <v/>
      </c>
      <c r="D1998" s="22" t="str">
        <f t="shared" si="1"/>
        <v>Other</v>
      </c>
      <c r="E1998" s="21" t="str">
        <f>IF(C1998="","",C1998*CONFIG!B5)</f>
        <v/>
      </c>
    </row>
    <row r="1999" ht="15.75" customHeight="1">
      <c r="A1999" s="22" t="str">
        <f>IF(MOV_CC_INTL!A1999="","",MOV_CC_INTL!A1999)</f>
        <v/>
      </c>
      <c r="B1999" s="22" t="str">
        <f>IF(MOV_CC_INTL!B1999="","",MOV_CC_INTL!B1999)</f>
        <v/>
      </c>
      <c r="C1999" s="22" t="str">
        <f>IF(MOV_CC_INTL!C1999="","",MOV_CC_INTL!C1999)</f>
        <v/>
      </c>
      <c r="D1999" s="22" t="str">
        <f t="shared" si="1"/>
        <v>Other</v>
      </c>
      <c r="E1999" s="21" t="str">
        <f>IF(C1999="","",C1999*CONFIG!B5)</f>
        <v/>
      </c>
    </row>
    <row r="2000" ht="15.75" customHeight="1">
      <c r="A2000" s="22" t="str">
        <f>IF(MOV_CC_INTL!A2000="","",MOV_CC_INTL!A2000)</f>
        <v/>
      </c>
      <c r="B2000" s="22" t="str">
        <f>IF(MOV_CC_INTL!B2000="","",MOV_CC_INTL!B2000)</f>
        <v/>
      </c>
      <c r="C2000" s="22" t="str">
        <f>IF(MOV_CC_INTL!C2000="","",MOV_CC_INTL!C2000)</f>
        <v/>
      </c>
      <c r="D2000" s="22" t="str">
        <f t="shared" si="1"/>
        <v>Other</v>
      </c>
      <c r="E2000" s="21" t="str">
        <f>IF(C2000="","",C2000*CONFIG!B5)</f>
        <v/>
      </c>
    </row>
    <row r="2001" ht="15.75" customHeight="1">
      <c r="A2001" s="22" t="str">
        <f>IF(MOV_CC_INTL!A2001="","",MOV_CC_INTL!A2001)</f>
        <v/>
      </c>
      <c r="B2001" s="22" t="str">
        <f>IF(MOV_CC_INTL!B2001="","",MOV_CC_INTL!B2001)</f>
        <v/>
      </c>
      <c r="C2001" s="22" t="str">
        <f>IF(MOV_CC_INTL!C2001="","",MOV_CC_INTL!C2001)</f>
        <v/>
      </c>
      <c r="D2001" s="22" t="str">
        <f t="shared" si="1"/>
        <v>Other</v>
      </c>
      <c r="E2001" s="21" t="str">
        <f>IF(C2001="","",C2001*CONFIG!B5)</f>
        <v/>
      </c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4.0"/>
    <col customWidth="1" min="4" max="4" width="4.0"/>
    <col customWidth="1" min="5" max="5" width="28.0"/>
    <col customWidth="1" min="6" max="6" width="16.0"/>
    <col customWidth="1" min="7" max="7" width="14.0"/>
    <col customWidth="1" min="8" max="26" width="8.71"/>
  </cols>
  <sheetData>
    <row r="1">
      <c r="A1" s="45" t="s">
        <v>170</v>
      </c>
      <c r="B1" s="2"/>
      <c r="C1" s="3"/>
      <c r="D1" s="27"/>
      <c r="E1" s="45" t="s">
        <v>171</v>
      </c>
      <c r="F1" s="2"/>
      <c r="G1" s="3"/>
    </row>
    <row r="2">
      <c r="A2" s="20" t="s">
        <v>139</v>
      </c>
      <c r="B2" s="20" t="s">
        <v>172</v>
      </c>
      <c r="C2" s="20" t="s">
        <v>173</v>
      </c>
      <c r="E2" s="20" t="s">
        <v>139</v>
      </c>
      <c r="F2" s="20" t="s">
        <v>172</v>
      </c>
      <c r="G2" s="20" t="s">
        <v>174</v>
      </c>
    </row>
    <row r="3">
      <c r="A3" s="22" t="s">
        <v>141</v>
      </c>
      <c r="B3" s="21">
        <f>SUMIF(MOV_NAC_AUTO!D:D,"Food &amp; Transport",MOV_NAC_AUTO!C:C)</f>
        <v>31609</v>
      </c>
      <c r="C3" s="46">
        <f>IFERROR(B3/SUM(B3:B8),0)</f>
        <v>0.07516753307</v>
      </c>
      <c r="E3" s="22" t="s">
        <v>160</v>
      </c>
      <c r="F3" s="21">
        <f>SUMIF(MOV_INTL_AUTO!D:D,"AI Tools",MOV_INTL_AUTO!E:E)</f>
        <v>97622</v>
      </c>
      <c r="G3" s="46">
        <f>IFERROR(F3/SUM(F3:F6),0)</f>
        <v>0.8546951676</v>
      </c>
    </row>
    <row r="4">
      <c r="A4" s="22" t="s">
        <v>146</v>
      </c>
      <c r="B4" s="21">
        <f>SUMIF(MOV_NAC_AUTO!D:D,"Pets &amp; Health",MOV_NAC_AUTO!C:C)</f>
        <v>0</v>
      </c>
      <c r="C4" s="46">
        <f>IFERROR(B4/SUM(B3:B8),0)</f>
        <v>0</v>
      </c>
      <c r="E4" s="22" t="s">
        <v>164</v>
      </c>
      <c r="F4" s="21">
        <f>SUMIF(MOV_INTL_AUTO!D:D,"Digital Services",MOV_INTL_AUTO!E:E)</f>
        <v>11856</v>
      </c>
      <c r="G4" s="46">
        <f>IFERROR(F4/SUM(F3:F6),0)</f>
        <v>0.103801048</v>
      </c>
    </row>
    <row r="5">
      <c r="A5" s="22" t="s">
        <v>150</v>
      </c>
      <c r="B5" s="21">
        <f>SUMIF(MOV_NAC_AUTO!D:D,"Pharmacy",MOV_NAC_AUTO!C:C)</f>
        <v>0</v>
      </c>
      <c r="C5" s="46">
        <f>IFERROR(B5/SUM(B3:B8),0)</f>
        <v>0</v>
      </c>
      <c r="E5" s="22" t="s">
        <v>168</v>
      </c>
      <c r="F5" s="21">
        <f>SUMIF(MOV_INTL_AUTO!D:D,"Gaming",MOV_INTL_AUTO!E:E)</f>
        <v>0</v>
      </c>
      <c r="G5" s="46">
        <f>IFERROR(F5/SUM(F3:F6),0)</f>
        <v>0</v>
      </c>
    </row>
    <row r="6">
      <c r="A6" s="22" t="s">
        <v>153</v>
      </c>
      <c r="B6" s="21">
        <f>SUMIF(MOV_NAC_AUTO!D:D,"Shopping",MOV_NAC_AUTO!C:C)</f>
        <v>211321</v>
      </c>
      <c r="C6" s="46">
        <f>IFERROR(B6/SUM(B3:B8),0)</f>
        <v>0.5025302368</v>
      </c>
      <c r="E6" s="22" t="s">
        <v>175</v>
      </c>
      <c r="F6" s="21">
        <f>SUMIF(MOV_INTL_AUTO!D:D,"Other",MOV_INTL_AUTO!E:E)</f>
        <v>4740.5</v>
      </c>
      <c r="G6" s="46">
        <f>IFERROR(F6/SUM(F3:F6),0)</f>
        <v>0.04150378441</v>
      </c>
    </row>
    <row r="7">
      <c r="A7" s="22" t="s">
        <v>157</v>
      </c>
      <c r="B7" s="21">
        <f>SUMIF(MOV_NAC_AUTO!D:D,"Subscriptions",MOV_NAC_AUTO!C:C)</f>
        <v>0</v>
      </c>
      <c r="C7" s="46">
        <f>IFERROR(B7/SUM(B3:B8),0)</f>
        <v>0</v>
      </c>
    </row>
    <row r="8">
      <c r="A8" s="22" t="s">
        <v>175</v>
      </c>
      <c r="B8" s="21">
        <f>SUMIF(MOV_NAC_AUTO!D:D,"Other",MOV_NAC_AUTO!C:C)</f>
        <v>177584</v>
      </c>
      <c r="C8" s="46">
        <f>IFERROR(B8/SUM(B3:B8),0)</f>
        <v>0.4223022301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E1:G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24.0"/>
    <col customWidth="1" min="4" max="26" width="8.71"/>
  </cols>
  <sheetData>
    <row r="1">
      <c r="A1" s="27" t="s">
        <v>139</v>
      </c>
      <c r="B1" s="27" t="s">
        <v>176</v>
      </c>
      <c r="C1" s="27" t="s">
        <v>177</v>
      </c>
    </row>
    <row r="2">
      <c r="A2" s="22" t="s">
        <v>141</v>
      </c>
      <c r="B2" s="21">
        <f>RESUMEN_CATEGORIAS!B3</f>
        <v>31609</v>
      </c>
      <c r="C2" s="22">
        <v>0.0</v>
      </c>
    </row>
    <row r="3">
      <c r="A3" s="22" t="s">
        <v>146</v>
      </c>
      <c r="B3" s="21">
        <f>RESUMEN_CATEGORIAS!B4</f>
        <v>0</v>
      </c>
      <c r="C3" s="22">
        <v>0.0</v>
      </c>
    </row>
    <row r="4">
      <c r="A4" s="22" t="s">
        <v>150</v>
      </c>
      <c r="B4" s="21">
        <f>RESUMEN_CATEGORIAS!B5</f>
        <v>0</v>
      </c>
      <c r="C4" s="22">
        <v>0.0</v>
      </c>
    </row>
    <row r="5">
      <c r="A5" s="22" t="s">
        <v>153</v>
      </c>
      <c r="B5" s="21">
        <f>RESUMEN_CATEGORIAS!B6</f>
        <v>211321</v>
      </c>
      <c r="C5" s="22">
        <v>0.0</v>
      </c>
    </row>
    <row r="6">
      <c r="A6" s="22" t="s">
        <v>157</v>
      </c>
      <c r="B6" s="21">
        <f>RESUMEN_CATEGORIAS!B7</f>
        <v>0</v>
      </c>
      <c r="C6" s="22">
        <v>0.0</v>
      </c>
    </row>
    <row r="7">
      <c r="A7" s="22" t="s">
        <v>175</v>
      </c>
      <c r="B7" s="21">
        <f>RESUMEN_CATEGORIAS!B8</f>
        <v>177584</v>
      </c>
      <c r="C7" s="22">
        <v>0.0</v>
      </c>
    </row>
    <row r="9">
      <c r="A9" s="20" t="s">
        <v>178</v>
      </c>
    </row>
    <row r="10">
      <c r="A10" s="22" t="s">
        <v>160</v>
      </c>
      <c r="B10" s="22">
        <v>0.0</v>
      </c>
      <c r="C10" s="21">
        <f>RESUMEN_CATEGORIAS!F3</f>
        <v>97622</v>
      </c>
    </row>
    <row r="11">
      <c r="A11" s="22" t="s">
        <v>164</v>
      </c>
      <c r="B11" s="22">
        <v>0.0</v>
      </c>
      <c r="C11" s="21">
        <f>RESUMEN_CATEGORIAS!F4</f>
        <v>11856</v>
      </c>
    </row>
    <row r="12">
      <c r="A12" s="22" t="s">
        <v>168</v>
      </c>
      <c r="B12" s="22">
        <v>0.0</v>
      </c>
      <c r="C12" s="21">
        <f>RESUMEN_CATEGORIAS!F5</f>
        <v>0</v>
      </c>
    </row>
    <row r="13">
      <c r="A13" s="22" t="s">
        <v>175</v>
      </c>
      <c r="B13" s="22">
        <v>0.0</v>
      </c>
      <c r="C13" s="21">
        <f>RESUMEN_CATEGORIAS!F6</f>
        <v>4740.5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